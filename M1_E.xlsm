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C:\Users\Dell\Desktop\Descomplica\Módulo I\"/>
    </mc:Choice>
  </mc:AlternateContent>
  <bookViews>
    <workbookView xWindow="0" yWindow="0" windowWidth="20490" windowHeight="8235" activeTab="5"/>
  </bookViews>
  <sheets>
    <sheet name="Dados de Entrada" sheetId="7" r:id="rId1"/>
    <sheet name="Calc" sheetId="5" state="hidden" r:id="rId2"/>
    <sheet name="Auxiliar" sheetId="6" state="hidden" r:id="rId3"/>
    <sheet name="Resultados" sheetId="3" r:id="rId4"/>
    <sheet name="Calc (2)" sheetId="9" state="hidden" r:id="rId5"/>
    <sheet name="Nova Simulação" sheetId="8" r:id="rId6"/>
    <sheet name="Calc (3)" sheetId="10" state="hidden" r:id="rId7"/>
  </sheets>
  <externalReferences>
    <externalReference r:id="rId8"/>
    <externalReference r:id="rId9"/>
  </externalReferences>
  <definedNames>
    <definedName name="aloc_1994">'[1]Otimização 1994'!$C$5:$C$8</definedName>
    <definedName name="aloc_1999">'[1]Otimização 1999'!$C$5:$C$9</definedName>
    <definedName name="Aloc_2006">'[1]Otimização 2006'!$C$5:$C$16</definedName>
    <definedName name="Aloc_2008">'[1]Otimização 2008'!$C$5:$C$21</definedName>
    <definedName name="Aportes">Calc!$AF$27</definedName>
    <definedName name="Aportes_2" localSheetId="4">'Calc (2)'!$AF$27</definedName>
    <definedName name="Aportes_3" localSheetId="6">'Calc (3)'!$AF$27</definedName>
    <definedName name="Capital_Inicial">Calc!$AD$26</definedName>
    <definedName name="Capital_Inicial_2" localSheetId="4">'Calc (2)'!$AD$26</definedName>
    <definedName name="Capital_Inicial_3" localSheetId="6">'Calc (3)'!$AD$26</definedName>
    <definedName name="Crescimento_Salário">Calc!$AF$35</definedName>
    <definedName name="Crescimento_Salário_2" localSheetId="4">'Calc (2)'!$AF$35</definedName>
    <definedName name="Crescimento_Salário_3" localSheetId="6">'Calc (3)'!$AF$35</definedName>
    <definedName name="Data_Anual">Calc!$X$5:OFFSET(Calc!$X$5,Calc!$AC$6,0)</definedName>
    <definedName name="Data_Anual_2">'Calc (2)'!$X$5:OFFSET('Calc (2)'!$X$5,'Calc (2)'!$AC$6,0)</definedName>
    <definedName name="Data_Anual_3">'Calc (3)'!$X$5:OFFSET('Calc (3)'!$X$5,'Calc (3)'!$AC$6,0)</definedName>
    <definedName name="Data_Mensal">Calc!$U$5:OFFSET(Calc!$U$5,Calc!$AC$4,0)</definedName>
    <definedName name="Data_Mensal_2" localSheetId="4">'Calc (2)'!$U$5:OFFSET('Calc (2)'!$U$5,'Calc (2)'!$AC$4,0)</definedName>
    <definedName name="Data_Mensal_3" localSheetId="6">'Calc (3)'!$U$5:OFFSET('Calc (3)'!$U$5,'Calc (3)'!$AC$4,0)</definedName>
    <definedName name="Inflação">Calc!$AF$30</definedName>
    <definedName name="Inflação_2" localSheetId="4">'Calc (2)'!$AF$30</definedName>
    <definedName name="Inflação_3" localSheetId="6">'Calc (3)'!$AF$30</definedName>
    <definedName name="Mês_Atual">Calc!$AF$4</definedName>
    <definedName name="Mês_Atual_2" localSheetId="1">Calc!$AF$4</definedName>
    <definedName name="Mês_Atual_2" localSheetId="4">'Calc (2)'!$AF$4</definedName>
    <definedName name="Mês_Atual_2" localSheetId="6">'Calc (3)'!$AF$4</definedName>
    <definedName name="Mês_Atual_3" localSheetId="6">'Calc (3)'!$AF$4</definedName>
    <definedName name="Patrimônio_Anual">Calc!$V$5:OFFSET(Calc!$V$5,Calc!$AC$6,0)</definedName>
    <definedName name="Patrimônio_Anual_2">'Calc (2)'!$V$5:OFFSET('Calc (2)'!$V$5,'Calc (2)'!$AC$6,0)</definedName>
    <definedName name="Patrimônio_Anual_3">'Calc (3)'!$V$5:OFFSET('Calc (3)'!$V$5,'Calc (3)'!$AC$6,0)</definedName>
    <definedName name="Período">Calc!$AF$29</definedName>
    <definedName name="Período_2" localSheetId="4">'Calc (2)'!$AF$29</definedName>
    <definedName name="Período_3" localSheetId="6">'Calc (3)'!$AF$29</definedName>
    <definedName name="RentM">IFERROR((INDEX(#REF!,MATCH(#REF!,#REF!,0),MATCH('[2]Dados desde 2008'!A$1,#REF!,0))+INDEX(#REF!,MATCH(#REF!,#REF!,0),MATCH('[2]Dados desde 2008'!A$1,#REF!,0)))/INDEX(#REF!,MATCH(#REF!,#REF!,0)-1,MATCH('[2]Dados desde 2008'!A$1,#REF!,0))-1,"-")</definedName>
    <definedName name="Retorno_1994">'[1]Otimização 1994'!$D$9</definedName>
    <definedName name="Retorno_1999">'[1]Otimização 1999'!$D$10</definedName>
    <definedName name="Retorno_2006">'[1]Otimização 2006'!$H$17</definedName>
    <definedName name="Retorno_2008">'[1]Otimização 2008'!$H$22</definedName>
    <definedName name="Risco_1994">'[1]Otimização 1994'!$E$9</definedName>
    <definedName name="Risco_1999">'[1]Otimização 1999'!$E$10</definedName>
    <definedName name="Risco_2006">'[1]Otimização 2006'!$I$17</definedName>
    <definedName name="Risco_2008">'[1]Otimização 2008'!$I$22</definedName>
    <definedName name="Taxa">Calc!$AF$28</definedName>
    <definedName name="Taxa_2" localSheetId="4">'Calc (2)'!$AF$28</definedName>
    <definedName name="Taxa_3" localSheetId="6">'Calc (3)'!$AF$28</definedName>
    <definedName name="Valor_Presente">Calc!$R$5:OFFSET(Calc!$R$5,Calc!$AC$4,0)</definedName>
    <definedName name="Valor_Presente_2" localSheetId="4">'Calc (2)'!$R$5:OFFSET('Calc (2)'!$R$5,'Calc (2)'!$AC$4,0)</definedName>
    <definedName name="Valor_Presente_3" localSheetId="6">'Calc (3)'!$R$5:OFFSET('Calc (3)'!$R$5,'Calc (3)'!$AC$4,0)</definedName>
    <definedName name="Valor_Total">Calc!$Q$5:OFFSET(Calc!$Q$5,Calc!$AC$4,0)</definedName>
    <definedName name="Valor_Total_2" localSheetId="4">'Calc (2)'!$Q$5:OFFSET('Calc (2)'!$Q$5,'Calc (2)'!$AC$4,0)</definedName>
    <definedName name="Valor_Total_3" localSheetId="6">'Calc (3)'!$Q$5:OFFSET('Calc (3)'!$Q$5,'Calc (3)'!$AC$4,0)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F4" i="9" l="1"/>
  <c r="AD31" i="10"/>
  <c r="AE31" i="10" s="1"/>
  <c r="AD31" i="9"/>
  <c r="AE31" i="9" s="1"/>
  <c r="J5" i="6"/>
  <c r="J6" i="6"/>
  <c r="J7" i="6"/>
  <c r="J8" i="6"/>
  <c r="J9" i="6"/>
  <c r="J10" i="6"/>
  <c r="J11" i="6"/>
  <c r="J12" i="6"/>
  <c r="J13" i="6"/>
  <c r="J14" i="6"/>
  <c r="AE36" i="10"/>
  <c r="AD36" i="10"/>
  <c r="AF36" i="10" s="1"/>
  <c r="AG11" i="10" s="1"/>
  <c r="AD35" i="10"/>
  <c r="AF35" i="10" s="1"/>
  <c r="AD34" i="10"/>
  <c r="AD33" i="10"/>
  <c r="AD32" i="10"/>
  <c r="AE32" i="10" s="1"/>
  <c r="AG7" i="10" s="1"/>
  <c r="AE30" i="10"/>
  <c r="AG30" i="10" s="1"/>
  <c r="AE29" i="10"/>
  <c r="AE28" i="10"/>
  <c r="AG28" i="10" s="1"/>
  <c r="AE27" i="10"/>
  <c r="AG27" i="10" s="1"/>
  <c r="AD30" i="10"/>
  <c r="AF30" i="10" s="1"/>
  <c r="AD29" i="10"/>
  <c r="AD28" i="10"/>
  <c r="AD27" i="10"/>
  <c r="AD26" i="10"/>
  <c r="Y54" i="10"/>
  <c r="X54" i="10"/>
  <c r="Y53" i="10"/>
  <c r="X53" i="10"/>
  <c r="Y52" i="10"/>
  <c r="X52" i="10"/>
  <c r="Y51" i="10"/>
  <c r="X51" i="10"/>
  <c r="Y50" i="10"/>
  <c r="X50" i="10"/>
  <c r="AB49" i="10"/>
  <c r="Y49" i="10"/>
  <c r="X49" i="10"/>
  <c r="AB48" i="10"/>
  <c r="Y48" i="10"/>
  <c r="X48" i="10"/>
  <c r="AB47" i="10"/>
  <c r="Y47" i="10"/>
  <c r="X47" i="10"/>
  <c r="AB46" i="10"/>
  <c r="Y46" i="10"/>
  <c r="X46" i="10"/>
  <c r="AB45" i="10"/>
  <c r="Y45" i="10"/>
  <c r="X45" i="10"/>
  <c r="AB44" i="10"/>
  <c r="Y44" i="10"/>
  <c r="X44" i="10"/>
  <c r="AB43" i="10"/>
  <c r="Y43" i="10"/>
  <c r="X43" i="10"/>
  <c r="AB42" i="10"/>
  <c r="Y42" i="10"/>
  <c r="X42" i="10"/>
  <c r="AB41" i="10"/>
  <c r="Y41" i="10"/>
  <c r="X41" i="10"/>
  <c r="AB40" i="10"/>
  <c r="Y40" i="10"/>
  <c r="X40" i="10"/>
  <c r="Y39" i="10"/>
  <c r="X39" i="10"/>
  <c r="Y38" i="10"/>
  <c r="X38" i="10"/>
  <c r="Y37" i="10"/>
  <c r="X37" i="10"/>
  <c r="Y36" i="10"/>
  <c r="X36" i="10"/>
  <c r="AG35" i="10"/>
  <c r="Y35" i="10"/>
  <c r="X35" i="10"/>
  <c r="AE34" i="10"/>
  <c r="AG9" i="10" s="1"/>
  <c r="Y34" i="10"/>
  <c r="X34" i="10"/>
  <c r="AE33" i="10"/>
  <c r="Y33" i="10"/>
  <c r="X33" i="10"/>
  <c r="Y32" i="10"/>
  <c r="X32" i="10"/>
  <c r="Y31" i="10"/>
  <c r="X31" i="10"/>
  <c r="Y30" i="10"/>
  <c r="X30" i="10"/>
  <c r="AG29" i="10"/>
  <c r="AF29" i="10" s="1"/>
  <c r="Y29" i="10"/>
  <c r="X29" i="10"/>
  <c r="Y28" i="10"/>
  <c r="X28" i="10"/>
  <c r="Y27" i="10"/>
  <c r="X27" i="10"/>
  <c r="Y26" i="10"/>
  <c r="X26" i="10"/>
  <c r="Y25" i="10"/>
  <c r="X25" i="10"/>
  <c r="Y24" i="10"/>
  <c r="X24" i="10"/>
  <c r="Y23" i="10"/>
  <c r="X23" i="10"/>
  <c r="Y22" i="10"/>
  <c r="X22" i="10"/>
  <c r="Y21" i="10"/>
  <c r="X21" i="10"/>
  <c r="Y20" i="10"/>
  <c r="X20" i="10"/>
  <c r="Y19" i="10"/>
  <c r="X19" i="10"/>
  <c r="Y18" i="10"/>
  <c r="X18" i="10"/>
  <c r="Y17" i="10"/>
  <c r="X17" i="10"/>
  <c r="Y16" i="10"/>
  <c r="X16" i="10"/>
  <c r="Y15" i="10"/>
  <c r="X15" i="10"/>
  <c r="Y14" i="10"/>
  <c r="X14" i="10"/>
  <c r="Y13" i="10"/>
  <c r="X13" i="10"/>
  <c r="Y12" i="10"/>
  <c r="X12" i="10"/>
  <c r="Y11" i="10"/>
  <c r="X11" i="10"/>
  <c r="Y10" i="10"/>
  <c r="X10" i="10"/>
  <c r="Y9" i="10"/>
  <c r="X9" i="10"/>
  <c r="Y8" i="10"/>
  <c r="X8" i="10"/>
  <c r="Y7" i="10"/>
  <c r="X7" i="10"/>
  <c r="Y6" i="10"/>
  <c r="X6" i="10"/>
  <c r="C6" i="10"/>
  <c r="T6" i="10" s="1"/>
  <c r="C7" i="10"/>
  <c r="T7" i="10" s="1"/>
  <c r="Y5" i="10"/>
  <c r="X5" i="10"/>
  <c r="T5" i="10"/>
  <c r="AF4" i="10"/>
  <c r="U5" i="10" s="1"/>
  <c r="U6" i="10" s="1"/>
  <c r="U7" i="10" s="1"/>
  <c r="U8" i="10" s="1"/>
  <c r="U9" i="10" s="1"/>
  <c r="U10" i="10" s="1"/>
  <c r="U11" i="10" s="1"/>
  <c r="U12" i="10" s="1"/>
  <c r="U13" i="10" s="1"/>
  <c r="U14" i="10" s="1"/>
  <c r="U15" i="10" s="1"/>
  <c r="U16" i="10" s="1"/>
  <c r="U17" i="10" s="1"/>
  <c r="U18" i="10" s="1"/>
  <c r="U19" i="10" s="1"/>
  <c r="U20" i="10" s="1"/>
  <c r="U21" i="10" s="1"/>
  <c r="U22" i="10" s="1"/>
  <c r="U23" i="10" s="1"/>
  <c r="U24" i="10" s="1"/>
  <c r="U25" i="10" s="1"/>
  <c r="U26" i="10" s="1"/>
  <c r="U27" i="10" s="1"/>
  <c r="U28" i="10" s="1"/>
  <c r="U29" i="10" s="1"/>
  <c r="U30" i="10" s="1"/>
  <c r="U31" i="10" s="1"/>
  <c r="U32" i="10" s="1"/>
  <c r="U33" i="10" s="1"/>
  <c r="U34" i="10" s="1"/>
  <c r="U35" i="10" s="1"/>
  <c r="U36" i="10" s="1"/>
  <c r="U37" i="10" s="1"/>
  <c r="U38" i="10" s="1"/>
  <c r="U39" i="10" s="1"/>
  <c r="U40" i="10" s="1"/>
  <c r="U41" i="10" s="1"/>
  <c r="U42" i="10" s="1"/>
  <c r="U43" i="10" s="1"/>
  <c r="U44" i="10" s="1"/>
  <c r="U45" i="10" s="1"/>
  <c r="U46" i="10" s="1"/>
  <c r="U47" i="10" s="1"/>
  <c r="U48" i="10" s="1"/>
  <c r="U49" i="10" s="1"/>
  <c r="U50" i="10" s="1"/>
  <c r="U51" i="10" s="1"/>
  <c r="U52" i="10" s="1"/>
  <c r="U53" i="10" s="1"/>
  <c r="U54" i="10" s="1"/>
  <c r="U55" i="10" s="1"/>
  <c r="U56" i="10" s="1"/>
  <c r="U57" i="10" s="1"/>
  <c r="U58" i="10" s="1"/>
  <c r="U59" i="10" s="1"/>
  <c r="U60" i="10" s="1"/>
  <c r="U61" i="10" s="1"/>
  <c r="U62" i="10" s="1"/>
  <c r="U63" i="10" s="1"/>
  <c r="U64" i="10" s="1"/>
  <c r="Q28" i="8"/>
  <c r="AE30" i="9"/>
  <c r="AG30" i="9" s="1"/>
  <c r="AE29" i="9"/>
  <c r="AG29" i="9" s="1"/>
  <c r="AF29" i="9" s="1"/>
  <c r="AC7" i="9" s="1"/>
  <c r="AE28" i="9"/>
  <c r="AG28" i="9" s="1"/>
  <c r="AE27" i="9"/>
  <c r="AE36" i="9"/>
  <c r="AD36" i="9"/>
  <c r="AF36" i="9" s="1"/>
  <c r="AG11" i="9" s="1"/>
  <c r="AD35" i="9"/>
  <c r="AF35" i="9" s="1"/>
  <c r="AD34" i="9"/>
  <c r="AD33" i="9"/>
  <c r="AD32" i="9"/>
  <c r="AE32" i="9" s="1"/>
  <c r="AG7" i="9" s="1"/>
  <c r="AD30" i="9"/>
  <c r="AF30" i="9" s="1"/>
  <c r="AD29" i="9"/>
  <c r="AD28" i="9"/>
  <c r="AD27" i="9"/>
  <c r="AD26" i="9"/>
  <c r="Y54" i="9"/>
  <c r="X54" i="9"/>
  <c r="Y53" i="9"/>
  <c r="X53" i="9"/>
  <c r="Y52" i="9"/>
  <c r="X52" i="9"/>
  <c r="Y51" i="9"/>
  <c r="X51" i="9"/>
  <c r="Y50" i="9"/>
  <c r="X50" i="9"/>
  <c r="AB49" i="9"/>
  <c r="Y49" i="9"/>
  <c r="X49" i="9"/>
  <c r="AB48" i="9"/>
  <c r="Y48" i="9"/>
  <c r="X48" i="9"/>
  <c r="AB47" i="9"/>
  <c r="Y47" i="9"/>
  <c r="X47" i="9"/>
  <c r="AB46" i="9"/>
  <c r="Y46" i="9"/>
  <c r="X46" i="9"/>
  <c r="AB45" i="9"/>
  <c r="Y45" i="9"/>
  <c r="X45" i="9"/>
  <c r="AB44" i="9"/>
  <c r="Y44" i="9"/>
  <c r="X44" i="9"/>
  <c r="AB43" i="9"/>
  <c r="Y43" i="9"/>
  <c r="X43" i="9"/>
  <c r="AB42" i="9"/>
  <c r="Y42" i="9"/>
  <c r="X42" i="9"/>
  <c r="AB41" i="9"/>
  <c r="Y41" i="9"/>
  <c r="X41" i="9"/>
  <c r="AB40" i="9"/>
  <c r="Y40" i="9"/>
  <c r="X40" i="9"/>
  <c r="Y39" i="9"/>
  <c r="X39" i="9"/>
  <c r="Y38" i="9"/>
  <c r="X38" i="9"/>
  <c r="Y37" i="9"/>
  <c r="X37" i="9"/>
  <c r="Y36" i="9"/>
  <c r="X36" i="9"/>
  <c r="AG35" i="9"/>
  <c r="Y35" i="9"/>
  <c r="X35" i="9"/>
  <c r="AE34" i="9"/>
  <c r="AG9" i="9" s="1"/>
  <c r="Y34" i="9"/>
  <c r="X34" i="9"/>
  <c r="AE33" i="9"/>
  <c r="Y33" i="9"/>
  <c r="X33" i="9"/>
  <c r="Y32" i="9"/>
  <c r="X32" i="9"/>
  <c r="Y31" i="9"/>
  <c r="X31" i="9"/>
  <c r="Y30" i="9"/>
  <c r="X30" i="9"/>
  <c r="Y29" i="9"/>
  <c r="X29" i="9"/>
  <c r="Y28" i="9"/>
  <c r="X28" i="9"/>
  <c r="AG27" i="9"/>
  <c r="Y27" i="9"/>
  <c r="X27" i="9"/>
  <c r="Y26" i="9"/>
  <c r="X26" i="9"/>
  <c r="Y25" i="9"/>
  <c r="X25" i="9"/>
  <c r="Y24" i="9"/>
  <c r="X24" i="9"/>
  <c r="Y23" i="9"/>
  <c r="X23" i="9"/>
  <c r="Y22" i="9"/>
  <c r="X22" i="9"/>
  <c r="Y21" i="9"/>
  <c r="X21" i="9"/>
  <c r="Y20" i="9"/>
  <c r="X20" i="9"/>
  <c r="Y19" i="9"/>
  <c r="X19" i="9"/>
  <c r="Y18" i="9"/>
  <c r="X18" i="9"/>
  <c r="Y17" i="9"/>
  <c r="X17" i="9"/>
  <c r="Y16" i="9"/>
  <c r="X16" i="9"/>
  <c r="Y15" i="9"/>
  <c r="X15" i="9"/>
  <c r="Y14" i="9"/>
  <c r="X14" i="9"/>
  <c r="Y13" i="9"/>
  <c r="X13" i="9"/>
  <c r="Y12" i="9"/>
  <c r="X12" i="9"/>
  <c r="Y11" i="9"/>
  <c r="X11" i="9"/>
  <c r="Y10" i="9"/>
  <c r="X10" i="9"/>
  <c r="Y9" i="9"/>
  <c r="X9" i="9"/>
  <c r="Y8" i="9"/>
  <c r="X8" i="9"/>
  <c r="Y7" i="9"/>
  <c r="X7" i="9"/>
  <c r="Y6" i="9"/>
  <c r="X6" i="9"/>
  <c r="C6" i="9"/>
  <c r="C7" i="9"/>
  <c r="C8" i="9" s="1"/>
  <c r="C9" i="9" s="1"/>
  <c r="C10" i="9" s="1"/>
  <c r="C11" i="9" s="1"/>
  <c r="C12" i="9" s="1"/>
  <c r="T12" i="9" s="1"/>
  <c r="Y5" i="9"/>
  <c r="X5" i="9"/>
  <c r="T5" i="9"/>
  <c r="T6" i="9"/>
  <c r="L21" i="3"/>
  <c r="L22" i="3"/>
  <c r="L23" i="3"/>
  <c r="L24" i="3"/>
  <c r="L25" i="3"/>
  <c r="L26" i="3"/>
  <c r="L27" i="3"/>
  <c r="L28" i="3"/>
  <c r="L29" i="3"/>
  <c r="L20" i="3"/>
  <c r="L5" i="3"/>
  <c r="X6" i="5"/>
  <c r="X7" i="5"/>
  <c r="X8" i="5"/>
  <c r="X9" i="5"/>
  <c r="X10" i="5"/>
  <c r="X11" i="5"/>
  <c r="X12" i="5"/>
  <c r="X13" i="5"/>
  <c r="X14" i="5"/>
  <c r="X15" i="5"/>
  <c r="X16" i="5"/>
  <c r="X17" i="5"/>
  <c r="X18" i="5"/>
  <c r="X19" i="5"/>
  <c r="X20" i="5"/>
  <c r="X21" i="5"/>
  <c r="X22" i="5"/>
  <c r="X23" i="5"/>
  <c r="X24" i="5"/>
  <c r="X25" i="5"/>
  <c r="X26" i="5"/>
  <c r="X27" i="5"/>
  <c r="X28" i="5"/>
  <c r="X29" i="5"/>
  <c r="X30" i="5"/>
  <c r="X31" i="5"/>
  <c r="X32" i="5"/>
  <c r="X33" i="5"/>
  <c r="X34" i="5"/>
  <c r="X35" i="5"/>
  <c r="X36" i="5"/>
  <c r="X37" i="5"/>
  <c r="X38" i="5"/>
  <c r="X39" i="5"/>
  <c r="X40" i="5"/>
  <c r="X41" i="5"/>
  <c r="X42" i="5"/>
  <c r="X43" i="5"/>
  <c r="X44" i="5"/>
  <c r="X45" i="5"/>
  <c r="X46" i="5"/>
  <c r="X47" i="5"/>
  <c r="X48" i="5"/>
  <c r="X49" i="5"/>
  <c r="X50" i="5"/>
  <c r="X51" i="5"/>
  <c r="X52" i="5"/>
  <c r="X53" i="5"/>
  <c r="X54" i="5"/>
  <c r="X5" i="5"/>
  <c r="AF4" i="5"/>
  <c r="U5" i="5" s="1"/>
  <c r="U6" i="5" s="1"/>
  <c r="U7" i="5" s="1"/>
  <c r="U8" i="5" s="1"/>
  <c r="U9" i="5" s="1"/>
  <c r="U10" i="5" s="1"/>
  <c r="U11" i="5" s="1"/>
  <c r="U12" i="5" s="1"/>
  <c r="U13" i="5" s="1"/>
  <c r="U14" i="5" s="1"/>
  <c r="U15" i="5" s="1"/>
  <c r="U16" i="5" s="1"/>
  <c r="U17" i="5" s="1"/>
  <c r="U18" i="5" s="1"/>
  <c r="U19" i="5" s="1"/>
  <c r="U20" i="5" s="1"/>
  <c r="U21" i="5" s="1"/>
  <c r="U22" i="5" s="1"/>
  <c r="U23" i="5" s="1"/>
  <c r="U24" i="5" s="1"/>
  <c r="U25" i="5" s="1"/>
  <c r="U26" i="5" s="1"/>
  <c r="U27" i="5" s="1"/>
  <c r="U28" i="5" s="1"/>
  <c r="U29" i="5" s="1"/>
  <c r="U30" i="5" s="1"/>
  <c r="U31" i="5" s="1"/>
  <c r="U32" i="5" s="1"/>
  <c r="U33" i="5" s="1"/>
  <c r="U34" i="5" s="1"/>
  <c r="U35" i="5" s="1"/>
  <c r="U36" i="5" s="1"/>
  <c r="U37" i="5" s="1"/>
  <c r="U38" i="5" s="1"/>
  <c r="U39" i="5" s="1"/>
  <c r="U40" i="5" s="1"/>
  <c r="U41" i="5" s="1"/>
  <c r="U42" i="5" s="1"/>
  <c r="U43" i="5" s="1"/>
  <c r="U44" i="5" s="1"/>
  <c r="U45" i="5" s="1"/>
  <c r="U46" i="5" s="1"/>
  <c r="U47" i="5" s="1"/>
  <c r="U48" i="5" s="1"/>
  <c r="U49" i="5" s="1"/>
  <c r="U50" i="5" s="1"/>
  <c r="U51" i="5" s="1"/>
  <c r="U52" i="5" s="1"/>
  <c r="U53" i="5" s="1"/>
  <c r="U54" i="5" s="1"/>
  <c r="U55" i="5" s="1"/>
  <c r="U56" i="5" s="1"/>
  <c r="U57" i="5" s="1"/>
  <c r="U58" i="5" s="1"/>
  <c r="U59" i="5" s="1"/>
  <c r="U60" i="5" s="1"/>
  <c r="U61" i="5" s="1"/>
  <c r="U62" i="5" s="1"/>
  <c r="U63" i="5" s="1"/>
  <c r="U64" i="5" s="1"/>
  <c r="AB40" i="5"/>
  <c r="AB46" i="5"/>
  <c r="AB47" i="5"/>
  <c r="AB48" i="5"/>
  <c r="AB49" i="5"/>
  <c r="AB45" i="5"/>
  <c r="AB42" i="5"/>
  <c r="AB43" i="5"/>
  <c r="AB44" i="5"/>
  <c r="AB41" i="5"/>
  <c r="Y35" i="5"/>
  <c r="Y36" i="5"/>
  <c r="Y37" i="5"/>
  <c r="Y38" i="5"/>
  <c r="Y39" i="5"/>
  <c r="Y40" i="5"/>
  <c r="Y41" i="5"/>
  <c r="Y42" i="5"/>
  <c r="Y43" i="5"/>
  <c r="Y44" i="5"/>
  <c r="Y45" i="5"/>
  <c r="Y46" i="5"/>
  <c r="Y47" i="5"/>
  <c r="Y48" i="5"/>
  <c r="Y49" i="5"/>
  <c r="Y50" i="5"/>
  <c r="Y51" i="5"/>
  <c r="Y52" i="5"/>
  <c r="Y53" i="5"/>
  <c r="Y54" i="5"/>
  <c r="Y6" i="5"/>
  <c r="Y7" i="5"/>
  <c r="Y8" i="5"/>
  <c r="Y9" i="5"/>
  <c r="Y10" i="5"/>
  <c r="Y11" i="5"/>
  <c r="Y12" i="5"/>
  <c r="Y13" i="5"/>
  <c r="Y14" i="5"/>
  <c r="Y15" i="5"/>
  <c r="Y16" i="5"/>
  <c r="Y17" i="5"/>
  <c r="Y18" i="5"/>
  <c r="Y19" i="5"/>
  <c r="Y20" i="5"/>
  <c r="Y21" i="5"/>
  <c r="Y22" i="5"/>
  <c r="Y23" i="5"/>
  <c r="Y24" i="5"/>
  <c r="Y25" i="5"/>
  <c r="Y26" i="5"/>
  <c r="Y27" i="5"/>
  <c r="Y28" i="5"/>
  <c r="Y29" i="5"/>
  <c r="Y30" i="5"/>
  <c r="Y31" i="5"/>
  <c r="Y32" i="5"/>
  <c r="Y33" i="5"/>
  <c r="Y34" i="5"/>
  <c r="Y5" i="5"/>
  <c r="AG35" i="5"/>
  <c r="AE36" i="5"/>
  <c r="AD36" i="5"/>
  <c r="AF36" i="5" s="1"/>
  <c r="AG11" i="5" s="1"/>
  <c r="AD34" i="5"/>
  <c r="AE34" i="5" s="1"/>
  <c r="AG9" i="5" s="1"/>
  <c r="AD32" i="5"/>
  <c r="AE32" i="5" s="1"/>
  <c r="AG7" i="5" s="1"/>
  <c r="AD33" i="5"/>
  <c r="AD31" i="5"/>
  <c r="AE31" i="5" s="1"/>
  <c r="AD35" i="5"/>
  <c r="AF35" i="5" s="1"/>
  <c r="N33" i="7"/>
  <c r="N30" i="7"/>
  <c r="N27" i="7"/>
  <c r="N24" i="7"/>
  <c r="N21" i="7"/>
  <c r="L16" i="7"/>
  <c r="L13" i="7"/>
  <c r="L10" i="7"/>
  <c r="L7" i="7"/>
  <c r="L4" i="7"/>
  <c r="AE30" i="5"/>
  <c r="AE29" i="5"/>
  <c r="AG29" i="5" s="1"/>
  <c r="AE28" i="5"/>
  <c r="AE27" i="5"/>
  <c r="AG27" i="5" s="1"/>
  <c r="AD30" i="5"/>
  <c r="AD29" i="5"/>
  <c r="B4" i="3" s="1"/>
  <c r="AD28" i="5"/>
  <c r="AD27" i="5"/>
  <c r="AD26" i="5"/>
  <c r="T11" i="9"/>
  <c r="B27" i="6"/>
  <c r="T5" i="5"/>
  <c r="C6" i="5"/>
  <c r="C7" i="5" s="1"/>
  <c r="C8" i="5" s="1"/>
  <c r="AG28" i="5"/>
  <c r="AF28" i="5" s="1"/>
  <c r="AG30" i="5"/>
  <c r="AF30" i="5"/>
  <c r="AE33" i="5"/>
  <c r="T7" i="9" l="1"/>
  <c r="T7" i="5"/>
  <c r="T6" i="5"/>
  <c r="C8" i="10"/>
  <c r="T8" i="9"/>
  <c r="T9" i="9"/>
  <c r="C13" i="9"/>
  <c r="C14" i="9" s="1"/>
  <c r="AF27" i="5"/>
  <c r="C9" i="5"/>
  <c r="T8" i="5"/>
  <c r="T8" i="10"/>
  <c r="C9" i="10"/>
  <c r="AF29" i="5"/>
  <c r="AC6" i="5" s="1"/>
  <c r="T10" i="9"/>
  <c r="AF27" i="9"/>
  <c r="AF28" i="9"/>
  <c r="H5" i="9" s="1"/>
  <c r="I5" i="9" s="1"/>
  <c r="B5" i="9"/>
  <c r="B6" i="9" s="1"/>
  <c r="B7" i="9" s="1"/>
  <c r="B8" i="9" s="1"/>
  <c r="B9" i="9" s="1"/>
  <c r="B10" i="9" s="1"/>
  <c r="B11" i="9" s="1"/>
  <c r="B12" i="9" s="1"/>
  <c r="B13" i="9" s="1"/>
  <c r="B14" i="9" s="1"/>
  <c r="B15" i="9" s="1"/>
  <c r="B16" i="9" s="1"/>
  <c r="B17" i="9" s="1"/>
  <c r="B18" i="9" s="1"/>
  <c r="B19" i="9" s="1"/>
  <c r="B20" i="9" s="1"/>
  <c r="B21" i="9" s="1"/>
  <c r="B22" i="9" s="1"/>
  <c r="B23" i="9" s="1"/>
  <c r="B24" i="9" s="1"/>
  <c r="B25" i="9" s="1"/>
  <c r="B26" i="9" s="1"/>
  <c r="B27" i="9" s="1"/>
  <c r="B28" i="9" s="1"/>
  <c r="B29" i="9" s="1"/>
  <c r="B30" i="9" s="1"/>
  <c r="B31" i="9" s="1"/>
  <c r="B32" i="9" s="1"/>
  <c r="B33" i="9" s="1"/>
  <c r="B34" i="9" s="1"/>
  <c r="B35" i="9" s="1"/>
  <c r="B36" i="9" s="1"/>
  <c r="B37" i="9" s="1"/>
  <c r="B38" i="9" s="1"/>
  <c r="B39" i="9" s="1"/>
  <c r="B40" i="9" s="1"/>
  <c r="B41" i="9" s="1"/>
  <c r="B42" i="9" s="1"/>
  <c r="B43" i="9" s="1"/>
  <c r="B44" i="9" s="1"/>
  <c r="B45" i="9" s="1"/>
  <c r="B46" i="9" s="1"/>
  <c r="B47" i="9" s="1"/>
  <c r="B48" i="9" s="1"/>
  <c r="B49" i="9" s="1"/>
  <c r="B50" i="9" s="1"/>
  <c r="B51" i="9" s="1"/>
  <c r="B52" i="9" s="1"/>
  <c r="B53" i="9" s="1"/>
  <c r="B54" i="9" s="1"/>
  <c r="B55" i="9" s="1"/>
  <c r="B56" i="9" s="1"/>
  <c r="B57" i="9" s="1"/>
  <c r="B58" i="9" s="1"/>
  <c r="B59" i="9" s="1"/>
  <c r="B60" i="9" s="1"/>
  <c r="B61" i="9" s="1"/>
  <c r="B62" i="9" s="1"/>
  <c r="B63" i="9" s="1"/>
  <c r="B64" i="9" s="1"/>
  <c r="B65" i="9" s="1"/>
  <c r="B66" i="9" s="1"/>
  <c r="B67" i="9" s="1"/>
  <c r="B68" i="9" s="1"/>
  <c r="B69" i="9" s="1"/>
  <c r="B70" i="9" s="1"/>
  <c r="B71" i="9" s="1"/>
  <c r="B72" i="9" s="1"/>
  <c r="B73" i="9" s="1"/>
  <c r="B74" i="9" s="1"/>
  <c r="B75" i="9" s="1"/>
  <c r="B76" i="9" s="1"/>
  <c r="B77" i="9" s="1"/>
  <c r="B78" i="9" s="1"/>
  <c r="B79" i="9" s="1"/>
  <c r="B80" i="9" s="1"/>
  <c r="B81" i="9" s="1"/>
  <c r="B82" i="9" s="1"/>
  <c r="B83" i="9" s="1"/>
  <c r="B84" i="9" s="1"/>
  <c r="B85" i="9" s="1"/>
  <c r="B86" i="9" s="1"/>
  <c r="B87" i="9" s="1"/>
  <c r="B88" i="9" s="1"/>
  <c r="B89" i="9" s="1"/>
  <c r="B90" i="9" s="1"/>
  <c r="B91" i="9" s="1"/>
  <c r="B92" i="9" s="1"/>
  <c r="B93" i="9" s="1"/>
  <c r="B94" i="9" s="1"/>
  <c r="B95" i="9" s="1"/>
  <c r="B96" i="9" s="1"/>
  <c r="B97" i="9" s="1"/>
  <c r="B98" i="9" s="1"/>
  <c r="B99" i="9" s="1"/>
  <c r="B100" i="9" s="1"/>
  <c r="B101" i="9" s="1"/>
  <c r="B102" i="9" s="1"/>
  <c r="B103" i="9" s="1"/>
  <c r="B104" i="9" s="1"/>
  <c r="B105" i="9" s="1"/>
  <c r="B106" i="9" s="1"/>
  <c r="B107" i="9" s="1"/>
  <c r="B108" i="9" s="1"/>
  <c r="B109" i="9" s="1"/>
  <c r="B110" i="9" s="1"/>
  <c r="B111" i="9" s="1"/>
  <c r="B112" i="9" s="1"/>
  <c r="B113" i="9" s="1"/>
  <c r="B114" i="9" s="1"/>
  <c r="B115" i="9" s="1"/>
  <c r="B116" i="9" s="1"/>
  <c r="B117" i="9" s="1"/>
  <c r="B118" i="9" s="1"/>
  <c r="B119" i="9" s="1"/>
  <c r="B120" i="9" s="1"/>
  <c r="B121" i="9" s="1"/>
  <c r="B122" i="9" s="1"/>
  <c r="B123" i="9" s="1"/>
  <c r="B124" i="9" s="1"/>
  <c r="B125" i="9" s="1"/>
  <c r="AC4" i="10"/>
  <c r="AC7" i="10"/>
  <c r="AA18" i="10"/>
  <c r="AB18" i="10" s="1"/>
  <c r="AC6" i="10"/>
  <c r="E5" i="5"/>
  <c r="AG13" i="5"/>
  <c r="I13" i="3" s="1"/>
  <c r="AA18" i="5"/>
  <c r="AB18" i="5" s="1"/>
  <c r="H5" i="5"/>
  <c r="I5" i="5" s="1"/>
  <c r="AA18" i="9"/>
  <c r="AB18" i="9" s="1"/>
  <c r="AC4" i="9"/>
  <c r="AC6" i="9"/>
  <c r="AG13" i="9"/>
  <c r="E5" i="9"/>
  <c r="E6" i="9" s="1"/>
  <c r="E7" i="9" s="1"/>
  <c r="E8" i="9" s="1"/>
  <c r="E9" i="9" s="1"/>
  <c r="E10" i="9" s="1"/>
  <c r="E11" i="9" s="1"/>
  <c r="E12" i="9" s="1"/>
  <c r="E13" i="9" s="1"/>
  <c r="E14" i="9" s="1"/>
  <c r="E15" i="9" s="1"/>
  <c r="E16" i="9" s="1"/>
  <c r="E17" i="9" s="1"/>
  <c r="E18" i="9" s="1"/>
  <c r="E19" i="9" s="1"/>
  <c r="E20" i="9" s="1"/>
  <c r="E21" i="9" s="1"/>
  <c r="E22" i="9" s="1"/>
  <c r="E23" i="9" s="1"/>
  <c r="E24" i="9" s="1"/>
  <c r="E25" i="9" s="1"/>
  <c r="E26" i="9" s="1"/>
  <c r="E27" i="9" s="1"/>
  <c r="E28" i="9" s="1"/>
  <c r="E29" i="9" s="1"/>
  <c r="E30" i="9" s="1"/>
  <c r="E31" i="9" s="1"/>
  <c r="E32" i="9" s="1"/>
  <c r="E33" i="9" s="1"/>
  <c r="E34" i="9" s="1"/>
  <c r="E35" i="9" s="1"/>
  <c r="E36" i="9" s="1"/>
  <c r="E37" i="9" s="1"/>
  <c r="E38" i="9" s="1"/>
  <c r="E39" i="9" s="1"/>
  <c r="E40" i="9" s="1"/>
  <c r="E41" i="9" s="1"/>
  <c r="E42" i="9" s="1"/>
  <c r="E43" i="9" s="1"/>
  <c r="E44" i="9" s="1"/>
  <c r="E45" i="9" s="1"/>
  <c r="E46" i="9" s="1"/>
  <c r="E47" i="9" s="1"/>
  <c r="E48" i="9" s="1"/>
  <c r="E49" i="9" s="1"/>
  <c r="E50" i="9" s="1"/>
  <c r="E51" i="9" s="1"/>
  <c r="E52" i="9" s="1"/>
  <c r="E53" i="9" s="1"/>
  <c r="E54" i="9" s="1"/>
  <c r="E55" i="9" s="1"/>
  <c r="E56" i="9" s="1"/>
  <c r="E57" i="9" s="1"/>
  <c r="E58" i="9" s="1"/>
  <c r="E59" i="9" s="1"/>
  <c r="E60" i="9" s="1"/>
  <c r="E61" i="9" s="1"/>
  <c r="E62" i="9" s="1"/>
  <c r="E63" i="9" s="1"/>
  <c r="E64" i="9" s="1"/>
  <c r="E65" i="9" s="1"/>
  <c r="E66" i="9" s="1"/>
  <c r="E67" i="9" s="1"/>
  <c r="E68" i="9" s="1"/>
  <c r="E69" i="9" s="1"/>
  <c r="E70" i="9" s="1"/>
  <c r="E71" i="9" s="1"/>
  <c r="E72" i="9" s="1"/>
  <c r="E73" i="9" s="1"/>
  <c r="E74" i="9" s="1"/>
  <c r="E75" i="9" s="1"/>
  <c r="E76" i="9" s="1"/>
  <c r="E77" i="9" s="1"/>
  <c r="E78" i="9" s="1"/>
  <c r="E79" i="9" s="1"/>
  <c r="E80" i="9" s="1"/>
  <c r="E81" i="9" s="1"/>
  <c r="E82" i="9" s="1"/>
  <c r="E83" i="9" s="1"/>
  <c r="E84" i="9" s="1"/>
  <c r="E85" i="9" s="1"/>
  <c r="E86" i="9" s="1"/>
  <c r="E87" i="9" s="1"/>
  <c r="E88" i="9" s="1"/>
  <c r="E89" i="9" s="1"/>
  <c r="E90" i="9" s="1"/>
  <c r="E91" i="9" s="1"/>
  <c r="E92" i="9" s="1"/>
  <c r="E93" i="9" s="1"/>
  <c r="E94" i="9" s="1"/>
  <c r="E95" i="9" s="1"/>
  <c r="E96" i="9" s="1"/>
  <c r="E97" i="9" s="1"/>
  <c r="E98" i="9" s="1"/>
  <c r="E99" i="9" s="1"/>
  <c r="E100" i="9" s="1"/>
  <c r="E101" i="9" s="1"/>
  <c r="E102" i="9" s="1"/>
  <c r="E103" i="9" s="1"/>
  <c r="E104" i="9" s="1"/>
  <c r="E105" i="9" s="1"/>
  <c r="E106" i="9" s="1"/>
  <c r="E107" i="9" s="1"/>
  <c r="E108" i="9" s="1"/>
  <c r="E109" i="9" s="1"/>
  <c r="E110" i="9" s="1"/>
  <c r="E111" i="9" s="1"/>
  <c r="E112" i="9" s="1"/>
  <c r="E113" i="9" s="1"/>
  <c r="E114" i="9" s="1"/>
  <c r="E115" i="9" s="1"/>
  <c r="E116" i="9" s="1"/>
  <c r="E117" i="9" s="1"/>
  <c r="E118" i="9" s="1"/>
  <c r="E119" i="9" s="1"/>
  <c r="E120" i="9" s="1"/>
  <c r="E121" i="9" s="1"/>
  <c r="E122" i="9" s="1"/>
  <c r="E123" i="9" s="1"/>
  <c r="E124" i="9" s="1"/>
  <c r="E125" i="9" s="1"/>
  <c r="E126" i="9" s="1"/>
  <c r="E127" i="9" s="1"/>
  <c r="E128" i="9" s="1"/>
  <c r="E129" i="9" s="1"/>
  <c r="E130" i="9" s="1"/>
  <c r="E131" i="9" s="1"/>
  <c r="E132" i="9" s="1"/>
  <c r="E133" i="9" s="1"/>
  <c r="E134" i="9" s="1"/>
  <c r="E135" i="9" s="1"/>
  <c r="E136" i="9" s="1"/>
  <c r="E137" i="9" s="1"/>
  <c r="E138" i="9" s="1"/>
  <c r="E139" i="9" s="1"/>
  <c r="E140" i="9" s="1"/>
  <c r="E141" i="9" s="1"/>
  <c r="E142" i="9" s="1"/>
  <c r="E143" i="9" s="1"/>
  <c r="E144" i="9" s="1"/>
  <c r="E145" i="9" s="1"/>
  <c r="E146" i="9" s="1"/>
  <c r="E147" i="9" s="1"/>
  <c r="E148" i="9" s="1"/>
  <c r="E149" i="9" s="1"/>
  <c r="E150" i="9" s="1"/>
  <c r="E151" i="9" s="1"/>
  <c r="E152" i="9" s="1"/>
  <c r="E153" i="9" s="1"/>
  <c r="E154" i="9" s="1"/>
  <c r="E155" i="9" s="1"/>
  <c r="E156" i="9" s="1"/>
  <c r="E157" i="9" s="1"/>
  <c r="E158" i="9" s="1"/>
  <c r="E159" i="9" s="1"/>
  <c r="E160" i="9" s="1"/>
  <c r="E161" i="9" s="1"/>
  <c r="E162" i="9" s="1"/>
  <c r="E163" i="9" s="1"/>
  <c r="E164" i="9" s="1"/>
  <c r="E165" i="9" s="1"/>
  <c r="E166" i="9" s="1"/>
  <c r="E167" i="9" s="1"/>
  <c r="E168" i="9" s="1"/>
  <c r="E169" i="9" s="1"/>
  <c r="E170" i="9" s="1"/>
  <c r="E171" i="9" s="1"/>
  <c r="E172" i="9" s="1"/>
  <c r="E173" i="9" s="1"/>
  <c r="E174" i="9" s="1"/>
  <c r="E175" i="9" s="1"/>
  <c r="E176" i="9" s="1"/>
  <c r="E177" i="9" s="1"/>
  <c r="E178" i="9" s="1"/>
  <c r="E179" i="9" s="1"/>
  <c r="E180" i="9" s="1"/>
  <c r="E181" i="9" s="1"/>
  <c r="E182" i="9" s="1"/>
  <c r="E183" i="9" s="1"/>
  <c r="E184" i="9" s="1"/>
  <c r="E185" i="9" s="1"/>
  <c r="E186" i="9" s="1"/>
  <c r="E187" i="9" s="1"/>
  <c r="E188" i="9" s="1"/>
  <c r="E189" i="9" s="1"/>
  <c r="E190" i="9" s="1"/>
  <c r="E191" i="9" s="1"/>
  <c r="E192" i="9" s="1"/>
  <c r="E193" i="9" s="1"/>
  <c r="E194" i="9" s="1"/>
  <c r="E195" i="9" s="1"/>
  <c r="E196" i="9" s="1"/>
  <c r="E197" i="9" s="1"/>
  <c r="E198" i="9" s="1"/>
  <c r="E199" i="9" s="1"/>
  <c r="E200" i="9" s="1"/>
  <c r="E201" i="9" s="1"/>
  <c r="E202" i="9" s="1"/>
  <c r="E203" i="9" s="1"/>
  <c r="E204" i="9" s="1"/>
  <c r="E205" i="9" s="1"/>
  <c r="E206" i="9" s="1"/>
  <c r="E207" i="9" s="1"/>
  <c r="E208" i="9" s="1"/>
  <c r="E209" i="9" s="1"/>
  <c r="E210" i="9" s="1"/>
  <c r="E211" i="9" s="1"/>
  <c r="E212" i="9" s="1"/>
  <c r="E213" i="9" s="1"/>
  <c r="E214" i="9" s="1"/>
  <c r="E215" i="9" s="1"/>
  <c r="E216" i="9" s="1"/>
  <c r="E217" i="9" s="1"/>
  <c r="E218" i="9" s="1"/>
  <c r="E219" i="9" s="1"/>
  <c r="E220" i="9" s="1"/>
  <c r="E221" i="9" s="1"/>
  <c r="E222" i="9" s="1"/>
  <c r="E223" i="9" s="1"/>
  <c r="E224" i="9" s="1"/>
  <c r="E225" i="9" s="1"/>
  <c r="E226" i="9" s="1"/>
  <c r="E227" i="9" s="1"/>
  <c r="E228" i="9" s="1"/>
  <c r="E229" i="9" s="1"/>
  <c r="E230" i="9" s="1"/>
  <c r="E231" i="9" s="1"/>
  <c r="E232" i="9" s="1"/>
  <c r="E233" i="9" s="1"/>
  <c r="E234" i="9" s="1"/>
  <c r="E235" i="9" s="1"/>
  <c r="E236" i="9" s="1"/>
  <c r="E237" i="9" s="1"/>
  <c r="E238" i="9" s="1"/>
  <c r="E239" i="9" s="1"/>
  <c r="E240" i="9" s="1"/>
  <c r="E241" i="9" s="1"/>
  <c r="E242" i="9" s="1"/>
  <c r="E243" i="9" s="1"/>
  <c r="E244" i="9" s="1"/>
  <c r="E245" i="9" s="1"/>
  <c r="E246" i="9" s="1"/>
  <c r="E247" i="9" s="1"/>
  <c r="E248" i="9" s="1"/>
  <c r="E249" i="9" s="1"/>
  <c r="E250" i="9" s="1"/>
  <c r="E251" i="9" s="1"/>
  <c r="E252" i="9" s="1"/>
  <c r="E253" i="9" s="1"/>
  <c r="E254" i="9" s="1"/>
  <c r="E255" i="9" s="1"/>
  <c r="E256" i="9" s="1"/>
  <c r="E257" i="9" s="1"/>
  <c r="E258" i="9" s="1"/>
  <c r="E259" i="9" s="1"/>
  <c r="E260" i="9" s="1"/>
  <c r="E261" i="9" s="1"/>
  <c r="E262" i="9" s="1"/>
  <c r="E263" i="9" s="1"/>
  <c r="E264" i="9" s="1"/>
  <c r="E265" i="9" s="1"/>
  <c r="E266" i="9" s="1"/>
  <c r="E267" i="9" s="1"/>
  <c r="E268" i="9" s="1"/>
  <c r="E269" i="9" s="1"/>
  <c r="E270" i="9" s="1"/>
  <c r="E271" i="9" s="1"/>
  <c r="E272" i="9" s="1"/>
  <c r="E273" i="9" s="1"/>
  <c r="E274" i="9" s="1"/>
  <c r="E275" i="9" s="1"/>
  <c r="E276" i="9" s="1"/>
  <c r="E277" i="9" s="1"/>
  <c r="E278" i="9" s="1"/>
  <c r="E279" i="9" s="1"/>
  <c r="E280" i="9" s="1"/>
  <c r="E281" i="9" s="1"/>
  <c r="E282" i="9" s="1"/>
  <c r="E283" i="9" s="1"/>
  <c r="E284" i="9" s="1"/>
  <c r="E285" i="9" s="1"/>
  <c r="E286" i="9" s="1"/>
  <c r="E287" i="9" s="1"/>
  <c r="E288" i="9" s="1"/>
  <c r="E289" i="9" s="1"/>
  <c r="E290" i="9" s="1"/>
  <c r="E291" i="9" s="1"/>
  <c r="E292" i="9" s="1"/>
  <c r="E293" i="9" s="1"/>
  <c r="E294" i="9" s="1"/>
  <c r="E295" i="9" s="1"/>
  <c r="E296" i="9" s="1"/>
  <c r="E297" i="9" s="1"/>
  <c r="E298" i="9" s="1"/>
  <c r="E299" i="9" s="1"/>
  <c r="E300" i="9" s="1"/>
  <c r="E301" i="9" s="1"/>
  <c r="E302" i="9" s="1"/>
  <c r="E303" i="9" s="1"/>
  <c r="E304" i="9" s="1"/>
  <c r="E305" i="9" s="1"/>
  <c r="E306" i="9" s="1"/>
  <c r="E307" i="9" s="1"/>
  <c r="E308" i="9" s="1"/>
  <c r="E309" i="9" s="1"/>
  <c r="E310" i="9" s="1"/>
  <c r="E311" i="9" s="1"/>
  <c r="E312" i="9" s="1"/>
  <c r="E313" i="9" s="1"/>
  <c r="E314" i="9" s="1"/>
  <c r="E315" i="9" s="1"/>
  <c r="E316" i="9" s="1"/>
  <c r="E317" i="9" s="1"/>
  <c r="E318" i="9" s="1"/>
  <c r="E319" i="9" s="1"/>
  <c r="E320" i="9" s="1"/>
  <c r="E321" i="9" s="1"/>
  <c r="E322" i="9" s="1"/>
  <c r="E323" i="9" s="1"/>
  <c r="E324" i="9" s="1"/>
  <c r="E325" i="9" s="1"/>
  <c r="E326" i="9" s="1"/>
  <c r="E327" i="9" s="1"/>
  <c r="E328" i="9" s="1"/>
  <c r="E329" i="9" s="1"/>
  <c r="E330" i="9" s="1"/>
  <c r="E331" i="9" s="1"/>
  <c r="E332" i="9" s="1"/>
  <c r="E333" i="9" s="1"/>
  <c r="E334" i="9" s="1"/>
  <c r="E335" i="9" s="1"/>
  <c r="E336" i="9" s="1"/>
  <c r="E337" i="9" s="1"/>
  <c r="E338" i="9" s="1"/>
  <c r="E339" i="9" s="1"/>
  <c r="E340" i="9" s="1"/>
  <c r="E341" i="9" s="1"/>
  <c r="E342" i="9" s="1"/>
  <c r="E343" i="9" s="1"/>
  <c r="E344" i="9" s="1"/>
  <c r="E345" i="9" s="1"/>
  <c r="E346" i="9" s="1"/>
  <c r="E347" i="9" s="1"/>
  <c r="E348" i="9" s="1"/>
  <c r="E349" i="9" s="1"/>
  <c r="E350" i="9" s="1"/>
  <c r="E351" i="9" s="1"/>
  <c r="E352" i="9" s="1"/>
  <c r="E353" i="9" s="1"/>
  <c r="E354" i="9" s="1"/>
  <c r="E355" i="9" s="1"/>
  <c r="E356" i="9" s="1"/>
  <c r="E357" i="9" s="1"/>
  <c r="E358" i="9" s="1"/>
  <c r="E359" i="9" s="1"/>
  <c r="E360" i="9" s="1"/>
  <c r="E361" i="9" s="1"/>
  <c r="E362" i="9" s="1"/>
  <c r="E363" i="9" s="1"/>
  <c r="E364" i="9" s="1"/>
  <c r="E365" i="9" s="1"/>
  <c r="E366" i="9" s="1"/>
  <c r="E367" i="9" s="1"/>
  <c r="E368" i="9" s="1"/>
  <c r="E369" i="9" s="1"/>
  <c r="E370" i="9" s="1"/>
  <c r="E371" i="9" s="1"/>
  <c r="E372" i="9" s="1"/>
  <c r="E373" i="9" s="1"/>
  <c r="E374" i="9" s="1"/>
  <c r="E375" i="9" s="1"/>
  <c r="E376" i="9" s="1"/>
  <c r="E377" i="9" s="1"/>
  <c r="E378" i="9" s="1"/>
  <c r="E379" i="9" s="1"/>
  <c r="E380" i="9" s="1"/>
  <c r="E381" i="9" s="1"/>
  <c r="E382" i="9" s="1"/>
  <c r="E383" i="9" s="1"/>
  <c r="E384" i="9" s="1"/>
  <c r="E385" i="9" s="1"/>
  <c r="E386" i="9" s="1"/>
  <c r="E387" i="9" s="1"/>
  <c r="E388" i="9" s="1"/>
  <c r="E389" i="9" s="1"/>
  <c r="E390" i="9" s="1"/>
  <c r="E391" i="9" s="1"/>
  <c r="E392" i="9" s="1"/>
  <c r="E393" i="9" s="1"/>
  <c r="E394" i="9" s="1"/>
  <c r="E395" i="9" s="1"/>
  <c r="E396" i="9" s="1"/>
  <c r="E397" i="9" s="1"/>
  <c r="E398" i="9" s="1"/>
  <c r="E399" i="9" s="1"/>
  <c r="E400" i="9" s="1"/>
  <c r="E401" i="9" s="1"/>
  <c r="E402" i="9" s="1"/>
  <c r="E403" i="9" s="1"/>
  <c r="E404" i="9" s="1"/>
  <c r="E405" i="9" s="1"/>
  <c r="E406" i="9" s="1"/>
  <c r="E407" i="9" s="1"/>
  <c r="E408" i="9" s="1"/>
  <c r="E409" i="9" s="1"/>
  <c r="E410" i="9" s="1"/>
  <c r="E411" i="9" s="1"/>
  <c r="E412" i="9" s="1"/>
  <c r="E413" i="9" s="1"/>
  <c r="E414" i="9" s="1"/>
  <c r="E415" i="9" s="1"/>
  <c r="E416" i="9" s="1"/>
  <c r="E417" i="9" s="1"/>
  <c r="E418" i="9" s="1"/>
  <c r="E419" i="9" s="1"/>
  <c r="E420" i="9" s="1"/>
  <c r="E421" i="9" s="1"/>
  <c r="E422" i="9" s="1"/>
  <c r="E423" i="9" s="1"/>
  <c r="E424" i="9" s="1"/>
  <c r="E425" i="9" s="1"/>
  <c r="E426" i="9" s="1"/>
  <c r="E427" i="9" s="1"/>
  <c r="E428" i="9" s="1"/>
  <c r="E429" i="9" s="1"/>
  <c r="E430" i="9" s="1"/>
  <c r="E431" i="9" s="1"/>
  <c r="E432" i="9" s="1"/>
  <c r="E433" i="9" s="1"/>
  <c r="E434" i="9" s="1"/>
  <c r="E435" i="9" s="1"/>
  <c r="E436" i="9" s="1"/>
  <c r="E437" i="9" s="1"/>
  <c r="E438" i="9" s="1"/>
  <c r="E439" i="9" s="1"/>
  <c r="E440" i="9" s="1"/>
  <c r="E441" i="9" s="1"/>
  <c r="E442" i="9" s="1"/>
  <c r="E443" i="9" s="1"/>
  <c r="E444" i="9" s="1"/>
  <c r="E445" i="9" s="1"/>
  <c r="E446" i="9" s="1"/>
  <c r="E447" i="9" s="1"/>
  <c r="E448" i="9" s="1"/>
  <c r="E449" i="9" s="1"/>
  <c r="E450" i="9" s="1"/>
  <c r="E451" i="9" s="1"/>
  <c r="E452" i="9" s="1"/>
  <c r="E453" i="9" s="1"/>
  <c r="E454" i="9" s="1"/>
  <c r="E455" i="9" s="1"/>
  <c r="E456" i="9" s="1"/>
  <c r="E457" i="9" s="1"/>
  <c r="E458" i="9" s="1"/>
  <c r="E459" i="9" s="1"/>
  <c r="E460" i="9" s="1"/>
  <c r="E461" i="9" s="1"/>
  <c r="E462" i="9" s="1"/>
  <c r="E463" i="9" s="1"/>
  <c r="E464" i="9" s="1"/>
  <c r="E465" i="9" s="1"/>
  <c r="E466" i="9" s="1"/>
  <c r="E467" i="9" s="1"/>
  <c r="E468" i="9" s="1"/>
  <c r="E469" i="9" s="1"/>
  <c r="E470" i="9" s="1"/>
  <c r="E471" i="9" s="1"/>
  <c r="E472" i="9" s="1"/>
  <c r="E473" i="9" s="1"/>
  <c r="E474" i="9" s="1"/>
  <c r="E475" i="9" s="1"/>
  <c r="E476" i="9" s="1"/>
  <c r="E477" i="9" s="1"/>
  <c r="E478" i="9" s="1"/>
  <c r="E479" i="9" s="1"/>
  <c r="E480" i="9" s="1"/>
  <c r="E481" i="9" s="1"/>
  <c r="E482" i="9" s="1"/>
  <c r="E483" i="9" s="1"/>
  <c r="E484" i="9" s="1"/>
  <c r="E485" i="9" s="1"/>
  <c r="E486" i="9" s="1"/>
  <c r="E487" i="9" s="1"/>
  <c r="E488" i="9" s="1"/>
  <c r="E489" i="9" s="1"/>
  <c r="E490" i="9" s="1"/>
  <c r="E491" i="9" s="1"/>
  <c r="E492" i="9" s="1"/>
  <c r="E493" i="9" s="1"/>
  <c r="E494" i="9" s="1"/>
  <c r="E495" i="9" s="1"/>
  <c r="E496" i="9" s="1"/>
  <c r="E497" i="9" s="1"/>
  <c r="E498" i="9" s="1"/>
  <c r="E499" i="9" s="1"/>
  <c r="E500" i="9" s="1"/>
  <c r="E501" i="9" s="1"/>
  <c r="E502" i="9" s="1"/>
  <c r="E503" i="9" s="1"/>
  <c r="E504" i="9" s="1"/>
  <c r="E505" i="9" s="1"/>
  <c r="E506" i="9" s="1"/>
  <c r="E507" i="9" s="1"/>
  <c r="E508" i="9" s="1"/>
  <c r="E509" i="9" s="1"/>
  <c r="E510" i="9" s="1"/>
  <c r="E511" i="9" s="1"/>
  <c r="E512" i="9" s="1"/>
  <c r="E513" i="9" s="1"/>
  <c r="E514" i="9" s="1"/>
  <c r="E515" i="9" s="1"/>
  <c r="E516" i="9" s="1"/>
  <c r="E517" i="9" s="1"/>
  <c r="E518" i="9" s="1"/>
  <c r="E519" i="9" s="1"/>
  <c r="E520" i="9" s="1"/>
  <c r="E521" i="9" s="1"/>
  <c r="E522" i="9" s="1"/>
  <c r="E523" i="9" s="1"/>
  <c r="E524" i="9" s="1"/>
  <c r="E525" i="9" s="1"/>
  <c r="E526" i="9" s="1"/>
  <c r="E527" i="9" s="1"/>
  <c r="E528" i="9" s="1"/>
  <c r="E529" i="9" s="1"/>
  <c r="E530" i="9" s="1"/>
  <c r="E531" i="9" s="1"/>
  <c r="E532" i="9" s="1"/>
  <c r="E533" i="9" s="1"/>
  <c r="E534" i="9" s="1"/>
  <c r="E535" i="9" s="1"/>
  <c r="E536" i="9" s="1"/>
  <c r="E537" i="9" s="1"/>
  <c r="E538" i="9" s="1"/>
  <c r="E539" i="9" s="1"/>
  <c r="E540" i="9" s="1"/>
  <c r="E541" i="9" s="1"/>
  <c r="E542" i="9" s="1"/>
  <c r="E543" i="9" s="1"/>
  <c r="E544" i="9" s="1"/>
  <c r="E545" i="9" s="1"/>
  <c r="E546" i="9" s="1"/>
  <c r="E547" i="9" s="1"/>
  <c r="E548" i="9" s="1"/>
  <c r="E549" i="9" s="1"/>
  <c r="E550" i="9" s="1"/>
  <c r="E551" i="9" s="1"/>
  <c r="E552" i="9" s="1"/>
  <c r="E553" i="9" s="1"/>
  <c r="E554" i="9" s="1"/>
  <c r="E555" i="9" s="1"/>
  <c r="E556" i="9" s="1"/>
  <c r="E557" i="9" s="1"/>
  <c r="E558" i="9" s="1"/>
  <c r="E559" i="9" s="1"/>
  <c r="E560" i="9" s="1"/>
  <c r="E561" i="9" s="1"/>
  <c r="E562" i="9" s="1"/>
  <c r="E563" i="9" s="1"/>
  <c r="E564" i="9" s="1"/>
  <c r="E565" i="9" s="1"/>
  <c r="E566" i="9" s="1"/>
  <c r="E567" i="9" s="1"/>
  <c r="E568" i="9" s="1"/>
  <c r="E569" i="9" s="1"/>
  <c r="E570" i="9" s="1"/>
  <c r="E571" i="9" s="1"/>
  <c r="E572" i="9" s="1"/>
  <c r="E573" i="9" s="1"/>
  <c r="E574" i="9" s="1"/>
  <c r="E575" i="9" s="1"/>
  <c r="E576" i="9" s="1"/>
  <c r="E577" i="9" s="1"/>
  <c r="E578" i="9" s="1"/>
  <c r="E579" i="9" s="1"/>
  <c r="E580" i="9" s="1"/>
  <c r="E581" i="9" s="1"/>
  <c r="E582" i="9" s="1"/>
  <c r="E583" i="9" s="1"/>
  <c r="E584" i="9" s="1"/>
  <c r="E585" i="9" s="1"/>
  <c r="E586" i="9" s="1"/>
  <c r="E587" i="9" s="1"/>
  <c r="E588" i="9" s="1"/>
  <c r="E589" i="9" s="1"/>
  <c r="E590" i="9" s="1"/>
  <c r="E591" i="9" s="1"/>
  <c r="E592" i="9" s="1"/>
  <c r="E593" i="9" s="1"/>
  <c r="E594" i="9" s="1"/>
  <c r="E595" i="9" s="1"/>
  <c r="E596" i="9" s="1"/>
  <c r="E597" i="9" s="1"/>
  <c r="E598" i="9" s="1"/>
  <c r="E599" i="9" s="1"/>
  <c r="E600" i="9" s="1"/>
  <c r="E601" i="9" s="1"/>
  <c r="E602" i="9" s="1"/>
  <c r="E603" i="9" s="1"/>
  <c r="E604" i="9" s="1"/>
  <c r="AF28" i="10"/>
  <c r="H5" i="10" s="1"/>
  <c r="I5" i="10" s="1"/>
  <c r="AF27" i="10"/>
  <c r="E5" i="10" s="1"/>
  <c r="AG13" i="10"/>
  <c r="B5" i="5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B24" i="5" s="1"/>
  <c r="B25" i="5" s="1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5" i="10"/>
  <c r="B6" i="10" s="1"/>
  <c r="B7" i="10" s="1"/>
  <c r="B8" i="10" s="1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27" i="10" s="1"/>
  <c r="B28" i="10" s="1"/>
  <c r="B29" i="10" s="1"/>
  <c r="B30" i="10" s="1"/>
  <c r="B31" i="10" s="1"/>
  <c r="B32" i="10" s="1"/>
  <c r="B33" i="10" s="1"/>
  <c r="B34" i="10" s="1"/>
  <c r="B35" i="10" s="1"/>
  <c r="B36" i="10" s="1"/>
  <c r="B37" i="10" s="1"/>
  <c r="B38" i="10" s="1"/>
  <c r="B39" i="10" s="1"/>
  <c r="B40" i="10" s="1"/>
  <c r="B41" i="10" s="1"/>
  <c r="B42" i="10" s="1"/>
  <c r="B43" i="10" s="1"/>
  <c r="B44" i="10" s="1"/>
  <c r="B45" i="10" s="1"/>
  <c r="B46" i="10" s="1"/>
  <c r="B47" i="10" s="1"/>
  <c r="B48" i="10" s="1"/>
  <c r="B49" i="10" s="1"/>
  <c r="B50" i="10" s="1"/>
  <c r="B51" i="10" s="1"/>
  <c r="B52" i="10" s="1"/>
  <c r="B53" i="10" s="1"/>
  <c r="B54" i="10" s="1"/>
  <c r="B55" i="10" s="1"/>
  <c r="B56" i="10" s="1"/>
  <c r="B57" i="10" s="1"/>
  <c r="B58" i="10" s="1"/>
  <c r="B59" i="10" s="1"/>
  <c r="B60" i="10" s="1"/>
  <c r="B61" i="10" s="1"/>
  <c r="B62" i="10" s="1"/>
  <c r="B63" i="10" s="1"/>
  <c r="B64" i="10" s="1"/>
  <c r="B65" i="10" s="1"/>
  <c r="B66" i="10" s="1"/>
  <c r="B67" i="10" s="1"/>
  <c r="B68" i="10" s="1"/>
  <c r="B69" i="10" s="1"/>
  <c r="B70" i="10" s="1"/>
  <c r="B71" i="10" s="1"/>
  <c r="B72" i="10" s="1"/>
  <c r="B73" i="10" s="1"/>
  <c r="B74" i="10" s="1"/>
  <c r="B75" i="10" s="1"/>
  <c r="B76" i="10" s="1"/>
  <c r="B77" i="10" s="1"/>
  <c r="B78" i="10" s="1"/>
  <c r="B79" i="10" s="1"/>
  <c r="B80" i="10" s="1"/>
  <c r="B81" i="10" s="1"/>
  <c r="B82" i="10" s="1"/>
  <c r="B83" i="10" s="1"/>
  <c r="B84" i="10" s="1"/>
  <c r="B85" i="10" s="1"/>
  <c r="B86" i="10" s="1"/>
  <c r="B87" i="10" s="1"/>
  <c r="B88" i="10" s="1"/>
  <c r="B89" i="10" s="1"/>
  <c r="B90" i="10" s="1"/>
  <c r="B91" i="10" s="1"/>
  <c r="B92" i="10" s="1"/>
  <c r="B93" i="10" s="1"/>
  <c r="B94" i="10" s="1"/>
  <c r="B95" i="10" s="1"/>
  <c r="B96" i="10" s="1"/>
  <c r="B97" i="10" s="1"/>
  <c r="B98" i="10" s="1"/>
  <c r="B99" i="10" s="1"/>
  <c r="B100" i="10" s="1"/>
  <c r="B101" i="10" s="1"/>
  <c r="B102" i="10" s="1"/>
  <c r="B103" i="10" s="1"/>
  <c r="B104" i="10" s="1"/>
  <c r="B105" i="10" s="1"/>
  <c r="B106" i="10" s="1"/>
  <c r="B107" i="10" s="1"/>
  <c r="B108" i="10" s="1"/>
  <c r="B109" i="10" s="1"/>
  <c r="B110" i="10" s="1"/>
  <c r="B111" i="10" s="1"/>
  <c r="B112" i="10" s="1"/>
  <c r="B113" i="10" s="1"/>
  <c r="B114" i="10" s="1"/>
  <c r="B115" i="10" s="1"/>
  <c r="B116" i="10" s="1"/>
  <c r="B117" i="10" s="1"/>
  <c r="B118" i="10" s="1"/>
  <c r="B119" i="10" s="1"/>
  <c r="B120" i="10" s="1"/>
  <c r="B121" i="10" s="1"/>
  <c r="B122" i="10" s="1"/>
  <c r="B123" i="10" s="1"/>
  <c r="B124" i="10" s="1"/>
  <c r="B125" i="10" s="1"/>
  <c r="B126" i="10" s="1"/>
  <c r="B127" i="10" s="1"/>
  <c r="B128" i="10" s="1"/>
  <c r="B129" i="10" s="1"/>
  <c r="B130" i="10" s="1"/>
  <c r="B131" i="10" s="1"/>
  <c r="B132" i="10" s="1"/>
  <c r="B133" i="10" s="1"/>
  <c r="B134" i="10" s="1"/>
  <c r="B135" i="10" s="1"/>
  <c r="B136" i="10" s="1"/>
  <c r="B137" i="10" s="1"/>
  <c r="B138" i="10" s="1"/>
  <c r="B139" i="10" s="1"/>
  <c r="B140" i="10" s="1"/>
  <c r="B141" i="10" s="1"/>
  <c r="B142" i="10" s="1"/>
  <c r="B143" i="10" s="1"/>
  <c r="B144" i="10" s="1"/>
  <c r="B145" i="10" s="1"/>
  <c r="B146" i="10" s="1"/>
  <c r="B147" i="10" s="1"/>
  <c r="B148" i="10" s="1"/>
  <c r="B149" i="10" s="1"/>
  <c r="B150" i="10" s="1"/>
  <c r="B151" i="10" s="1"/>
  <c r="B152" i="10" s="1"/>
  <c r="B153" i="10" s="1"/>
  <c r="B154" i="10" s="1"/>
  <c r="B155" i="10" s="1"/>
  <c r="B156" i="10" s="1"/>
  <c r="B157" i="10" s="1"/>
  <c r="B158" i="10" s="1"/>
  <c r="B159" i="10" s="1"/>
  <c r="B160" i="10" s="1"/>
  <c r="B161" i="10" s="1"/>
  <c r="B162" i="10" s="1"/>
  <c r="B163" i="10" s="1"/>
  <c r="B164" i="10" s="1"/>
  <c r="B165" i="10" s="1"/>
  <c r="B166" i="10" s="1"/>
  <c r="B167" i="10" s="1"/>
  <c r="B168" i="10" s="1"/>
  <c r="B169" i="10" s="1"/>
  <c r="B170" i="10" s="1"/>
  <c r="B171" i="10" s="1"/>
  <c r="B172" i="10" s="1"/>
  <c r="B173" i="10" s="1"/>
  <c r="B174" i="10" s="1"/>
  <c r="B175" i="10" s="1"/>
  <c r="B176" i="10" s="1"/>
  <c r="B177" i="10" s="1"/>
  <c r="B178" i="10" s="1"/>
  <c r="B179" i="10" s="1"/>
  <c r="B180" i="10" s="1"/>
  <c r="B181" i="10" s="1"/>
  <c r="B182" i="10" s="1"/>
  <c r="B183" i="10" s="1"/>
  <c r="B184" i="10" s="1"/>
  <c r="B185" i="10" s="1"/>
  <c r="B186" i="10" s="1"/>
  <c r="B187" i="10" s="1"/>
  <c r="B188" i="10" s="1"/>
  <c r="B189" i="10" s="1"/>
  <c r="B190" i="10" s="1"/>
  <c r="B191" i="10" s="1"/>
  <c r="B192" i="10" s="1"/>
  <c r="B193" i="10" s="1"/>
  <c r="B194" i="10" s="1"/>
  <c r="B195" i="10" s="1"/>
  <c r="B196" i="10" s="1"/>
  <c r="B197" i="10" s="1"/>
  <c r="B198" i="10" s="1"/>
  <c r="B199" i="10" s="1"/>
  <c r="B200" i="10" s="1"/>
  <c r="B201" i="10" s="1"/>
  <c r="B202" i="10" s="1"/>
  <c r="B203" i="10" s="1"/>
  <c r="B204" i="10" s="1"/>
  <c r="U5" i="9"/>
  <c r="U6" i="9" s="1"/>
  <c r="U7" i="9" s="1"/>
  <c r="U8" i="9" s="1"/>
  <c r="U9" i="9" s="1"/>
  <c r="U10" i="9" s="1"/>
  <c r="U11" i="9" s="1"/>
  <c r="U12" i="9" s="1"/>
  <c r="U13" i="9" s="1"/>
  <c r="U14" i="9" s="1"/>
  <c r="U15" i="9" s="1"/>
  <c r="U16" i="9" s="1"/>
  <c r="U17" i="9" s="1"/>
  <c r="U18" i="9" s="1"/>
  <c r="U19" i="9" s="1"/>
  <c r="U20" i="9" s="1"/>
  <c r="U21" i="9" s="1"/>
  <c r="U22" i="9" s="1"/>
  <c r="U23" i="9" s="1"/>
  <c r="U24" i="9" s="1"/>
  <c r="U25" i="9" s="1"/>
  <c r="U26" i="9" s="1"/>
  <c r="U27" i="9" s="1"/>
  <c r="U28" i="9" s="1"/>
  <c r="U29" i="9" s="1"/>
  <c r="U30" i="9" s="1"/>
  <c r="U31" i="9" s="1"/>
  <c r="U32" i="9" s="1"/>
  <c r="U33" i="9" s="1"/>
  <c r="U34" i="9" s="1"/>
  <c r="U35" i="9" s="1"/>
  <c r="U36" i="9" s="1"/>
  <c r="U37" i="9" s="1"/>
  <c r="U38" i="9" s="1"/>
  <c r="U39" i="9" s="1"/>
  <c r="U40" i="9" s="1"/>
  <c r="U41" i="9" s="1"/>
  <c r="U42" i="9" s="1"/>
  <c r="U43" i="9" s="1"/>
  <c r="U44" i="9" s="1"/>
  <c r="U45" i="9" s="1"/>
  <c r="U46" i="9" s="1"/>
  <c r="U47" i="9" s="1"/>
  <c r="U48" i="9" s="1"/>
  <c r="U49" i="9" s="1"/>
  <c r="U50" i="9" s="1"/>
  <c r="U51" i="9" s="1"/>
  <c r="U52" i="9" s="1"/>
  <c r="U53" i="9" s="1"/>
  <c r="U54" i="9" s="1"/>
  <c r="U55" i="9" s="1"/>
  <c r="U56" i="9" s="1"/>
  <c r="U57" i="9" s="1"/>
  <c r="U58" i="9" s="1"/>
  <c r="U59" i="9" s="1"/>
  <c r="U60" i="9" s="1"/>
  <c r="U61" i="9" s="1"/>
  <c r="U62" i="9" s="1"/>
  <c r="U63" i="9" s="1"/>
  <c r="U64" i="9" s="1"/>
  <c r="U65" i="9" s="1"/>
  <c r="U66" i="9" s="1"/>
  <c r="U67" i="9" s="1"/>
  <c r="U68" i="9" s="1"/>
  <c r="U69" i="9" s="1"/>
  <c r="U70" i="9" s="1"/>
  <c r="U71" i="9" s="1"/>
  <c r="U72" i="9" s="1"/>
  <c r="U73" i="9" s="1"/>
  <c r="U74" i="9" s="1"/>
  <c r="U75" i="9" s="1"/>
  <c r="U76" i="9" s="1"/>
  <c r="U77" i="9" s="1"/>
  <c r="U78" i="9" s="1"/>
  <c r="U79" i="9" s="1"/>
  <c r="U80" i="9" s="1"/>
  <c r="U81" i="9" s="1"/>
  <c r="U82" i="9" s="1"/>
  <c r="U83" i="9" s="1"/>
  <c r="U84" i="9" s="1"/>
  <c r="U85" i="9" s="1"/>
  <c r="U86" i="9" s="1"/>
  <c r="U87" i="9" s="1"/>
  <c r="U88" i="9" s="1"/>
  <c r="U89" i="9" s="1"/>
  <c r="U90" i="9" s="1"/>
  <c r="U91" i="9" s="1"/>
  <c r="U92" i="9" s="1"/>
  <c r="U93" i="9" s="1"/>
  <c r="U94" i="9" s="1"/>
  <c r="U95" i="9" s="1"/>
  <c r="U96" i="9" s="1"/>
  <c r="U97" i="9" s="1"/>
  <c r="U98" i="9" s="1"/>
  <c r="U99" i="9" s="1"/>
  <c r="U100" i="9" s="1"/>
  <c r="U101" i="9" s="1"/>
  <c r="U102" i="9" s="1"/>
  <c r="U103" i="9" s="1"/>
  <c r="U104" i="9" s="1"/>
  <c r="U105" i="9" s="1"/>
  <c r="U106" i="9" s="1"/>
  <c r="U107" i="9" s="1"/>
  <c r="U108" i="9" s="1"/>
  <c r="U109" i="9" s="1"/>
  <c r="U110" i="9" s="1"/>
  <c r="U111" i="9" s="1"/>
  <c r="U112" i="9" s="1"/>
  <c r="U113" i="9" s="1"/>
  <c r="U114" i="9" s="1"/>
  <c r="U115" i="9" s="1"/>
  <c r="U116" i="9" s="1"/>
  <c r="U117" i="9" s="1"/>
  <c r="U118" i="9" s="1"/>
  <c r="U119" i="9" s="1"/>
  <c r="U120" i="9" s="1"/>
  <c r="U121" i="9" s="1"/>
  <c r="U122" i="9" s="1"/>
  <c r="U123" i="9" s="1"/>
  <c r="U124" i="9" s="1"/>
  <c r="U65" i="5"/>
  <c r="U66" i="5" s="1"/>
  <c r="U67" i="5" s="1"/>
  <c r="U68" i="5" s="1"/>
  <c r="U69" i="5" s="1"/>
  <c r="U70" i="5" s="1"/>
  <c r="U71" i="5" s="1"/>
  <c r="U72" i="5" s="1"/>
  <c r="U73" i="5" s="1"/>
  <c r="U74" i="5" s="1"/>
  <c r="U75" i="5" s="1"/>
  <c r="U76" i="5" s="1"/>
  <c r="U77" i="5" s="1"/>
  <c r="U78" i="5" s="1"/>
  <c r="U79" i="5" s="1"/>
  <c r="U80" i="5" s="1"/>
  <c r="U81" i="5" s="1"/>
  <c r="U82" i="5" s="1"/>
  <c r="U83" i="5" s="1"/>
  <c r="U84" i="5" s="1"/>
  <c r="U85" i="5" s="1"/>
  <c r="U86" i="5" s="1"/>
  <c r="U87" i="5" s="1"/>
  <c r="U88" i="5" s="1"/>
  <c r="U89" i="5" s="1"/>
  <c r="U90" i="5" s="1"/>
  <c r="U91" i="5" s="1"/>
  <c r="U92" i="5" s="1"/>
  <c r="U93" i="5" s="1"/>
  <c r="U94" i="5" s="1"/>
  <c r="U95" i="5" s="1"/>
  <c r="U96" i="5" s="1"/>
  <c r="U97" i="5" s="1"/>
  <c r="U98" i="5" s="1"/>
  <c r="U99" i="5" s="1"/>
  <c r="U100" i="5" s="1"/>
  <c r="U101" i="5" s="1"/>
  <c r="U102" i="5" s="1"/>
  <c r="U103" i="5" s="1"/>
  <c r="U104" i="5" s="1"/>
  <c r="U105" i="5" s="1"/>
  <c r="U106" i="5" s="1"/>
  <c r="U107" i="5" s="1"/>
  <c r="U108" i="5" s="1"/>
  <c r="U109" i="5" s="1"/>
  <c r="U110" i="5" s="1"/>
  <c r="U111" i="5" s="1"/>
  <c r="U112" i="5" s="1"/>
  <c r="U113" i="5" s="1"/>
  <c r="U114" i="5" s="1"/>
  <c r="U115" i="5" s="1"/>
  <c r="U116" i="5" s="1"/>
  <c r="U117" i="5" s="1"/>
  <c r="U118" i="5" s="1"/>
  <c r="U119" i="5" s="1"/>
  <c r="U120" i="5" s="1"/>
  <c r="U121" i="5" s="1"/>
  <c r="U122" i="5" s="1"/>
  <c r="U123" i="5" s="1"/>
  <c r="U124" i="5" s="1"/>
  <c r="AC40" i="5"/>
  <c r="U65" i="10"/>
  <c r="U66" i="10" s="1"/>
  <c r="U67" i="10" s="1"/>
  <c r="U68" i="10" s="1"/>
  <c r="U69" i="10" s="1"/>
  <c r="U70" i="10" s="1"/>
  <c r="U71" i="10" s="1"/>
  <c r="U72" i="10" s="1"/>
  <c r="U73" i="10" s="1"/>
  <c r="U74" i="10" s="1"/>
  <c r="U75" i="10" s="1"/>
  <c r="U76" i="10" s="1"/>
  <c r="U77" i="10" s="1"/>
  <c r="U78" i="10" s="1"/>
  <c r="U79" i="10" s="1"/>
  <c r="U80" i="10" s="1"/>
  <c r="U81" i="10" s="1"/>
  <c r="U82" i="10" s="1"/>
  <c r="U83" i="10" s="1"/>
  <c r="U84" i="10" s="1"/>
  <c r="U85" i="10" s="1"/>
  <c r="U86" i="10" s="1"/>
  <c r="U87" i="10" s="1"/>
  <c r="U88" i="10" s="1"/>
  <c r="U89" i="10" s="1"/>
  <c r="U90" i="10" s="1"/>
  <c r="U91" i="10" s="1"/>
  <c r="U92" i="10" s="1"/>
  <c r="U93" i="10" s="1"/>
  <c r="U94" i="10" s="1"/>
  <c r="U95" i="10" s="1"/>
  <c r="U96" i="10" s="1"/>
  <c r="U97" i="10" s="1"/>
  <c r="U98" i="10" s="1"/>
  <c r="U99" i="10" s="1"/>
  <c r="U100" i="10" s="1"/>
  <c r="U101" i="10" s="1"/>
  <c r="U102" i="10" s="1"/>
  <c r="U103" i="10" s="1"/>
  <c r="U104" i="10" s="1"/>
  <c r="U105" i="10" s="1"/>
  <c r="U106" i="10" s="1"/>
  <c r="U107" i="10" s="1"/>
  <c r="U108" i="10" s="1"/>
  <c r="U109" i="10" s="1"/>
  <c r="U110" i="10" s="1"/>
  <c r="U111" i="10" s="1"/>
  <c r="U112" i="10" s="1"/>
  <c r="U113" i="10" s="1"/>
  <c r="U114" i="10" s="1"/>
  <c r="U115" i="10" s="1"/>
  <c r="U116" i="10" s="1"/>
  <c r="U117" i="10" s="1"/>
  <c r="U118" i="10" s="1"/>
  <c r="U119" i="10" s="1"/>
  <c r="U120" i="10" s="1"/>
  <c r="U121" i="10" s="1"/>
  <c r="U122" i="10" s="1"/>
  <c r="U123" i="10" s="1"/>
  <c r="U124" i="10" s="1"/>
  <c r="AC40" i="10"/>
  <c r="AC7" i="5" l="1"/>
  <c r="T13" i="9"/>
  <c r="C10" i="10"/>
  <c r="T9" i="10"/>
  <c r="AC4" i="5"/>
  <c r="T9" i="5"/>
  <c r="C10" i="5"/>
  <c r="T14" i="9"/>
  <c r="C15" i="9"/>
  <c r="F5" i="10"/>
  <c r="Q5" i="10"/>
  <c r="E6" i="10"/>
  <c r="E7" i="10" s="1"/>
  <c r="E8" i="10" s="1"/>
  <c r="E9" i="10" s="1"/>
  <c r="E10" i="10" s="1"/>
  <c r="E11" i="10" s="1"/>
  <c r="E12" i="10" s="1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E511" i="10" s="1"/>
  <c r="E512" i="10" s="1"/>
  <c r="E513" i="10" s="1"/>
  <c r="E514" i="10" s="1"/>
  <c r="E515" i="10" s="1"/>
  <c r="E516" i="10" s="1"/>
  <c r="E517" i="10" s="1"/>
  <c r="E518" i="10" s="1"/>
  <c r="E519" i="10" s="1"/>
  <c r="E520" i="10" s="1"/>
  <c r="E521" i="10" s="1"/>
  <c r="E522" i="10" s="1"/>
  <c r="E523" i="10" s="1"/>
  <c r="E524" i="10" s="1"/>
  <c r="E525" i="10" s="1"/>
  <c r="E526" i="10" s="1"/>
  <c r="E527" i="10" s="1"/>
  <c r="E528" i="10" s="1"/>
  <c r="E529" i="10" s="1"/>
  <c r="E530" i="10" s="1"/>
  <c r="E531" i="10" s="1"/>
  <c r="E532" i="10" s="1"/>
  <c r="E533" i="10" s="1"/>
  <c r="E534" i="10" s="1"/>
  <c r="E535" i="10" s="1"/>
  <c r="E536" i="10" s="1"/>
  <c r="E537" i="10" s="1"/>
  <c r="E538" i="10" s="1"/>
  <c r="E539" i="10" s="1"/>
  <c r="E540" i="10" s="1"/>
  <c r="E541" i="10" s="1"/>
  <c r="E542" i="10" s="1"/>
  <c r="E543" i="10" s="1"/>
  <c r="E544" i="10" s="1"/>
  <c r="E545" i="10" s="1"/>
  <c r="E546" i="10" s="1"/>
  <c r="E547" i="10" s="1"/>
  <c r="E548" i="10" s="1"/>
  <c r="E549" i="10" s="1"/>
  <c r="E550" i="10" s="1"/>
  <c r="E551" i="10" s="1"/>
  <c r="E552" i="10" s="1"/>
  <c r="E553" i="10" s="1"/>
  <c r="E554" i="10" s="1"/>
  <c r="E555" i="10" s="1"/>
  <c r="E556" i="10" s="1"/>
  <c r="E557" i="10" s="1"/>
  <c r="E558" i="10" s="1"/>
  <c r="E559" i="10" s="1"/>
  <c r="E560" i="10" s="1"/>
  <c r="E561" i="10" s="1"/>
  <c r="E562" i="10" s="1"/>
  <c r="E563" i="10" s="1"/>
  <c r="E564" i="10" s="1"/>
  <c r="E565" i="10" s="1"/>
  <c r="E566" i="10" s="1"/>
  <c r="E567" i="10" s="1"/>
  <c r="E568" i="10" s="1"/>
  <c r="E569" i="10" s="1"/>
  <c r="E570" i="10" s="1"/>
  <c r="E571" i="10" s="1"/>
  <c r="E572" i="10" s="1"/>
  <c r="E573" i="10" s="1"/>
  <c r="E574" i="10" s="1"/>
  <c r="E575" i="10" s="1"/>
  <c r="E576" i="10" s="1"/>
  <c r="E577" i="10" s="1"/>
  <c r="E578" i="10" s="1"/>
  <c r="E579" i="10" s="1"/>
  <c r="E580" i="10" s="1"/>
  <c r="E581" i="10" s="1"/>
  <c r="E582" i="10" s="1"/>
  <c r="E583" i="10" s="1"/>
  <c r="E584" i="10" s="1"/>
  <c r="E585" i="10" s="1"/>
  <c r="E586" i="10" s="1"/>
  <c r="E587" i="10" s="1"/>
  <c r="E588" i="10" s="1"/>
  <c r="E589" i="10" s="1"/>
  <c r="E590" i="10" s="1"/>
  <c r="E591" i="10" s="1"/>
  <c r="E592" i="10" s="1"/>
  <c r="E593" i="10" s="1"/>
  <c r="E594" i="10" s="1"/>
  <c r="E595" i="10" s="1"/>
  <c r="E596" i="10" s="1"/>
  <c r="E597" i="10" s="1"/>
  <c r="E598" i="10" s="1"/>
  <c r="E599" i="10" s="1"/>
  <c r="E600" i="10" s="1"/>
  <c r="E601" i="10" s="1"/>
  <c r="E602" i="10" s="1"/>
  <c r="E603" i="10" s="1"/>
  <c r="E604" i="10" s="1"/>
  <c r="R5" i="10"/>
  <c r="F5" i="9"/>
  <c r="Q5" i="9"/>
  <c r="R5" i="9"/>
  <c r="F5" i="5"/>
  <c r="Q5" i="5"/>
  <c r="R5" i="5"/>
  <c r="B44" i="5"/>
  <c r="B45" i="5" s="1"/>
  <c r="B46" i="5" s="1"/>
  <c r="B47" i="5" s="1"/>
  <c r="B48" i="5" s="1"/>
  <c r="B49" i="5" s="1"/>
  <c r="B50" i="5" s="1"/>
  <c r="B51" i="5" s="1"/>
  <c r="B52" i="5" s="1"/>
  <c r="B53" i="5" s="1"/>
  <c r="B54" i="5" s="1"/>
  <c r="B55" i="5" s="1"/>
  <c r="B56" i="5" s="1"/>
  <c r="B57" i="5" s="1"/>
  <c r="B58" i="5" s="1"/>
  <c r="B59" i="5" s="1"/>
  <c r="B60" i="5" s="1"/>
  <c r="B61" i="5" s="1"/>
  <c r="B62" i="5" s="1"/>
  <c r="B63" i="5" s="1"/>
  <c r="B64" i="5" s="1"/>
  <c r="B65" i="5" s="1"/>
  <c r="B66" i="5" s="1"/>
  <c r="B67" i="5" s="1"/>
  <c r="B68" i="5" s="1"/>
  <c r="B69" i="5" s="1"/>
  <c r="B70" i="5" s="1"/>
  <c r="B71" i="5" s="1"/>
  <c r="B72" i="5" s="1"/>
  <c r="B73" i="5" s="1"/>
  <c r="B74" i="5" s="1"/>
  <c r="B75" i="5" s="1"/>
  <c r="B76" i="5" s="1"/>
  <c r="B77" i="5" s="1"/>
  <c r="B78" i="5" s="1"/>
  <c r="B79" i="5" s="1"/>
  <c r="B80" i="5" s="1"/>
  <c r="B81" i="5" s="1"/>
  <c r="B82" i="5" s="1"/>
  <c r="B83" i="5" s="1"/>
  <c r="B84" i="5" s="1"/>
  <c r="B85" i="5" s="1"/>
  <c r="B86" i="5" s="1"/>
  <c r="B87" i="5" s="1"/>
  <c r="B88" i="5" s="1"/>
  <c r="B89" i="5" s="1"/>
  <c r="B90" i="5" s="1"/>
  <c r="B91" i="5" s="1"/>
  <c r="B92" i="5" s="1"/>
  <c r="B93" i="5" s="1"/>
  <c r="B94" i="5" s="1"/>
  <c r="B95" i="5" s="1"/>
  <c r="B96" i="5" s="1"/>
  <c r="B97" i="5" s="1"/>
  <c r="B98" i="5" s="1"/>
  <c r="B99" i="5" s="1"/>
  <c r="B100" i="5" s="1"/>
  <c r="B101" i="5" s="1"/>
  <c r="B102" i="5" s="1"/>
  <c r="B103" i="5" s="1"/>
  <c r="B104" i="5" s="1"/>
  <c r="B105" i="5" s="1"/>
  <c r="B106" i="5" s="1"/>
  <c r="B107" i="5" s="1"/>
  <c r="B108" i="5" s="1"/>
  <c r="B109" i="5" s="1"/>
  <c r="B110" i="5" s="1"/>
  <c r="B111" i="5" s="1"/>
  <c r="B112" i="5" s="1"/>
  <c r="B113" i="5" s="1"/>
  <c r="B114" i="5" s="1"/>
  <c r="B115" i="5" s="1"/>
  <c r="B116" i="5" s="1"/>
  <c r="B117" i="5" s="1"/>
  <c r="B118" i="5" s="1"/>
  <c r="B119" i="5" s="1"/>
  <c r="B120" i="5" s="1"/>
  <c r="B121" i="5" s="1"/>
  <c r="B122" i="5" s="1"/>
  <c r="B123" i="5" s="1"/>
  <c r="B124" i="5" s="1"/>
  <c r="B125" i="5" s="1"/>
  <c r="B126" i="5" s="1"/>
  <c r="B127" i="5" s="1"/>
  <c r="B128" i="5" s="1"/>
  <c r="B129" i="5" s="1"/>
  <c r="B130" i="5" s="1"/>
  <c r="B131" i="5" s="1"/>
  <c r="B132" i="5" s="1"/>
  <c r="B133" i="5" s="1"/>
  <c r="B134" i="5" s="1"/>
  <c r="B135" i="5" s="1"/>
  <c r="B136" i="5" s="1"/>
  <c r="B137" i="5" s="1"/>
  <c r="B138" i="5" s="1"/>
  <c r="B139" i="5" s="1"/>
  <c r="B140" i="5" s="1"/>
  <c r="B141" i="5" s="1"/>
  <c r="B142" i="5" s="1"/>
  <c r="B143" i="5" s="1"/>
  <c r="B144" i="5" s="1"/>
  <c r="B145" i="5" s="1"/>
  <c r="B146" i="5" s="1"/>
  <c r="B147" i="5" s="1"/>
  <c r="B148" i="5" s="1"/>
  <c r="B149" i="5" s="1"/>
  <c r="B150" i="5" s="1"/>
  <c r="B151" i="5" s="1"/>
  <c r="B152" i="5" s="1"/>
  <c r="B153" i="5" s="1"/>
  <c r="B154" i="5" s="1"/>
  <c r="B155" i="5" s="1"/>
  <c r="B156" i="5" s="1"/>
  <c r="B157" i="5" s="1"/>
  <c r="B158" i="5" s="1"/>
  <c r="B159" i="5" s="1"/>
  <c r="B160" i="5" s="1"/>
  <c r="B161" i="5" s="1"/>
  <c r="B162" i="5" s="1"/>
  <c r="B163" i="5" s="1"/>
  <c r="B164" i="5" s="1"/>
  <c r="B165" i="5" s="1"/>
  <c r="B166" i="5" s="1"/>
  <c r="B167" i="5" s="1"/>
  <c r="B168" i="5" s="1"/>
  <c r="B169" i="5" s="1"/>
  <c r="B170" i="5" s="1"/>
  <c r="B171" i="5" s="1"/>
  <c r="B172" i="5" s="1"/>
  <c r="B173" i="5" s="1"/>
  <c r="B174" i="5" s="1"/>
  <c r="B175" i="5" s="1"/>
  <c r="B176" i="5" s="1"/>
  <c r="B177" i="5" s="1"/>
  <c r="B178" i="5" s="1"/>
  <c r="B179" i="5" s="1"/>
  <c r="B180" i="5" s="1"/>
  <c r="B181" i="5" s="1"/>
  <c r="B182" i="5" s="1"/>
  <c r="B183" i="5" s="1"/>
  <c r="B184" i="5" s="1"/>
  <c r="B185" i="5" s="1"/>
  <c r="B186" i="5" s="1"/>
  <c r="B187" i="5" s="1"/>
  <c r="B188" i="5" s="1"/>
  <c r="B189" i="5" s="1"/>
  <c r="B190" i="5" s="1"/>
  <c r="B191" i="5" s="1"/>
  <c r="B192" i="5" s="1"/>
  <c r="B193" i="5" s="1"/>
  <c r="B194" i="5" s="1"/>
  <c r="B195" i="5" s="1"/>
  <c r="B196" i="5" s="1"/>
  <c r="B197" i="5" s="1"/>
  <c r="B198" i="5" s="1"/>
  <c r="B199" i="5" s="1"/>
  <c r="B200" i="5" s="1"/>
  <c r="B201" i="5" s="1"/>
  <c r="B202" i="5" s="1"/>
  <c r="B203" i="5" s="1"/>
  <c r="B204" i="5" s="1"/>
  <c r="B205" i="5" s="1"/>
  <c r="B206" i="5" s="1"/>
  <c r="B207" i="5" s="1"/>
  <c r="B208" i="5" s="1"/>
  <c r="B209" i="5" s="1"/>
  <c r="B210" i="5" s="1"/>
  <c r="B211" i="5" s="1"/>
  <c r="B212" i="5" s="1"/>
  <c r="B213" i="5" s="1"/>
  <c r="B214" i="5" s="1"/>
  <c r="B215" i="5" s="1"/>
  <c r="B216" i="5" s="1"/>
  <c r="B217" i="5" s="1"/>
  <c r="B218" i="5" s="1"/>
  <c r="B219" i="5" s="1"/>
  <c r="B220" i="5" s="1"/>
  <c r="B221" i="5" s="1"/>
  <c r="B222" i="5" s="1"/>
  <c r="B223" i="5" s="1"/>
  <c r="B224" i="5" s="1"/>
  <c r="B225" i="5" s="1"/>
  <c r="B226" i="5" s="1"/>
  <c r="B227" i="5" s="1"/>
  <c r="B228" i="5" s="1"/>
  <c r="B229" i="5" s="1"/>
  <c r="B230" i="5" s="1"/>
  <c r="B231" i="5" s="1"/>
  <c r="B232" i="5" s="1"/>
  <c r="B233" i="5" s="1"/>
  <c r="B234" i="5" s="1"/>
  <c r="B235" i="5" s="1"/>
  <c r="B236" i="5" s="1"/>
  <c r="B237" i="5" s="1"/>
  <c r="B238" i="5" s="1"/>
  <c r="B239" i="5" s="1"/>
  <c r="B240" i="5" s="1"/>
  <c r="B241" i="5" s="1"/>
  <c r="B242" i="5" s="1"/>
  <c r="B243" i="5" s="1"/>
  <c r="B244" i="5" s="1"/>
  <c r="B245" i="5" s="1"/>
  <c r="E6" i="5"/>
  <c r="E7" i="5" s="1"/>
  <c r="E8" i="5" s="1"/>
  <c r="E9" i="5" s="1"/>
  <c r="E10" i="5" s="1"/>
  <c r="E11" i="5" s="1"/>
  <c r="E12" i="5" s="1"/>
  <c r="E13" i="5" s="1"/>
  <c r="E14" i="5" s="1"/>
  <c r="E15" i="5" s="1"/>
  <c r="E16" i="5" s="1"/>
  <c r="E17" i="5" s="1"/>
  <c r="E18" i="5" s="1"/>
  <c r="E19" i="5" s="1"/>
  <c r="E20" i="5" s="1"/>
  <c r="E21" i="5" s="1"/>
  <c r="E22" i="5" s="1"/>
  <c r="E23" i="5" s="1"/>
  <c r="E24" i="5" s="1"/>
  <c r="E25" i="5" s="1"/>
  <c r="E26" i="5" s="1"/>
  <c r="E27" i="5" s="1"/>
  <c r="E28" i="5" s="1"/>
  <c r="E29" i="5" s="1"/>
  <c r="E30" i="5" s="1"/>
  <c r="E31" i="5" s="1"/>
  <c r="E32" i="5" s="1"/>
  <c r="E33" i="5" s="1"/>
  <c r="E34" i="5" s="1"/>
  <c r="E35" i="5" s="1"/>
  <c r="E36" i="5" s="1"/>
  <c r="E37" i="5" s="1"/>
  <c r="E38" i="5" s="1"/>
  <c r="E39" i="5" s="1"/>
  <c r="E40" i="5" s="1"/>
  <c r="E41" i="5" s="1"/>
  <c r="E42" i="5" s="1"/>
  <c r="E43" i="5" s="1"/>
  <c r="E44" i="5" s="1"/>
  <c r="E45" i="5" s="1"/>
  <c r="E46" i="5" s="1"/>
  <c r="E47" i="5" s="1"/>
  <c r="E48" i="5" s="1"/>
  <c r="E49" i="5" s="1"/>
  <c r="E50" i="5" s="1"/>
  <c r="E51" i="5" s="1"/>
  <c r="E52" i="5" s="1"/>
  <c r="E53" i="5" s="1"/>
  <c r="E54" i="5" s="1"/>
  <c r="E55" i="5" s="1"/>
  <c r="E56" i="5" s="1"/>
  <c r="E57" i="5" s="1"/>
  <c r="E58" i="5" s="1"/>
  <c r="E59" i="5" s="1"/>
  <c r="E60" i="5" s="1"/>
  <c r="E61" i="5" s="1"/>
  <c r="E62" i="5" s="1"/>
  <c r="E63" i="5" s="1"/>
  <c r="E64" i="5" s="1"/>
  <c r="E65" i="5" s="1"/>
  <c r="E66" i="5" s="1"/>
  <c r="E67" i="5" s="1"/>
  <c r="E68" i="5" s="1"/>
  <c r="E69" i="5" s="1"/>
  <c r="E70" i="5" s="1"/>
  <c r="E71" i="5" s="1"/>
  <c r="E72" i="5" s="1"/>
  <c r="E73" i="5" s="1"/>
  <c r="E74" i="5" s="1"/>
  <c r="E75" i="5" s="1"/>
  <c r="E76" i="5" s="1"/>
  <c r="E77" i="5" s="1"/>
  <c r="E78" i="5" s="1"/>
  <c r="E79" i="5" s="1"/>
  <c r="E80" i="5" s="1"/>
  <c r="E81" i="5" s="1"/>
  <c r="E82" i="5" s="1"/>
  <c r="E83" i="5" s="1"/>
  <c r="E84" i="5" s="1"/>
  <c r="E85" i="5" s="1"/>
  <c r="E86" i="5" s="1"/>
  <c r="E87" i="5" s="1"/>
  <c r="E88" i="5" s="1"/>
  <c r="E89" i="5" s="1"/>
  <c r="E90" i="5" s="1"/>
  <c r="E91" i="5" s="1"/>
  <c r="E92" i="5" s="1"/>
  <c r="E93" i="5" s="1"/>
  <c r="E94" i="5" s="1"/>
  <c r="E95" i="5" s="1"/>
  <c r="E96" i="5" s="1"/>
  <c r="E97" i="5" s="1"/>
  <c r="E98" i="5" s="1"/>
  <c r="E99" i="5" s="1"/>
  <c r="E100" i="5" s="1"/>
  <c r="E101" i="5" s="1"/>
  <c r="E102" i="5" s="1"/>
  <c r="E103" i="5" s="1"/>
  <c r="E104" i="5" s="1"/>
  <c r="E105" i="5" s="1"/>
  <c r="E106" i="5" s="1"/>
  <c r="E107" i="5" s="1"/>
  <c r="E108" i="5" s="1"/>
  <c r="E109" i="5" s="1"/>
  <c r="E110" i="5" s="1"/>
  <c r="E111" i="5" s="1"/>
  <c r="E112" i="5" s="1"/>
  <c r="E113" i="5" s="1"/>
  <c r="E114" i="5" s="1"/>
  <c r="E115" i="5" s="1"/>
  <c r="E116" i="5" s="1"/>
  <c r="E117" i="5" s="1"/>
  <c r="E118" i="5" s="1"/>
  <c r="E119" i="5" s="1"/>
  <c r="E120" i="5" s="1"/>
  <c r="E121" i="5" s="1"/>
  <c r="E122" i="5" s="1"/>
  <c r="E123" i="5" s="1"/>
  <c r="E124" i="5" s="1"/>
  <c r="E125" i="5" s="1"/>
  <c r="E126" i="5" s="1"/>
  <c r="E127" i="5" s="1"/>
  <c r="E128" i="5" s="1"/>
  <c r="E129" i="5" s="1"/>
  <c r="E130" i="5" s="1"/>
  <c r="E131" i="5" s="1"/>
  <c r="E132" i="5" s="1"/>
  <c r="E133" i="5" s="1"/>
  <c r="E134" i="5" s="1"/>
  <c r="E135" i="5" s="1"/>
  <c r="E136" i="5" s="1"/>
  <c r="E137" i="5" s="1"/>
  <c r="E138" i="5" s="1"/>
  <c r="E139" i="5" s="1"/>
  <c r="E140" i="5" s="1"/>
  <c r="E141" i="5" s="1"/>
  <c r="E142" i="5" s="1"/>
  <c r="E143" i="5" s="1"/>
  <c r="E144" i="5" s="1"/>
  <c r="E145" i="5" s="1"/>
  <c r="E146" i="5" s="1"/>
  <c r="E147" i="5" s="1"/>
  <c r="E148" i="5" s="1"/>
  <c r="E149" i="5" s="1"/>
  <c r="E150" i="5" s="1"/>
  <c r="E151" i="5" s="1"/>
  <c r="E152" i="5" s="1"/>
  <c r="E153" i="5" s="1"/>
  <c r="E154" i="5" s="1"/>
  <c r="E155" i="5" s="1"/>
  <c r="E156" i="5" s="1"/>
  <c r="E157" i="5" s="1"/>
  <c r="E158" i="5" s="1"/>
  <c r="E159" i="5" s="1"/>
  <c r="E160" i="5" s="1"/>
  <c r="E161" i="5" s="1"/>
  <c r="E162" i="5" s="1"/>
  <c r="E163" i="5" s="1"/>
  <c r="E164" i="5" s="1"/>
  <c r="E165" i="5" s="1"/>
  <c r="E166" i="5" s="1"/>
  <c r="E167" i="5" s="1"/>
  <c r="E168" i="5" s="1"/>
  <c r="E169" i="5" s="1"/>
  <c r="E170" i="5" s="1"/>
  <c r="E171" i="5" s="1"/>
  <c r="E172" i="5" s="1"/>
  <c r="E173" i="5" s="1"/>
  <c r="E174" i="5" s="1"/>
  <c r="E175" i="5" s="1"/>
  <c r="E176" i="5" s="1"/>
  <c r="E177" i="5" s="1"/>
  <c r="E178" i="5" s="1"/>
  <c r="E179" i="5" s="1"/>
  <c r="E180" i="5" s="1"/>
  <c r="E181" i="5" s="1"/>
  <c r="E182" i="5" s="1"/>
  <c r="E183" i="5" s="1"/>
  <c r="E184" i="5" s="1"/>
  <c r="E185" i="5" s="1"/>
  <c r="E186" i="5" s="1"/>
  <c r="E187" i="5" s="1"/>
  <c r="E188" i="5" s="1"/>
  <c r="E189" i="5" s="1"/>
  <c r="E190" i="5" s="1"/>
  <c r="E191" i="5" s="1"/>
  <c r="E192" i="5" s="1"/>
  <c r="E193" i="5" s="1"/>
  <c r="E194" i="5" s="1"/>
  <c r="E195" i="5" s="1"/>
  <c r="E196" i="5" s="1"/>
  <c r="E197" i="5" s="1"/>
  <c r="E198" i="5" s="1"/>
  <c r="E199" i="5" s="1"/>
  <c r="E200" i="5" s="1"/>
  <c r="E201" i="5" s="1"/>
  <c r="E202" i="5" s="1"/>
  <c r="E203" i="5" s="1"/>
  <c r="E204" i="5" s="1"/>
  <c r="E205" i="5" s="1"/>
  <c r="E206" i="5" s="1"/>
  <c r="E207" i="5" s="1"/>
  <c r="E208" i="5" s="1"/>
  <c r="E209" i="5" s="1"/>
  <c r="E210" i="5" s="1"/>
  <c r="E211" i="5" s="1"/>
  <c r="E212" i="5" s="1"/>
  <c r="E213" i="5" s="1"/>
  <c r="E214" i="5" s="1"/>
  <c r="E215" i="5" s="1"/>
  <c r="E216" i="5" s="1"/>
  <c r="E217" i="5" s="1"/>
  <c r="E218" i="5" s="1"/>
  <c r="E219" i="5" s="1"/>
  <c r="E220" i="5" s="1"/>
  <c r="E221" i="5" s="1"/>
  <c r="E222" i="5" s="1"/>
  <c r="E223" i="5" s="1"/>
  <c r="E224" i="5" s="1"/>
  <c r="E225" i="5" s="1"/>
  <c r="E226" i="5" s="1"/>
  <c r="E227" i="5" s="1"/>
  <c r="E228" i="5" s="1"/>
  <c r="E229" i="5" s="1"/>
  <c r="E230" i="5" s="1"/>
  <c r="E231" i="5" s="1"/>
  <c r="E232" i="5" s="1"/>
  <c r="E233" i="5" s="1"/>
  <c r="E234" i="5" s="1"/>
  <c r="E235" i="5" s="1"/>
  <c r="E236" i="5" s="1"/>
  <c r="E237" i="5" s="1"/>
  <c r="E238" i="5" s="1"/>
  <c r="E239" i="5" s="1"/>
  <c r="E240" i="5" s="1"/>
  <c r="E241" i="5" s="1"/>
  <c r="E242" i="5" s="1"/>
  <c r="E243" i="5" s="1"/>
  <c r="E244" i="5" s="1"/>
  <c r="E245" i="5" s="1"/>
  <c r="E246" i="5" s="1"/>
  <c r="E247" i="5" s="1"/>
  <c r="E248" i="5" s="1"/>
  <c r="E249" i="5" s="1"/>
  <c r="E250" i="5" s="1"/>
  <c r="E251" i="5" s="1"/>
  <c r="E252" i="5" s="1"/>
  <c r="E253" i="5" s="1"/>
  <c r="E254" i="5" s="1"/>
  <c r="E255" i="5" s="1"/>
  <c r="E256" i="5" s="1"/>
  <c r="E257" i="5" s="1"/>
  <c r="E258" i="5" s="1"/>
  <c r="E259" i="5" s="1"/>
  <c r="E260" i="5" s="1"/>
  <c r="E261" i="5" s="1"/>
  <c r="E262" i="5" s="1"/>
  <c r="E263" i="5" s="1"/>
  <c r="E264" i="5" s="1"/>
  <c r="E265" i="5" s="1"/>
  <c r="E266" i="5" s="1"/>
  <c r="E267" i="5" s="1"/>
  <c r="E268" i="5" s="1"/>
  <c r="E269" i="5" s="1"/>
  <c r="E270" i="5" s="1"/>
  <c r="E271" i="5" s="1"/>
  <c r="E272" i="5" s="1"/>
  <c r="E273" i="5" s="1"/>
  <c r="E274" i="5" s="1"/>
  <c r="E275" i="5" s="1"/>
  <c r="E276" i="5" s="1"/>
  <c r="E277" i="5" s="1"/>
  <c r="E278" i="5" s="1"/>
  <c r="E279" i="5" s="1"/>
  <c r="E280" i="5" s="1"/>
  <c r="E281" i="5" s="1"/>
  <c r="E282" i="5" s="1"/>
  <c r="E283" i="5" s="1"/>
  <c r="E284" i="5" s="1"/>
  <c r="E285" i="5" s="1"/>
  <c r="E286" i="5" s="1"/>
  <c r="E287" i="5" s="1"/>
  <c r="E288" i="5" s="1"/>
  <c r="E289" i="5" s="1"/>
  <c r="E290" i="5" s="1"/>
  <c r="E291" i="5" s="1"/>
  <c r="E292" i="5" s="1"/>
  <c r="E293" i="5" s="1"/>
  <c r="E294" i="5" s="1"/>
  <c r="E295" i="5" s="1"/>
  <c r="E296" i="5" s="1"/>
  <c r="E297" i="5" s="1"/>
  <c r="E298" i="5" s="1"/>
  <c r="E299" i="5" s="1"/>
  <c r="E300" i="5" s="1"/>
  <c r="E301" i="5" s="1"/>
  <c r="E302" i="5" s="1"/>
  <c r="E303" i="5" s="1"/>
  <c r="E304" i="5" s="1"/>
  <c r="E305" i="5" s="1"/>
  <c r="E306" i="5" s="1"/>
  <c r="E307" i="5" s="1"/>
  <c r="E308" i="5" s="1"/>
  <c r="E309" i="5" s="1"/>
  <c r="E310" i="5" s="1"/>
  <c r="E311" i="5" s="1"/>
  <c r="E312" i="5" s="1"/>
  <c r="E313" i="5" s="1"/>
  <c r="E314" i="5" s="1"/>
  <c r="E315" i="5" s="1"/>
  <c r="E316" i="5" s="1"/>
  <c r="E317" i="5" s="1"/>
  <c r="E318" i="5" s="1"/>
  <c r="E319" i="5" s="1"/>
  <c r="E320" i="5" s="1"/>
  <c r="E321" i="5" s="1"/>
  <c r="E322" i="5" s="1"/>
  <c r="E323" i="5" s="1"/>
  <c r="E324" i="5" s="1"/>
  <c r="E325" i="5" s="1"/>
  <c r="E326" i="5" s="1"/>
  <c r="E327" i="5" s="1"/>
  <c r="E328" i="5" s="1"/>
  <c r="E329" i="5" s="1"/>
  <c r="E330" i="5" s="1"/>
  <c r="E331" i="5" s="1"/>
  <c r="E332" i="5" s="1"/>
  <c r="E333" i="5" s="1"/>
  <c r="E334" i="5" s="1"/>
  <c r="E335" i="5" s="1"/>
  <c r="E336" i="5" s="1"/>
  <c r="E337" i="5" s="1"/>
  <c r="E338" i="5" s="1"/>
  <c r="E339" i="5" s="1"/>
  <c r="E340" i="5" s="1"/>
  <c r="E341" i="5" s="1"/>
  <c r="E342" i="5" s="1"/>
  <c r="E343" i="5" s="1"/>
  <c r="E344" i="5" s="1"/>
  <c r="E345" i="5" s="1"/>
  <c r="E346" i="5" s="1"/>
  <c r="E347" i="5" s="1"/>
  <c r="E348" i="5" s="1"/>
  <c r="E349" i="5" s="1"/>
  <c r="E350" i="5" s="1"/>
  <c r="E351" i="5" s="1"/>
  <c r="E352" i="5" s="1"/>
  <c r="E353" i="5" s="1"/>
  <c r="E354" i="5" s="1"/>
  <c r="E355" i="5" s="1"/>
  <c r="E356" i="5" s="1"/>
  <c r="E357" i="5" s="1"/>
  <c r="E358" i="5" s="1"/>
  <c r="E359" i="5" s="1"/>
  <c r="E360" i="5" s="1"/>
  <c r="E361" i="5" s="1"/>
  <c r="E362" i="5" s="1"/>
  <c r="E363" i="5" s="1"/>
  <c r="E364" i="5" s="1"/>
  <c r="E365" i="5" s="1"/>
  <c r="E366" i="5" s="1"/>
  <c r="E367" i="5" s="1"/>
  <c r="E368" i="5" s="1"/>
  <c r="E369" i="5" s="1"/>
  <c r="E370" i="5" s="1"/>
  <c r="E371" i="5" s="1"/>
  <c r="E372" i="5" s="1"/>
  <c r="E373" i="5" s="1"/>
  <c r="E374" i="5" s="1"/>
  <c r="E375" i="5" s="1"/>
  <c r="E376" i="5" s="1"/>
  <c r="E377" i="5" s="1"/>
  <c r="E378" i="5" s="1"/>
  <c r="E379" i="5" s="1"/>
  <c r="E380" i="5" s="1"/>
  <c r="E381" i="5" s="1"/>
  <c r="E382" i="5" s="1"/>
  <c r="E383" i="5" s="1"/>
  <c r="E384" i="5" s="1"/>
  <c r="E385" i="5" s="1"/>
  <c r="E386" i="5" s="1"/>
  <c r="E387" i="5" s="1"/>
  <c r="E388" i="5" s="1"/>
  <c r="E389" i="5" s="1"/>
  <c r="E390" i="5" s="1"/>
  <c r="E391" i="5" s="1"/>
  <c r="E392" i="5" s="1"/>
  <c r="E393" i="5" s="1"/>
  <c r="E394" i="5" s="1"/>
  <c r="E395" i="5" s="1"/>
  <c r="E396" i="5" s="1"/>
  <c r="E397" i="5" s="1"/>
  <c r="E398" i="5" s="1"/>
  <c r="E399" i="5" s="1"/>
  <c r="E400" i="5" s="1"/>
  <c r="E401" i="5" s="1"/>
  <c r="E402" i="5" s="1"/>
  <c r="E403" i="5" s="1"/>
  <c r="E404" i="5" s="1"/>
  <c r="E405" i="5" s="1"/>
  <c r="E406" i="5" s="1"/>
  <c r="E407" i="5" s="1"/>
  <c r="E408" i="5" s="1"/>
  <c r="E409" i="5" s="1"/>
  <c r="E410" i="5" s="1"/>
  <c r="E411" i="5" s="1"/>
  <c r="E412" i="5" s="1"/>
  <c r="E413" i="5" s="1"/>
  <c r="E414" i="5" s="1"/>
  <c r="E415" i="5" s="1"/>
  <c r="E416" i="5" s="1"/>
  <c r="E417" i="5" s="1"/>
  <c r="E418" i="5" s="1"/>
  <c r="E419" i="5" s="1"/>
  <c r="E420" i="5" s="1"/>
  <c r="E421" i="5" s="1"/>
  <c r="E422" i="5" s="1"/>
  <c r="E423" i="5" s="1"/>
  <c r="E424" i="5" s="1"/>
  <c r="E425" i="5" s="1"/>
  <c r="E426" i="5" s="1"/>
  <c r="E427" i="5" s="1"/>
  <c r="E428" i="5" s="1"/>
  <c r="E429" i="5" s="1"/>
  <c r="E430" i="5" s="1"/>
  <c r="E431" i="5" s="1"/>
  <c r="E432" i="5" s="1"/>
  <c r="E433" i="5" s="1"/>
  <c r="E434" i="5" s="1"/>
  <c r="E435" i="5" s="1"/>
  <c r="E436" i="5" s="1"/>
  <c r="E437" i="5" s="1"/>
  <c r="E438" i="5" s="1"/>
  <c r="E439" i="5" s="1"/>
  <c r="E440" i="5" s="1"/>
  <c r="E441" i="5" s="1"/>
  <c r="E442" i="5" s="1"/>
  <c r="E443" i="5" s="1"/>
  <c r="E444" i="5" s="1"/>
  <c r="E445" i="5" s="1"/>
  <c r="E446" i="5" s="1"/>
  <c r="E447" i="5" s="1"/>
  <c r="E448" i="5" s="1"/>
  <c r="E449" i="5" s="1"/>
  <c r="E450" i="5" s="1"/>
  <c r="E451" i="5" s="1"/>
  <c r="E452" i="5" s="1"/>
  <c r="E453" i="5" s="1"/>
  <c r="E454" i="5" s="1"/>
  <c r="E455" i="5" s="1"/>
  <c r="E456" i="5" s="1"/>
  <c r="E457" i="5" s="1"/>
  <c r="E458" i="5" s="1"/>
  <c r="E459" i="5" s="1"/>
  <c r="E460" i="5" s="1"/>
  <c r="E461" i="5" s="1"/>
  <c r="E462" i="5" s="1"/>
  <c r="E463" i="5" s="1"/>
  <c r="E464" i="5" s="1"/>
  <c r="E465" i="5" s="1"/>
  <c r="E466" i="5" s="1"/>
  <c r="E467" i="5" s="1"/>
  <c r="E468" i="5" s="1"/>
  <c r="E469" i="5" s="1"/>
  <c r="E470" i="5" s="1"/>
  <c r="E471" i="5" s="1"/>
  <c r="E472" i="5" s="1"/>
  <c r="E473" i="5" s="1"/>
  <c r="E474" i="5" s="1"/>
  <c r="E475" i="5" s="1"/>
  <c r="E476" i="5" s="1"/>
  <c r="E477" i="5" s="1"/>
  <c r="E478" i="5" s="1"/>
  <c r="E479" i="5" s="1"/>
  <c r="E480" i="5" s="1"/>
  <c r="E481" i="5" s="1"/>
  <c r="E482" i="5" s="1"/>
  <c r="E483" i="5" s="1"/>
  <c r="E484" i="5" s="1"/>
  <c r="E485" i="5" s="1"/>
  <c r="E486" i="5" s="1"/>
  <c r="E487" i="5" s="1"/>
  <c r="E488" i="5" s="1"/>
  <c r="E489" i="5" s="1"/>
  <c r="E490" i="5" s="1"/>
  <c r="E491" i="5" s="1"/>
  <c r="E492" i="5" s="1"/>
  <c r="E493" i="5" s="1"/>
  <c r="E494" i="5" s="1"/>
  <c r="E495" i="5" s="1"/>
  <c r="E496" i="5" s="1"/>
  <c r="E497" i="5" s="1"/>
  <c r="E498" i="5" s="1"/>
  <c r="E499" i="5" s="1"/>
  <c r="E500" i="5" s="1"/>
  <c r="E501" i="5" s="1"/>
  <c r="E502" i="5" s="1"/>
  <c r="E503" i="5" s="1"/>
  <c r="E504" i="5" s="1"/>
  <c r="E505" i="5" s="1"/>
  <c r="E506" i="5" s="1"/>
  <c r="E507" i="5" s="1"/>
  <c r="E508" i="5" s="1"/>
  <c r="E509" i="5" s="1"/>
  <c r="E510" i="5" s="1"/>
  <c r="E511" i="5" s="1"/>
  <c r="E512" i="5" s="1"/>
  <c r="E513" i="5" s="1"/>
  <c r="E514" i="5" s="1"/>
  <c r="E515" i="5" s="1"/>
  <c r="E516" i="5" s="1"/>
  <c r="E517" i="5" s="1"/>
  <c r="E518" i="5" s="1"/>
  <c r="E519" i="5" s="1"/>
  <c r="E520" i="5" s="1"/>
  <c r="E521" i="5" s="1"/>
  <c r="E522" i="5" s="1"/>
  <c r="E523" i="5" s="1"/>
  <c r="E524" i="5" s="1"/>
  <c r="E525" i="5" s="1"/>
  <c r="E526" i="5" s="1"/>
  <c r="E527" i="5" s="1"/>
  <c r="E528" i="5" s="1"/>
  <c r="E529" i="5" s="1"/>
  <c r="E530" i="5" s="1"/>
  <c r="E531" i="5" s="1"/>
  <c r="E532" i="5" s="1"/>
  <c r="E533" i="5" s="1"/>
  <c r="E534" i="5" s="1"/>
  <c r="E535" i="5" s="1"/>
  <c r="E536" i="5" s="1"/>
  <c r="E537" i="5" s="1"/>
  <c r="E538" i="5" s="1"/>
  <c r="E539" i="5" s="1"/>
  <c r="E540" i="5" s="1"/>
  <c r="E541" i="5" s="1"/>
  <c r="E542" i="5" s="1"/>
  <c r="E543" i="5" s="1"/>
  <c r="E544" i="5" s="1"/>
  <c r="E545" i="5" s="1"/>
  <c r="E546" i="5" s="1"/>
  <c r="E547" i="5" s="1"/>
  <c r="E548" i="5" s="1"/>
  <c r="E549" i="5" s="1"/>
  <c r="E550" i="5" s="1"/>
  <c r="E551" i="5" s="1"/>
  <c r="E552" i="5" s="1"/>
  <c r="E553" i="5" s="1"/>
  <c r="E554" i="5" s="1"/>
  <c r="E555" i="5" s="1"/>
  <c r="E556" i="5" s="1"/>
  <c r="E557" i="5" s="1"/>
  <c r="E558" i="5" s="1"/>
  <c r="E559" i="5" s="1"/>
  <c r="E560" i="5" s="1"/>
  <c r="E561" i="5" s="1"/>
  <c r="E562" i="5" s="1"/>
  <c r="E563" i="5" s="1"/>
  <c r="E564" i="5" s="1"/>
  <c r="E565" i="5" s="1"/>
  <c r="E566" i="5" s="1"/>
  <c r="E567" i="5" s="1"/>
  <c r="E568" i="5" s="1"/>
  <c r="E569" i="5" s="1"/>
  <c r="E570" i="5" s="1"/>
  <c r="E571" i="5" s="1"/>
  <c r="E572" i="5" s="1"/>
  <c r="E573" i="5" s="1"/>
  <c r="E574" i="5" s="1"/>
  <c r="E575" i="5" s="1"/>
  <c r="E576" i="5" s="1"/>
  <c r="E577" i="5" s="1"/>
  <c r="E578" i="5" s="1"/>
  <c r="E579" i="5" s="1"/>
  <c r="E580" i="5" s="1"/>
  <c r="E581" i="5" s="1"/>
  <c r="E582" i="5" s="1"/>
  <c r="E583" i="5" s="1"/>
  <c r="E584" i="5" s="1"/>
  <c r="E585" i="5" s="1"/>
  <c r="E586" i="5" s="1"/>
  <c r="E587" i="5" s="1"/>
  <c r="E588" i="5" s="1"/>
  <c r="E589" i="5" s="1"/>
  <c r="E590" i="5" s="1"/>
  <c r="E591" i="5" s="1"/>
  <c r="E592" i="5" s="1"/>
  <c r="E593" i="5" s="1"/>
  <c r="E594" i="5" s="1"/>
  <c r="E595" i="5" s="1"/>
  <c r="E596" i="5" s="1"/>
  <c r="E597" i="5" s="1"/>
  <c r="E598" i="5" s="1"/>
  <c r="E599" i="5" s="1"/>
  <c r="E600" i="5" s="1"/>
  <c r="E601" i="5" s="1"/>
  <c r="E602" i="5" s="1"/>
  <c r="E603" i="5" s="1"/>
  <c r="E604" i="5" s="1"/>
  <c r="AC40" i="9"/>
  <c r="B205" i="10"/>
  <c r="B206" i="10" s="1"/>
  <c r="B207" i="10" s="1"/>
  <c r="B208" i="10" s="1"/>
  <c r="B209" i="10" s="1"/>
  <c r="B210" i="10" s="1"/>
  <c r="B211" i="10" s="1"/>
  <c r="B212" i="10" s="1"/>
  <c r="B213" i="10" s="1"/>
  <c r="B214" i="10" s="1"/>
  <c r="B215" i="10" s="1"/>
  <c r="B216" i="10" s="1"/>
  <c r="B217" i="10" s="1"/>
  <c r="B218" i="10" s="1"/>
  <c r="B219" i="10" s="1"/>
  <c r="B220" i="10" s="1"/>
  <c r="B221" i="10" s="1"/>
  <c r="B222" i="10" s="1"/>
  <c r="B223" i="10" s="1"/>
  <c r="B224" i="10" s="1"/>
  <c r="B225" i="10" s="1"/>
  <c r="B226" i="10" s="1"/>
  <c r="B227" i="10" s="1"/>
  <c r="B228" i="10" s="1"/>
  <c r="B229" i="10" s="1"/>
  <c r="B230" i="10" s="1"/>
  <c r="B231" i="10" s="1"/>
  <c r="B232" i="10" s="1"/>
  <c r="B233" i="10" s="1"/>
  <c r="B234" i="10" s="1"/>
  <c r="B235" i="10" s="1"/>
  <c r="B236" i="10" s="1"/>
  <c r="B237" i="10" s="1"/>
  <c r="B238" i="10" s="1"/>
  <c r="B239" i="10" s="1"/>
  <c r="B240" i="10" s="1"/>
  <c r="B241" i="10" s="1"/>
  <c r="B242" i="10" s="1"/>
  <c r="B243" i="10" s="1"/>
  <c r="B244" i="10" s="1"/>
  <c r="B245" i="10" s="1"/>
  <c r="B246" i="10" s="1"/>
  <c r="B247" i="10" s="1"/>
  <c r="B248" i="10" s="1"/>
  <c r="B249" i="10" s="1"/>
  <c r="B250" i="10" s="1"/>
  <c r="B251" i="10" s="1"/>
  <c r="B252" i="10" s="1"/>
  <c r="B253" i="10" s="1"/>
  <c r="B254" i="10" s="1"/>
  <c r="B255" i="10" s="1"/>
  <c r="B256" i="10" s="1"/>
  <c r="B257" i="10" s="1"/>
  <c r="B258" i="10" s="1"/>
  <c r="B259" i="10" s="1"/>
  <c r="B260" i="10" s="1"/>
  <c r="B261" i="10" s="1"/>
  <c r="B262" i="10" s="1"/>
  <c r="B263" i="10" s="1"/>
  <c r="B264" i="10" s="1"/>
  <c r="B265" i="10" s="1"/>
  <c r="B266" i="10" s="1"/>
  <c r="B267" i="10" s="1"/>
  <c r="B268" i="10" s="1"/>
  <c r="B269" i="10" s="1"/>
  <c r="B270" i="10" s="1"/>
  <c r="B271" i="10" s="1"/>
  <c r="B272" i="10" s="1"/>
  <c r="B273" i="10" s="1"/>
  <c r="B274" i="10" s="1"/>
  <c r="B275" i="10" s="1"/>
  <c r="B276" i="10" s="1"/>
  <c r="B277" i="10" s="1"/>
  <c r="B278" i="10" s="1"/>
  <c r="B279" i="10" s="1"/>
  <c r="B280" i="10" s="1"/>
  <c r="B281" i="10" s="1"/>
  <c r="B282" i="10" s="1"/>
  <c r="B283" i="10" s="1"/>
  <c r="B284" i="10" s="1"/>
  <c r="B285" i="10" s="1"/>
  <c r="B286" i="10" s="1"/>
  <c r="B287" i="10" s="1"/>
  <c r="B288" i="10" s="1"/>
  <c r="B289" i="10" s="1"/>
  <c r="B290" i="10" s="1"/>
  <c r="B291" i="10" s="1"/>
  <c r="B292" i="10" s="1"/>
  <c r="B293" i="10" s="1"/>
  <c r="B294" i="10" s="1"/>
  <c r="B295" i="10" s="1"/>
  <c r="B296" i="10" s="1"/>
  <c r="B297" i="10" s="1"/>
  <c r="B298" i="10" s="1"/>
  <c r="B299" i="10" s="1"/>
  <c r="B300" i="10" s="1"/>
  <c r="B301" i="10" s="1"/>
  <c r="B302" i="10" s="1"/>
  <c r="B303" i="10" s="1"/>
  <c r="B304" i="10" s="1"/>
  <c r="B305" i="10" s="1"/>
  <c r="B306" i="10" s="1"/>
  <c r="B307" i="10" s="1"/>
  <c r="B308" i="10" s="1"/>
  <c r="B309" i="10" s="1"/>
  <c r="B310" i="10" s="1"/>
  <c r="B311" i="10" s="1"/>
  <c r="B312" i="10" s="1"/>
  <c r="B313" i="10" s="1"/>
  <c r="B314" i="10" s="1"/>
  <c r="B315" i="10" s="1"/>
  <c r="B316" i="10" s="1"/>
  <c r="B317" i="10" s="1"/>
  <c r="B318" i="10" s="1"/>
  <c r="B319" i="10" s="1"/>
  <c r="B320" i="10" s="1"/>
  <c r="B321" i="10" s="1"/>
  <c r="B322" i="10" s="1"/>
  <c r="B323" i="10" s="1"/>
  <c r="B324" i="10" s="1"/>
  <c r="B325" i="10" s="1"/>
  <c r="B326" i="10" s="1"/>
  <c r="B327" i="10" s="1"/>
  <c r="B328" i="10" s="1"/>
  <c r="B329" i="10" s="1"/>
  <c r="B330" i="10" s="1"/>
  <c r="B331" i="10" s="1"/>
  <c r="B332" i="10" s="1"/>
  <c r="B333" i="10" s="1"/>
  <c r="B334" i="10" s="1"/>
  <c r="B335" i="10" s="1"/>
  <c r="B336" i="10" s="1"/>
  <c r="B337" i="10" s="1"/>
  <c r="B338" i="10" s="1"/>
  <c r="B339" i="10" s="1"/>
  <c r="B340" i="10" s="1"/>
  <c r="B341" i="10" s="1"/>
  <c r="B342" i="10" s="1"/>
  <c r="B343" i="10" s="1"/>
  <c r="B344" i="10" s="1"/>
  <c r="B345" i="10" s="1"/>
  <c r="B346" i="10" s="1"/>
  <c r="B347" i="10" s="1"/>
  <c r="B348" i="10" s="1"/>
  <c r="B349" i="10" s="1"/>
  <c r="B350" i="10" s="1"/>
  <c r="B351" i="10" s="1"/>
  <c r="B352" i="10" s="1"/>
  <c r="B353" i="10" s="1"/>
  <c r="B354" i="10" s="1"/>
  <c r="B355" i="10" s="1"/>
  <c r="B356" i="10" s="1"/>
  <c r="B357" i="10" s="1"/>
  <c r="B358" i="10" s="1"/>
  <c r="B359" i="10" s="1"/>
  <c r="B360" i="10" s="1"/>
  <c r="B361" i="10" s="1"/>
  <c r="B362" i="10" s="1"/>
  <c r="B363" i="10" s="1"/>
  <c r="B364" i="10" s="1"/>
  <c r="B365" i="10" s="1"/>
  <c r="B366" i="10" s="1"/>
  <c r="B367" i="10" s="1"/>
  <c r="B368" i="10" s="1"/>
  <c r="B369" i="10" s="1"/>
  <c r="B370" i="10" s="1"/>
  <c r="B371" i="10" s="1"/>
  <c r="B372" i="10" s="1"/>
  <c r="B373" i="10" s="1"/>
  <c r="B374" i="10" s="1"/>
  <c r="B375" i="10" s="1"/>
  <c r="B376" i="10" s="1"/>
  <c r="B377" i="10" s="1"/>
  <c r="B378" i="10" s="1"/>
  <c r="B379" i="10" s="1"/>
  <c r="B380" i="10" s="1"/>
  <c r="B381" i="10" s="1"/>
  <c r="B382" i="10" s="1"/>
  <c r="B383" i="10" s="1"/>
  <c r="B384" i="10" s="1"/>
  <c r="B385" i="10" s="1"/>
  <c r="B386" i="10" s="1"/>
  <c r="B387" i="10" s="1"/>
  <c r="B388" i="10" s="1"/>
  <c r="B389" i="10" s="1"/>
  <c r="B390" i="10" s="1"/>
  <c r="B391" i="10" s="1"/>
  <c r="B392" i="10" s="1"/>
  <c r="B393" i="10" s="1"/>
  <c r="B394" i="10" s="1"/>
  <c r="B395" i="10" s="1"/>
  <c r="B396" i="10" s="1"/>
  <c r="B397" i="10" s="1"/>
  <c r="B398" i="10" s="1"/>
  <c r="B399" i="10" s="1"/>
  <c r="B400" i="10" s="1"/>
  <c r="B401" i="10" s="1"/>
  <c r="B402" i="10" s="1"/>
  <c r="B403" i="10" s="1"/>
  <c r="B404" i="10" s="1"/>
  <c r="B405" i="10" s="1"/>
  <c r="B406" i="10" s="1"/>
  <c r="B407" i="10" s="1"/>
  <c r="B408" i="10" s="1"/>
  <c r="B409" i="10" s="1"/>
  <c r="B410" i="10" s="1"/>
  <c r="B411" i="10" s="1"/>
  <c r="B412" i="10" s="1"/>
  <c r="B413" i="10" s="1"/>
  <c r="B414" i="10" s="1"/>
  <c r="B415" i="10" s="1"/>
  <c r="B416" i="10" s="1"/>
  <c r="B417" i="10" s="1"/>
  <c r="B418" i="10" s="1"/>
  <c r="B419" i="10" s="1"/>
  <c r="B420" i="10" s="1"/>
  <c r="B421" i="10" s="1"/>
  <c r="B422" i="10" s="1"/>
  <c r="B423" i="10" s="1"/>
  <c r="B424" i="10" s="1"/>
  <c r="B425" i="10" s="1"/>
  <c r="B426" i="10" s="1"/>
  <c r="B427" i="10" s="1"/>
  <c r="B428" i="10" s="1"/>
  <c r="B429" i="10" s="1"/>
  <c r="B430" i="10" s="1"/>
  <c r="B431" i="10" s="1"/>
  <c r="B432" i="10" s="1"/>
  <c r="B433" i="10" s="1"/>
  <c r="B434" i="10" s="1"/>
  <c r="B435" i="10" s="1"/>
  <c r="B436" i="10" s="1"/>
  <c r="B437" i="10" s="1"/>
  <c r="B438" i="10" s="1"/>
  <c r="B439" i="10" s="1"/>
  <c r="B440" i="10" s="1"/>
  <c r="B441" i="10" s="1"/>
  <c r="B442" i="10" s="1"/>
  <c r="B443" i="10" s="1"/>
  <c r="B444" i="10" s="1"/>
  <c r="B445" i="10" s="1"/>
  <c r="B446" i="10" s="1"/>
  <c r="B447" i="10" s="1"/>
  <c r="B448" i="10" s="1"/>
  <c r="B449" i="10" s="1"/>
  <c r="B450" i="10" s="1"/>
  <c r="B451" i="10" s="1"/>
  <c r="B452" i="10" s="1"/>
  <c r="B453" i="10" s="1"/>
  <c r="B454" i="10" s="1"/>
  <c r="B455" i="10" s="1"/>
  <c r="B456" i="10" s="1"/>
  <c r="B457" i="10" s="1"/>
  <c r="B458" i="10" s="1"/>
  <c r="B459" i="10" s="1"/>
  <c r="B460" i="10" s="1"/>
  <c r="B461" i="10" s="1"/>
  <c r="B462" i="10" s="1"/>
  <c r="B463" i="10" s="1"/>
  <c r="B464" i="10" s="1"/>
  <c r="B465" i="10" s="1"/>
  <c r="B466" i="10" s="1"/>
  <c r="B467" i="10" s="1"/>
  <c r="B468" i="10" s="1"/>
  <c r="B469" i="10" s="1"/>
  <c r="B470" i="10" s="1"/>
  <c r="B471" i="10" s="1"/>
  <c r="B472" i="10" s="1"/>
  <c r="B473" i="10" s="1"/>
  <c r="B474" i="10" s="1"/>
  <c r="B475" i="10" s="1"/>
  <c r="B476" i="10" s="1"/>
  <c r="B477" i="10" s="1"/>
  <c r="B478" i="10" s="1"/>
  <c r="B479" i="10" s="1"/>
  <c r="B480" i="10" s="1"/>
  <c r="B481" i="10" s="1"/>
  <c r="B482" i="10" s="1"/>
  <c r="B483" i="10" s="1"/>
  <c r="B484" i="10" s="1"/>
  <c r="B485" i="10" s="1"/>
  <c r="B486" i="10" s="1"/>
  <c r="B487" i="10" s="1"/>
  <c r="B488" i="10" s="1"/>
  <c r="B489" i="10" s="1"/>
  <c r="B490" i="10" s="1"/>
  <c r="B491" i="10" s="1"/>
  <c r="B492" i="10" s="1"/>
  <c r="B493" i="10" s="1"/>
  <c r="B494" i="10" s="1"/>
  <c r="B495" i="10" s="1"/>
  <c r="B496" i="10" s="1"/>
  <c r="B497" i="10" s="1"/>
  <c r="B498" i="10" s="1"/>
  <c r="B499" i="10" s="1"/>
  <c r="B500" i="10" s="1"/>
  <c r="B501" i="10" s="1"/>
  <c r="B502" i="10" s="1"/>
  <c r="B503" i="10" s="1"/>
  <c r="B504" i="10" s="1"/>
  <c r="B505" i="10" s="1"/>
  <c r="B506" i="10" s="1"/>
  <c r="B507" i="10" s="1"/>
  <c r="B508" i="10" s="1"/>
  <c r="B509" i="10" s="1"/>
  <c r="B510" i="10" s="1"/>
  <c r="B511" i="10" s="1"/>
  <c r="B512" i="10" s="1"/>
  <c r="B513" i="10" s="1"/>
  <c r="B514" i="10" s="1"/>
  <c r="B515" i="10" s="1"/>
  <c r="B516" i="10" s="1"/>
  <c r="B517" i="10" s="1"/>
  <c r="B518" i="10" s="1"/>
  <c r="B519" i="10" s="1"/>
  <c r="B520" i="10" s="1"/>
  <c r="B521" i="10" s="1"/>
  <c r="B522" i="10" s="1"/>
  <c r="B523" i="10" s="1"/>
  <c r="B524" i="10" s="1"/>
  <c r="B525" i="10" s="1"/>
  <c r="B526" i="10" s="1"/>
  <c r="B527" i="10" s="1"/>
  <c r="B528" i="10" s="1"/>
  <c r="B529" i="10" s="1"/>
  <c r="B530" i="10" s="1"/>
  <c r="B531" i="10" s="1"/>
  <c r="B532" i="10" s="1"/>
  <c r="B533" i="10" s="1"/>
  <c r="B534" i="10" s="1"/>
  <c r="B535" i="10" s="1"/>
  <c r="B536" i="10" s="1"/>
  <c r="B537" i="10" s="1"/>
  <c r="B538" i="10" s="1"/>
  <c r="B539" i="10" s="1"/>
  <c r="B540" i="10" s="1"/>
  <c r="B541" i="10" s="1"/>
  <c r="B542" i="10" s="1"/>
  <c r="B543" i="10" s="1"/>
  <c r="B544" i="10" s="1"/>
  <c r="B545" i="10" s="1"/>
  <c r="B546" i="10" s="1"/>
  <c r="B547" i="10" s="1"/>
  <c r="B548" i="10" s="1"/>
  <c r="B549" i="10" s="1"/>
  <c r="B550" i="10" s="1"/>
  <c r="B551" i="10" s="1"/>
  <c r="B552" i="10" s="1"/>
  <c r="B553" i="10" s="1"/>
  <c r="B554" i="10" s="1"/>
  <c r="B555" i="10" s="1"/>
  <c r="B556" i="10" s="1"/>
  <c r="B557" i="10" s="1"/>
  <c r="B558" i="10" s="1"/>
  <c r="B559" i="10" s="1"/>
  <c r="B560" i="10" s="1"/>
  <c r="B561" i="10" s="1"/>
  <c r="B562" i="10" s="1"/>
  <c r="B563" i="10" s="1"/>
  <c r="B564" i="10" s="1"/>
  <c r="B565" i="10" s="1"/>
  <c r="B566" i="10" s="1"/>
  <c r="B567" i="10" s="1"/>
  <c r="B568" i="10" s="1"/>
  <c r="B569" i="10" s="1"/>
  <c r="B570" i="10" s="1"/>
  <c r="B571" i="10" s="1"/>
  <c r="B572" i="10" s="1"/>
  <c r="B573" i="10" s="1"/>
  <c r="B574" i="10" s="1"/>
  <c r="B575" i="10" s="1"/>
  <c r="B576" i="10" s="1"/>
  <c r="B577" i="10" s="1"/>
  <c r="B578" i="10" s="1"/>
  <c r="B579" i="10" s="1"/>
  <c r="B580" i="10" s="1"/>
  <c r="B581" i="10" s="1"/>
  <c r="B582" i="10" s="1"/>
  <c r="B583" i="10" s="1"/>
  <c r="B584" i="10" s="1"/>
  <c r="B585" i="10" s="1"/>
  <c r="B586" i="10" s="1"/>
  <c r="B587" i="10" s="1"/>
  <c r="B588" i="10" s="1"/>
  <c r="B589" i="10" s="1"/>
  <c r="B590" i="10" s="1"/>
  <c r="B591" i="10" s="1"/>
  <c r="B592" i="10" s="1"/>
  <c r="B593" i="10" s="1"/>
  <c r="B594" i="10" s="1"/>
  <c r="B595" i="10" s="1"/>
  <c r="B596" i="10" s="1"/>
  <c r="B597" i="10" s="1"/>
  <c r="B598" i="10" s="1"/>
  <c r="B599" i="10" s="1"/>
  <c r="B600" i="10" s="1"/>
  <c r="B601" i="10" s="1"/>
  <c r="B602" i="10" s="1"/>
  <c r="B603" i="10" s="1"/>
  <c r="B604" i="10" s="1"/>
  <c r="B126" i="9"/>
  <c r="B127" i="9" s="1"/>
  <c r="B128" i="9" s="1"/>
  <c r="B129" i="9" s="1"/>
  <c r="B130" i="9" s="1"/>
  <c r="B131" i="9" s="1"/>
  <c r="B132" i="9" s="1"/>
  <c r="B133" i="9" s="1"/>
  <c r="B134" i="9" s="1"/>
  <c r="B135" i="9" s="1"/>
  <c r="B136" i="9" s="1"/>
  <c r="B137" i="9" s="1"/>
  <c r="B138" i="9" s="1"/>
  <c r="B139" i="9" s="1"/>
  <c r="B140" i="9" s="1"/>
  <c r="B141" i="9" s="1"/>
  <c r="B142" i="9" s="1"/>
  <c r="B143" i="9" s="1"/>
  <c r="B144" i="9" s="1"/>
  <c r="B145" i="9" s="1"/>
  <c r="B146" i="9" s="1"/>
  <c r="B147" i="9" s="1"/>
  <c r="B148" i="9" s="1"/>
  <c r="B149" i="9" s="1"/>
  <c r="B150" i="9" s="1"/>
  <c r="B151" i="9" s="1"/>
  <c r="B152" i="9" s="1"/>
  <c r="B153" i="9" s="1"/>
  <c r="B154" i="9" s="1"/>
  <c r="B155" i="9" s="1"/>
  <c r="B156" i="9" s="1"/>
  <c r="B157" i="9" s="1"/>
  <c r="B158" i="9" s="1"/>
  <c r="B159" i="9" s="1"/>
  <c r="B160" i="9" s="1"/>
  <c r="B161" i="9" s="1"/>
  <c r="B162" i="9" s="1"/>
  <c r="B163" i="9" s="1"/>
  <c r="B164" i="9" s="1"/>
  <c r="B165" i="9" s="1"/>
  <c r="B166" i="9" s="1"/>
  <c r="B167" i="9" s="1"/>
  <c r="B168" i="9" s="1"/>
  <c r="B169" i="9" s="1"/>
  <c r="B170" i="9" s="1"/>
  <c r="B171" i="9" s="1"/>
  <c r="B172" i="9" s="1"/>
  <c r="B173" i="9" s="1"/>
  <c r="B174" i="9" s="1"/>
  <c r="B175" i="9" s="1"/>
  <c r="B176" i="9" s="1"/>
  <c r="B177" i="9" s="1"/>
  <c r="B178" i="9" s="1"/>
  <c r="B179" i="9" s="1"/>
  <c r="B180" i="9" s="1"/>
  <c r="B181" i="9" s="1"/>
  <c r="B182" i="9" s="1"/>
  <c r="B183" i="9" s="1"/>
  <c r="B184" i="9" s="1"/>
  <c r="B185" i="9" s="1"/>
  <c r="B186" i="9" s="1"/>
  <c r="B187" i="9" s="1"/>
  <c r="B188" i="9" s="1"/>
  <c r="B189" i="9" s="1"/>
  <c r="B190" i="9" s="1"/>
  <c r="B191" i="9" s="1"/>
  <c r="B192" i="9" s="1"/>
  <c r="B193" i="9" s="1"/>
  <c r="B194" i="9" s="1"/>
  <c r="B195" i="9" s="1"/>
  <c r="B196" i="9" s="1"/>
  <c r="B197" i="9" s="1"/>
  <c r="B198" i="9" s="1"/>
  <c r="B199" i="9" s="1"/>
  <c r="B200" i="9" s="1"/>
  <c r="B201" i="9" s="1"/>
  <c r="B202" i="9" s="1"/>
  <c r="B203" i="9" s="1"/>
  <c r="AC41" i="5"/>
  <c r="U125" i="5"/>
  <c r="U126" i="5" s="1"/>
  <c r="U127" i="5" s="1"/>
  <c r="U128" i="5" s="1"/>
  <c r="U129" i="5" s="1"/>
  <c r="U130" i="5" s="1"/>
  <c r="U131" i="5" s="1"/>
  <c r="U132" i="5" s="1"/>
  <c r="U133" i="5" s="1"/>
  <c r="U134" i="5" s="1"/>
  <c r="U135" i="5" s="1"/>
  <c r="U136" i="5" s="1"/>
  <c r="U137" i="5" s="1"/>
  <c r="U138" i="5" s="1"/>
  <c r="U139" i="5" s="1"/>
  <c r="U140" i="5" s="1"/>
  <c r="U141" i="5" s="1"/>
  <c r="U142" i="5" s="1"/>
  <c r="U143" i="5" s="1"/>
  <c r="U144" i="5" s="1"/>
  <c r="U145" i="5" s="1"/>
  <c r="U146" i="5" s="1"/>
  <c r="U147" i="5" s="1"/>
  <c r="U148" i="5" s="1"/>
  <c r="U149" i="5" s="1"/>
  <c r="U150" i="5" s="1"/>
  <c r="U151" i="5" s="1"/>
  <c r="U152" i="5" s="1"/>
  <c r="U153" i="5" s="1"/>
  <c r="U154" i="5" s="1"/>
  <c r="U155" i="5" s="1"/>
  <c r="U156" i="5" s="1"/>
  <c r="U157" i="5" s="1"/>
  <c r="U158" i="5" s="1"/>
  <c r="U159" i="5" s="1"/>
  <c r="U160" i="5" s="1"/>
  <c r="U161" i="5" s="1"/>
  <c r="U162" i="5" s="1"/>
  <c r="U163" i="5" s="1"/>
  <c r="U164" i="5" s="1"/>
  <c r="U165" i="5" s="1"/>
  <c r="U166" i="5" s="1"/>
  <c r="U167" i="5" s="1"/>
  <c r="U168" i="5" s="1"/>
  <c r="U169" i="5" s="1"/>
  <c r="U170" i="5" s="1"/>
  <c r="U171" i="5" s="1"/>
  <c r="U172" i="5" s="1"/>
  <c r="U173" i="5" s="1"/>
  <c r="U174" i="5" s="1"/>
  <c r="U175" i="5" s="1"/>
  <c r="U176" i="5" s="1"/>
  <c r="U177" i="5" s="1"/>
  <c r="U178" i="5" s="1"/>
  <c r="U179" i="5" s="1"/>
  <c r="U180" i="5" s="1"/>
  <c r="U181" i="5" s="1"/>
  <c r="U182" i="5" s="1"/>
  <c r="U183" i="5" s="1"/>
  <c r="U184" i="5" s="1"/>
  <c r="U125" i="10"/>
  <c r="U126" i="10" s="1"/>
  <c r="U127" i="10" s="1"/>
  <c r="U128" i="10" s="1"/>
  <c r="U129" i="10" s="1"/>
  <c r="U130" i="10" s="1"/>
  <c r="U131" i="10" s="1"/>
  <c r="U132" i="10" s="1"/>
  <c r="U133" i="10" s="1"/>
  <c r="U134" i="10" s="1"/>
  <c r="U135" i="10" s="1"/>
  <c r="U136" i="10" s="1"/>
  <c r="U137" i="10" s="1"/>
  <c r="U138" i="10" s="1"/>
  <c r="U139" i="10" s="1"/>
  <c r="U140" i="10" s="1"/>
  <c r="U141" i="10" s="1"/>
  <c r="U142" i="10" s="1"/>
  <c r="U143" i="10" s="1"/>
  <c r="U144" i="10" s="1"/>
  <c r="U145" i="10" s="1"/>
  <c r="U146" i="10" s="1"/>
  <c r="U147" i="10" s="1"/>
  <c r="U148" i="10" s="1"/>
  <c r="U149" i="10" s="1"/>
  <c r="U150" i="10" s="1"/>
  <c r="U151" i="10" s="1"/>
  <c r="U152" i="10" s="1"/>
  <c r="U153" i="10" s="1"/>
  <c r="U154" i="10" s="1"/>
  <c r="U155" i="10" s="1"/>
  <c r="U156" i="10" s="1"/>
  <c r="U157" i="10" s="1"/>
  <c r="U158" i="10" s="1"/>
  <c r="U159" i="10" s="1"/>
  <c r="U160" i="10" s="1"/>
  <c r="U161" i="10" s="1"/>
  <c r="U162" i="10" s="1"/>
  <c r="U163" i="10" s="1"/>
  <c r="U164" i="10" s="1"/>
  <c r="U165" i="10" s="1"/>
  <c r="U166" i="10" s="1"/>
  <c r="U167" i="10" s="1"/>
  <c r="U168" i="10" s="1"/>
  <c r="U169" i="10" s="1"/>
  <c r="U170" i="10" s="1"/>
  <c r="U171" i="10" s="1"/>
  <c r="U172" i="10" s="1"/>
  <c r="U173" i="10" s="1"/>
  <c r="U174" i="10" s="1"/>
  <c r="U175" i="10" s="1"/>
  <c r="U176" i="10" s="1"/>
  <c r="U177" i="10" s="1"/>
  <c r="U178" i="10" s="1"/>
  <c r="U179" i="10" s="1"/>
  <c r="U180" i="10" s="1"/>
  <c r="U181" i="10" s="1"/>
  <c r="U182" i="10" s="1"/>
  <c r="U183" i="10" s="1"/>
  <c r="U184" i="10" s="1"/>
  <c r="AC41" i="10"/>
  <c r="U125" i="9"/>
  <c r="U126" i="9" s="1"/>
  <c r="U127" i="9" s="1"/>
  <c r="U128" i="9" s="1"/>
  <c r="U129" i="9" s="1"/>
  <c r="U130" i="9" s="1"/>
  <c r="U131" i="9" s="1"/>
  <c r="U132" i="9" s="1"/>
  <c r="U133" i="9" s="1"/>
  <c r="U134" i="9" s="1"/>
  <c r="U135" i="9" s="1"/>
  <c r="U136" i="9" s="1"/>
  <c r="U137" i="9" s="1"/>
  <c r="U138" i="9" s="1"/>
  <c r="U139" i="9" s="1"/>
  <c r="U140" i="9" s="1"/>
  <c r="U141" i="9" s="1"/>
  <c r="U142" i="9" s="1"/>
  <c r="U143" i="9" s="1"/>
  <c r="U144" i="9" s="1"/>
  <c r="U145" i="9" s="1"/>
  <c r="U146" i="9" s="1"/>
  <c r="U147" i="9" s="1"/>
  <c r="U148" i="9" s="1"/>
  <c r="U149" i="9" s="1"/>
  <c r="U150" i="9" s="1"/>
  <c r="U151" i="9" s="1"/>
  <c r="U152" i="9" s="1"/>
  <c r="U153" i="9" s="1"/>
  <c r="U154" i="9" s="1"/>
  <c r="U155" i="9" s="1"/>
  <c r="U156" i="9" s="1"/>
  <c r="U157" i="9" s="1"/>
  <c r="U158" i="9" s="1"/>
  <c r="U159" i="9" s="1"/>
  <c r="U160" i="9" s="1"/>
  <c r="U161" i="9" s="1"/>
  <c r="U162" i="9" s="1"/>
  <c r="U163" i="9" s="1"/>
  <c r="U164" i="9" s="1"/>
  <c r="U165" i="9" s="1"/>
  <c r="U166" i="9" s="1"/>
  <c r="U167" i="9" s="1"/>
  <c r="U168" i="9" s="1"/>
  <c r="U169" i="9" s="1"/>
  <c r="U170" i="9" s="1"/>
  <c r="U171" i="9" s="1"/>
  <c r="U172" i="9" s="1"/>
  <c r="U173" i="9" s="1"/>
  <c r="U174" i="9" s="1"/>
  <c r="U175" i="9" s="1"/>
  <c r="U176" i="9" s="1"/>
  <c r="U177" i="9" s="1"/>
  <c r="U178" i="9" s="1"/>
  <c r="U179" i="9" s="1"/>
  <c r="U180" i="9" s="1"/>
  <c r="U181" i="9" s="1"/>
  <c r="U182" i="9" s="1"/>
  <c r="U183" i="9" s="1"/>
  <c r="U184" i="9" s="1"/>
  <c r="AC41" i="9"/>
  <c r="C16" i="9" l="1"/>
  <c r="T15" i="9"/>
  <c r="T10" i="5"/>
  <c r="C11" i="5"/>
  <c r="C11" i="10"/>
  <c r="T10" i="10"/>
  <c r="F6" i="5"/>
  <c r="O5" i="9"/>
  <c r="P5" i="9" s="1"/>
  <c r="H6" i="9"/>
  <c r="I6" i="9" s="1"/>
  <c r="N5" i="9"/>
  <c r="N5" i="10"/>
  <c r="H6" i="10"/>
  <c r="I6" i="10" s="1"/>
  <c r="O5" i="10"/>
  <c r="P5" i="10" s="1"/>
  <c r="F6" i="9"/>
  <c r="F6" i="10"/>
  <c r="N5" i="5"/>
  <c r="H6" i="5"/>
  <c r="I6" i="5" s="1"/>
  <c r="O5" i="5"/>
  <c r="P5" i="5" s="1"/>
  <c r="R6" i="9"/>
  <c r="S5" i="9"/>
  <c r="G5" i="9" s="1"/>
  <c r="K5" i="9"/>
  <c r="S5" i="5"/>
  <c r="G5" i="5" s="1"/>
  <c r="K5" i="5"/>
  <c r="R6" i="5"/>
  <c r="R6" i="10"/>
  <c r="K5" i="10"/>
  <c r="S5" i="10"/>
  <c r="G5" i="10" s="1"/>
  <c r="U185" i="10"/>
  <c r="U186" i="10" s="1"/>
  <c r="U187" i="10" s="1"/>
  <c r="U188" i="10" s="1"/>
  <c r="U189" i="10" s="1"/>
  <c r="U190" i="10" s="1"/>
  <c r="U191" i="10" s="1"/>
  <c r="U192" i="10" s="1"/>
  <c r="U193" i="10" s="1"/>
  <c r="U194" i="10" s="1"/>
  <c r="U195" i="10" s="1"/>
  <c r="U196" i="10" s="1"/>
  <c r="U197" i="10" s="1"/>
  <c r="U198" i="10" s="1"/>
  <c r="U199" i="10" s="1"/>
  <c r="U200" i="10" s="1"/>
  <c r="U201" i="10" s="1"/>
  <c r="U202" i="10" s="1"/>
  <c r="U203" i="10" s="1"/>
  <c r="U204" i="10" s="1"/>
  <c r="U205" i="10" s="1"/>
  <c r="U206" i="10" s="1"/>
  <c r="U207" i="10" s="1"/>
  <c r="U208" i="10" s="1"/>
  <c r="U209" i="10" s="1"/>
  <c r="U210" i="10" s="1"/>
  <c r="U211" i="10" s="1"/>
  <c r="U212" i="10" s="1"/>
  <c r="U213" i="10" s="1"/>
  <c r="U214" i="10" s="1"/>
  <c r="U215" i="10" s="1"/>
  <c r="U216" i="10" s="1"/>
  <c r="U217" i="10" s="1"/>
  <c r="U218" i="10" s="1"/>
  <c r="U219" i="10" s="1"/>
  <c r="U220" i="10" s="1"/>
  <c r="U221" i="10" s="1"/>
  <c r="U222" i="10" s="1"/>
  <c r="U223" i="10" s="1"/>
  <c r="U224" i="10" s="1"/>
  <c r="U225" i="10" s="1"/>
  <c r="U226" i="10" s="1"/>
  <c r="U227" i="10" s="1"/>
  <c r="U228" i="10" s="1"/>
  <c r="U229" i="10" s="1"/>
  <c r="U230" i="10" s="1"/>
  <c r="U231" i="10" s="1"/>
  <c r="U232" i="10" s="1"/>
  <c r="U233" i="10" s="1"/>
  <c r="U234" i="10" s="1"/>
  <c r="U235" i="10" s="1"/>
  <c r="U236" i="10" s="1"/>
  <c r="U237" i="10" s="1"/>
  <c r="U238" i="10" s="1"/>
  <c r="U239" i="10" s="1"/>
  <c r="U240" i="10" s="1"/>
  <c r="U241" i="10" s="1"/>
  <c r="U242" i="10" s="1"/>
  <c r="U243" i="10" s="1"/>
  <c r="U244" i="10" s="1"/>
  <c r="AC42" i="10"/>
  <c r="U185" i="5"/>
  <c r="U186" i="5" s="1"/>
  <c r="U187" i="5" s="1"/>
  <c r="U188" i="5" s="1"/>
  <c r="U189" i="5" s="1"/>
  <c r="U190" i="5" s="1"/>
  <c r="U191" i="5" s="1"/>
  <c r="U192" i="5" s="1"/>
  <c r="U193" i="5" s="1"/>
  <c r="U194" i="5" s="1"/>
  <c r="U195" i="5" s="1"/>
  <c r="U196" i="5" s="1"/>
  <c r="U197" i="5" s="1"/>
  <c r="U198" i="5" s="1"/>
  <c r="U199" i="5" s="1"/>
  <c r="U200" i="5" s="1"/>
  <c r="U201" i="5" s="1"/>
  <c r="U202" i="5" s="1"/>
  <c r="U203" i="5" s="1"/>
  <c r="U204" i="5" s="1"/>
  <c r="U205" i="5" s="1"/>
  <c r="U206" i="5" s="1"/>
  <c r="U207" i="5" s="1"/>
  <c r="U208" i="5" s="1"/>
  <c r="U209" i="5" s="1"/>
  <c r="U210" i="5" s="1"/>
  <c r="U211" i="5" s="1"/>
  <c r="U212" i="5" s="1"/>
  <c r="U213" i="5" s="1"/>
  <c r="U214" i="5" s="1"/>
  <c r="U215" i="5" s="1"/>
  <c r="U216" i="5" s="1"/>
  <c r="U217" i="5" s="1"/>
  <c r="U218" i="5" s="1"/>
  <c r="U219" i="5" s="1"/>
  <c r="U220" i="5" s="1"/>
  <c r="U221" i="5" s="1"/>
  <c r="U222" i="5" s="1"/>
  <c r="U223" i="5" s="1"/>
  <c r="U224" i="5" s="1"/>
  <c r="U225" i="5" s="1"/>
  <c r="U226" i="5" s="1"/>
  <c r="U227" i="5" s="1"/>
  <c r="U228" i="5" s="1"/>
  <c r="U229" i="5" s="1"/>
  <c r="U230" i="5" s="1"/>
  <c r="U231" i="5" s="1"/>
  <c r="U232" i="5" s="1"/>
  <c r="U233" i="5" s="1"/>
  <c r="U234" i="5" s="1"/>
  <c r="U235" i="5" s="1"/>
  <c r="U236" i="5" s="1"/>
  <c r="U237" i="5" s="1"/>
  <c r="U238" i="5" s="1"/>
  <c r="U239" i="5" s="1"/>
  <c r="U240" i="5" s="1"/>
  <c r="U241" i="5" s="1"/>
  <c r="U242" i="5" s="1"/>
  <c r="U243" i="5" s="1"/>
  <c r="U244" i="5" s="1"/>
  <c r="AC42" i="5"/>
  <c r="B204" i="9"/>
  <c r="B205" i="9" s="1"/>
  <c r="B206" i="9" s="1"/>
  <c r="B207" i="9" s="1"/>
  <c r="B208" i="9" s="1"/>
  <c r="B209" i="9" s="1"/>
  <c r="B210" i="9" s="1"/>
  <c r="B211" i="9" s="1"/>
  <c r="B212" i="9" s="1"/>
  <c r="B213" i="9" s="1"/>
  <c r="B214" i="9" s="1"/>
  <c r="B215" i="9" s="1"/>
  <c r="B216" i="9" s="1"/>
  <c r="B217" i="9" s="1"/>
  <c r="B218" i="9" s="1"/>
  <c r="B219" i="9" s="1"/>
  <c r="B220" i="9" s="1"/>
  <c r="B221" i="9" s="1"/>
  <c r="B222" i="9" s="1"/>
  <c r="B223" i="9" s="1"/>
  <c r="B224" i="9" s="1"/>
  <c r="B225" i="9" s="1"/>
  <c r="B226" i="9" s="1"/>
  <c r="B227" i="9" s="1"/>
  <c r="B228" i="9" s="1"/>
  <c r="B229" i="9" s="1"/>
  <c r="B230" i="9" s="1"/>
  <c r="B231" i="9" s="1"/>
  <c r="B232" i="9" s="1"/>
  <c r="B233" i="9" s="1"/>
  <c r="B234" i="9" s="1"/>
  <c r="B235" i="9" s="1"/>
  <c r="B236" i="9" s="1"/>
  <c r="B237" i="9" s="1"/>
  <c r="B238" i="9" s="1"/>
  <c r="B239" i="9" s="1"/>
  <c r="B240" i="9" s="1"/>
  <c r="B241" i="9" s="1"/>
  <c r="B242" i="9" s="1"/>
  <c r="B243" i="9" s="1"/>
  <c r="B244" i="9" s="1"/>
  <c r="B245" i="9" s="1"/>
  <c r="B246" i="9" s="1"/>
  <c r="B247" i="9" s="1"/>
  <c r="B248" i="9" s="1"/>
  <c r="B249" i="9" s="1"/>
  <c r="B250" i="9" s="1"/>
  <c r="B251" i="9" s="1"/>
  <c r="B252" i="9" s="1"/>
  <c r="B253" i="9" s="1"/>
  <c r="B254" i="9" s="1"/>
  <c r="B255" i="9" s="1"/>
  <c r="B256" i="9" s="1"/>
  <c r="B257" i="9" s="1"/>
  <c r="B258" i="9" s="1"/>
  <c r="B259" i="9" s="1"/>
  <c r="B260" i="9" s="1"/>
  <c r="B261" i="9" s="1"/>
  <c r="B262" i="9" s="1"/>
  <c r="B263" i="9" s="1"/>
  <c r="B264" i="9" s="1"/>
  <c r="B265" i="9" s="1"/>
  <c r="B266" i="9" s="1"/>
  <c r="B267" i="9" s="1"/>
  <c r="B268" i="9" s="1"/>
  <c r="B269" i="9" s="1"/>
  <c r="B270" i="9" s="1"/>
  <c r="B271" i="9" s="1"/>
  <c r="B272" i="9" s="1"/>
  <c r="B273" i="9" s="1"/>
  <c r="B274" i="9" s="1"/>
  <c r="B275" i="9" s="1"/>
  <c r="B276" i="9" s="1"/>
  <c r="B277" i="9" s="1"/>
  <c r="B278" i="9" s="1"/>
  <c r="B279" i="9" s="1"/>
  <c r="B280" i="9" s="1"/>
  <c r="B281" i="9" s="1"/>
  <c r="B282" i="9" s="1"/>
  <c r="B283" i="9" s="1"/>
  <c r="B284" i="9" s="1"/>
  <c r="B285" i="9" s="1"/>
  <c r="B286" i="9" s="1"/>
  <c r="B287" i="9" s="1"/>
  <c r="B288" i="9" s="1"/>
  <c r="B289" i="9" s="1"/>
  <c r="B290" i="9" s="1"/>
  <c r="B291" i="9" s="1"/>
  <c r="B292" i="9" s="1"/>
  <c r="B293" i="9" s="1"/>
  <c r="B294" i="9" s="1"/>
  <c r="B295" i="9" s="1"/>
  <c r="B296" i="9" s="1"/>
  <c r="B297" i="9" s="1"/>
  <c r="B298" i="9" s="1"/>
  <c r="B299" i="9" s="1"/>
  <c r="B300" i="9" s="1"/>
  <c r="B301" i="9" s="1"/>
  <c r="B302" i="9" s="1"/>
  <c r="B303" i="9" s="1"/>
  <c r="B304" i="9" s="1"/>
  <c r="B305" i="9" s="1"/>
  <c r="B306" i="9" s="1"/>
  <c r="B307" i="9" s="1"/>
  <c r="B308" i="9" s="1"/>
  <c r="B309" i="9" s="1"/>
  <c r="B310" i="9" s="1"/>
  <c r="B311" i="9" s="1"/>
  <c r="B312" i="9" s="1"/>
  <c r="B313" i="9" s="1"/>
  <c r="B314" i="9" s="1"/>
  <c r="B315" i="9" s="1"/>
  <c r="B316" i="9" s="1"/>
  <c r="B317" i="9" s="1"/>
  <c r="B318" i="9" s="1"/>
  <c r="B319" i="9" s="1"/>
  <c r="B320" i="9" s="1"/>
  <c r="B321" i="9" s="1"/>
  <c r="B322" i="9" s="1"/>
  <c r="B323" i="9" s="1"/>
  <c r="B324" i="9" s="1"/>
  <c r="B325" i="9" s="1"/>
  <c r="B326" i="9" s="1"/>
  <c r="B327" i="9" s="1"/>
  <c r="B328" i="9" s="1"/>
  <c r="B329" i="9" s="1"/>
  <c r="B330" i="9" s="1"/>
  <c r="B331" i="9" s="1"/>
  <c r="B332" i="9" s="1"/>
  <c r="B333" i="9" s="1"/>
  <c r="B334" i="9" s="1"/>
  <c r="B335" i="9" s="1"/>
  <c r="B336" i="9" s="1"/>
  <c r="B337" i="9" s="1"/>
  <c r="B338" i="9" s="1"/>
  <c r="B339" i="9" s="1"/>
  <c r="B340" i="9" s="1"/>
  <c r="B341" i="9" s="1"/>
  <c r="B342" i="9" s="1"/>
  <c r="B343" i="9" s="1"/>
  <c r="B344" i="9" s="1"/>
  <c r="B345" i="9" s="1"/>
  <c r="B346" i="9" s="1"/>
  <c r="B347" i="9" s="1"/>
  <c r="B348" i="9" s="1"/>
  <c r="B349" i="9" s="1"/>
  <c r="B350" i="9" s="1"/>
  <c r="B351" i="9" s="1"/>
  <c r="B352" i="9" s="1"/>
  <c r="B353" i="9" s="1"/>
  <c r="B354" i="9" s="1"/>
  <c r="B355" i="9" s="1"/>
  <c r="B356" i="9" s="1"/>
  <c r="B357" i="9" s="1"/>
  <c r="B358" i="9" s="1"/>
  <c r="B359" i="9" s="1"/>
  <c r="B360" i="9" s="1"/>
  <c r="B361" i="9" s="1"/>
  <c r="B362" i="9" s="1"/>
  <c r="B363" i="9" s="1"/>
  <c r="B364" i="9" s="1"/>
  <c r="B365" i="9" s="1"/>
  <c r="B366" i="9" s="1"/>
  <c r="B367" i="9" s="1"/>
  <c r="B368" i="9" s="1"/>
  <c r="B369" i="9" s="1"/>
  <c r="B370" i="9" s="1"/>
  <c r="B371" i="9" s="1"/>
  <c r="B372" i="9" s="1"/>
  <c r="B373" i="9" s="1"/>
  <c r="B374" i="9" s="1"/>
  <c r="B375" i="9" s="1"/>
  <c r="B376" i="9" s="1"/>
  <c r="B377" i="9" s="1"/>
  <c r="B378" i="9" s="1"/>
  <c r="B379" i="9" s="1"/>
  <c r="B380" i="9" s="1"/>
  <c r="B381" i="9" s="1"/>
  <c r="B382" i="9" s="1"/>
  <c r="B383" i="9" s="1"/>
  <c r="B384" i="9" s="1"/>
  <c r="B385" i="9" s="1"/>
  <c r="B386" i="9" s="1"/>
  <c r="B387" i="9" s="1"/>
  <c r="B388" i="9" s="1"/>
  <c r="B389" i="9" s="1"/>
  <c r="B390" i="9" s="1"/>
  <c r="B391" i="9" s="1"/>
  <c r="B392" i="9" s="1"/>
  <c r="B393" i="9" s="1"/>
  <c r="B394" i="9" s="1"/>
  <c r="B395" i="9" s="1"/>
  <c r="B396" i="9" s="1"/>
  <c r="B397" i="9" s="1"/>
  <c r="B398" i="9" s="1"/>
  <c r="B399" i="9" s="1"/>
  <c r="B400" i="9" s="1"/>
  <c r="B401" i="9" s="1"/>
  <c r="B402" i="9" s="1"/>
  <c r="B403" i="9" s="1"/>
  <c r="B404" i="9" s="1"/>
  <c r="B405" i="9" s="1"/>
  <c r="B406" i="9" s="1"/>
  <c r="B407" i="9" s="1"/>
  <c r="B408" i="9" s="1"/>
  <c r="B409" i="9" s="1"/>
  <c r="B410" i="9" s="1"/>
  <c r="B411" i="9" s="1"/>
  <c r="B412" i="9" s="1"/>
  <c r="B413" i="9" s="1"/>
  <c r="B414" i="9" s="1"/>
  <c r="B415" i="9" s="1"/>
  <c r="B416" i="9" s="1"/>
  <c r="B417" i="9" s="1"/>
  <c r="B418" i="9" s="1"/>
  <c r="B419" i="9" s="1"/>
  <c r="B420" i="9" s="1"/>
  <c r="B421" i="9" s="1"/>
  <c r="B422" i="9" s="1"/>
  <c r="B423" i="9" s="1"/>
  <c r="B424" i="9" s="1"/>
  <c r="B425" i="9" s="1"/>
  <c r="B426" i="9" s="1"/>
  <c r="B427" i="9" s="1"/>
  <c r="B428" i="9" s="1"/>
  <c r="B429" i="9" s="1"/>
  <c r="B430" i="9" s="1"/>
  <c r="B431" i="9" s="1"/>
  <c r="B432" i="9" s="1"/>
  <c r="B433" i="9" s="1"/>
  <c r="B434" i="9" s="1"/>
  <c r="B435" i="9" s="1"/>
  <c r="B436" i="9" s="1"/>
  <c r="B437" i="9" s="1"/>
  <c r="B438" i="9" s="1"/>
  <c r="B439" i="9" s="1"/>
  <c r="B440" i="9" s="1"/>
  <c r="B441" i="9" s="1"/>
  <c r="B442" i="9" s="1"/>
  <c r="B443" i="9" s="1"/>
  <c r="B444" i="9" s="1"/>
  <c r="B445" i="9" s="1"/>
  <c r="B446" i="9" s="1"/>
  <c r="B447" i="9" s="1"/>
  <c r="B448" i="9" s="1"/>
  <c r="B449" i="9" s="1"/>
  <c r="B450" i="9" s="1"/>
  <c r="B451" i="9" s="1"/>
  <c r="B452" i="9" s="1"/>
  <c r="B453" i="9" s="1"/>
  <c r="B454" i="9" s="1"/>
  <c r="B455" i="9" s="1"/>
  <c r="B456" i="9" s="1"/>
  <c r="B457" i="9" s="1"/>
  <c r="B458" i="9" s="1"/>
  <c r="B459" i="9" s="1"/>
  <c r="B460" i="9" s="1"/>
  <c r="B461" i="9" s="1"/>
  <c r="B462" i="9" s="1"/>
  <c r="B463" i="9" s="1"/>
  <c r="B464" i="9" s="1"/>
  <c r="B465" i="9" s="1"/>
  <c r="B466" i="9" s="1"/>
  <c r="B467" i="9" s="1"/>
  <c r="B468" i="9" s="1"/>
  <c r="B469" i="9" s="1"/>
  <c r="B470" i="9" s="1"/>
  <c r="B471" i="9" s="1"/>
  <c r="B472" i="9" s="1"/>
  <c r="B473" i="9" s="1"/>
  <c r="B474" i="9" s="1"/>
  <c r="B475" i="9" s="1"/>
  <c r="B476" i="9" s="1"/>
  <c r="B477" i="9" s="1"/>
  <c r="B478" i="9" s="1"/>
  <c r="B479" i="9" s="1"/>
  <c r="B480" i="9" s="1"/>
  <c r="B481" i="9" s="1"/>
  <c r="B482" i="9" s="1"/>
  <c r="B483" i="9" s="1"/>
  <c r="B484" i="9" s="1"/>
  <c r="B485" i="9" s="1"/>
  <c r="B486" i="9" s="1"/>
  <c r="B487" i="9" s="1"/>
  <c r="B488" i="9" s="1"/>
  <c r="B489" i="9" s="1"/>
  <c r="B490" i="9" s="1"/>
  <c r="B491" i="9" s="1"/>
  <c r="B492" i="9" s="1"/>
  <c r="B493" i="9" s="1"/>
  <c r="B494" i="9" s="1"/>
  <c r="B495" i="9" s="1"/>
  <c r="B496" i="9" s="1"/>
  <c r="B497" i="9" s="1"/>
  <c r="B498" i="9" s="1"/>
  <c r="B499" i="9" s="1"/>
  <c r="B500" i="9" s="1"/>
  <c r="B501" i="9" s="1"/>
  <c r="B502" i="9" s="1"/>
  <c r="B503" i="9" s="1"/>
  <c r="B504" i="9" s="1"/>
  <c r="B505" i="9" s="1"/>
  <c r="B506" i="9" s="1"/>
  <c r="B507" i="9" s="1"/>
  <c r="B508" i="9" s="1"/>
  <c r="B509" i="9" s="1"/>
  <c r="B510" i="9" s="1"/>
  <c r="B511" i="9" s="1"/>
  <c r="B512" i="9" s="1"/>
  <c r="B513" i="9" s="1"/>
  <c r="B514" i="9" s="1"/>
  <c r="B515" i="9" s="1"/>
  <c r="B516" i="9" s="1"/>
  <c r="B517" i="9" s="1"/>
  <c r="B518" i="9" s="1"/>
  <c r="B519" i="9" s="1"/>
  <c r="B520" i="9" s="1"/>
  <c r="B521" i="9" s="1"/>
  <c r="B522" i="9" s="1"/>
  <c r="B523" i="9" s="1"/>
  <c r="B524" i="9" s="1"/>
  <c r="B525" i="9" s="1"/>
  <c r="B526" i="9" s="1"/>
  <c r="B527" i="9" s="1"/>
  <c r="B528" i="9" s="1"/>
  <c r="B529" i="9" s="1"/>
  <c r="B530" i="9" s="1"/>
  <c r="B531" i="9" s="1"/>
  <c r="B532" i="9" s="1"/>
  <c r="B533" i="9" s="1"/>
  <c r="B534" i="9" s="1"/>
  <c r="B535" i="9" s="1"/>
  <c r="B536" i="9" s="1"/>
  <c r="B537" i="9" s="1"/>
  <c r="B538" i="9" s="1"/>
  <c r="B539" i="9" s="1"/>
  <c r="B540" i="9" s="1"/>
  <c r="B541" i="9" s="1"/>
  <c r="B542" i="9" s="1"/>
  <c r="B543" i="9" s="1"/>
  <c r="B544" i="9" s="1"/>
  <c r="B545" i="9" s="1"/>
  <c r="B546" i="9" s="1"/>
  <c r="B547" i="9" s="1"/>
  <c r="B548" i="9" s="1"/>
  <c r="B549" i="9" s="1"/>
  <c r="B550" i="9" s="1"/>
  <c r="B551" i="9" s="1"/>
  <c r="B552" i="9" s="1"/>
  <c r="B553" i="9" s="1"/>
  <c r="B554" i="9" s="1"/>
  <c r="B555" i="9" s="1"/>
  <c r="B556" i="9" s="1"/>
  <c r="B557" i="9" s="1"/>
  <c r="B558" i="9" s="1"/>
  <c r="B559" i="9" s="1"/>
  <c r="B560" i="9" s="1"/>
  <c r="B561" i="9" s="1"/>
  <c r="B562" i="9" s="1"/>
  <c r="B563" i="9" s="1"/>
  <c r="B564" i="9" s="1"/>
  <c r="B565" i="9" s="1"/>
  <c r="B566" i="9" s="1"/>
  <c r="B567" i="9" s="1"/>
  <c r="B568" i="9" s="1"/>
  <c r="B569" i="9" s="1"/>
  <c r="B570" i="9" s="1"/>
  <c r="B571" i="9" s="1"/>
  <c r="B572" i="9" s="1"/>
  <c r="B573" i="9" s="1"/>
  <c r="B574" i="9" s="1"/>
  <c r="B575" i="9" s="1"/>
  <c r="B576" i="9" s="1"/>
  <c r="B577" i="9" s="1"/>
  <c r="B578" i="9" s="1"/>
  <c r="B579" i="9" s="1"/>
  <c r="B580" i="9" s="1"/>
  <c r="B581" i="9" s="1"/>
  <c r="B582" i="9" s="1"/>
  <c r="B583" i="9" s="1"/>
  <c r="B584" i="9" s="1"/>
  <c r="B585" i="9" s="1"/>
  <c r="B586" i="9" s="1"/>
  <c r="B587" i="9" s="1"/>
  <c r="B588" i="9" s="1"/>
  <c r="B589" i="9" s="1"/>
  <c r="B590" i="9" s="1"/>
  <c r="B591" i="9" s="1"/>
  <c r="B592" i="9" s="1"/>
  <c r="B593" i="9" s="1"/>
  <c r="B594" i="9" s="1"/>
  <c r="B595" i="9" s="1"/>
  <c r="B596" i="9" s="1"/>
  <c r="B597" i="9" s="1"/>
  <c r="B598" i="9" s="1"/>
  <c r="B599" i="9" s="1"/>
  <c r="B600" i="9" s="1"/>
  <c r="B601" i="9" s="1"/>
  <c r="B602" i="9" s="1"/>
  <c r="B603" i="9" s="1"/>
  <c r="B604" i="9" s="1"/>
  <c r="U185" i="9"/>
  <c r="U186" i="9" s="1"/>
  <c r="U187" i="9" s="1"/>
  <c r="U188" i="9" s="1"/>
  <c r="U189" i="9" s="1"/>
  <c r="U190" i="9" s="1"/>
  <c r="U191" i="9" s="1"/>
  <c r="U192" i="9" s="1"/>
  <c r="U193" i="9" s="1"/>
  <c r="U194" i="9" s="1"/>
  <c r="U195" i="9" s="1"/>
  <c r="U196" i="9" s="1"/>
  <c r="U197" i="9" s="1"/>
  <c r="U198" i="9" s="1"/>
  <c r="U199" i="9" s="1"/>
  <c r="U200" i="9" s="1"/>
  <c r="U201" i="9" s="1"/>
  <c r="U202" i="9" s="1"/>
  <c r="U203" i="9" s="1"/>
  <c r="U204" i="9" s="1"/>
  <c r="U205" i="9" s="1"/>
  <c r="U206" i="9" s="1"/>
  <c r="U207" i="9" s="1"/>
  <c r="U208" i="9" s="1"/>
  <c r="U209" i="9" s="1"/>
  <c r="U210" i="9" s="1"/>
  <c r="U211" i="9" s="1"/>
  <c r="U212" i="9" s="1"/>
  <c r="U213" i="9" s="1"/>
  <c r="U214" i="9" s="1"/>
  <c r="U215" i="9" s="1"/>
  <c r="U216" i="9" s="1"/>
  <c r="U217" i="9" s="1"/>
  <c r="U218" i="9" s="1"/>
  <c r="U219" i="9" s="1"/>
  <c r="U220" i="9" s="1"/>
  <c r="U221" i="9" s="1"/>
  <c r="U222" i="9" s="1"/>
  <c r="U223" i="9" s="1"/>
  <c r="U224" i="9" s="1"/>
  <c r="U225" i="9" s="1"/>
  <c r="U226" i="9" s="1"/>
  <c r="U227" i="9" s="1"/>
  <c r="U228" i="9" s="1"/>
  <c r="U229" i="9" s="1"/>
  <c r="U230" i="9" s="1"/>
  <c r="U231" i="9" s="1"/>
  <c r="U232" i="9" s="1"/>
  <c r="U233" i="9" s="1"/>
  <c r="U234" i="9" s="1"/>
  <c r="U235" i="9" s="1"/>
  <c r="U236" i="9" s="1"/>
  <c r="U237" i="9" s="1"/>
  <c r="U238" i="9" s="1"/>
  <c r="U239" i="9" s="1"/>
  <c r="U240" i="9" s="1"/>
  <c r="U241" i="9" s="1"/>
  <c r="U242" i="9" s="1"/>
  <c r="U243" i="9" s="1"/>
  <c r="U244" i="9" s="1"/>
  <c r="AC42" i="9"/>
  <c r="B246" i="5"/>
  <c r="B247" i="5" s="1"/>
  <c r="B248" i="5" s="1"/>
  <c r="B249" i="5" s="1"/>
  <c r="B250" i="5" s="1"/>
  <c r="B251" i="5" s="1"/>
  <c r="B252" i="5" s="1"/>
  <c r="B253" i="5" s="1"/>
  <c r="B254" i="5" s="1"/>
  <c r="B255" i="5" s="1"/>
  <c r="B256" i="5" s="1"/>
  <c r="B257" i="5" s="1"/>
  <c r="B258" i="5" s="1"/>
  <c r="B259" i="5" s="1"/>
  <c r="B260" i="5" s="1"/>
  <c r="B261" i="5" s="1"/>
  <c r="B262" i="5" s="1"/>
  <c r="B263" i="5" s="1"/>
  <c r="B264" i="5" s="1"/>
  <c r="B265" i="5" s="1"/>
  <c r="B266" i="5" s="1"/>
  <c r="B267" i="5" s="1"/>
  <c r="B268" i="5" s="1"/>
  <c r="B269" i="5" s="1"/>
  <c r="B270" i="5" s="1"/>
  <c r="B271" i="5" s="1"/>
  <c r="B272" i="5" s="1"/>
  <c r="B273" i="5" s="1"/>
  <c r="B274" i="5" s="1"/>
  <c r="B275" i="5" s="1"/>
  <c r="B276" i="5" s="1"/>
  <c r="B277" i="5" s="1"/>
  <c r="B278" i="5" s="1"/>
  <c r="B279" i="5" s="1"/>
  <c r="B280" i="5" s="1"/>
  <c r="B281" i="5" s="1"/>
  <c r="B282" i="5" s="1"/>
  <c r="B283" i="5" s="1"/>
  <c r="B284" i="5" s="1"/>
  <c r="B285" i="5" s="1"/>
  <c r="B286" i="5" s="1"/>
  <c r="B287" i="5" s="1"/>
  <c r="B288" i="5" s="1"/>
  <c r="B289" i="5" s="1"/>
  <c r="B290" i="5" s="1"/>
  <c r="B291" i="5" s="1"/>
  <c r="B292" i="5" s="1"/>
  <c r="B293" i="5" s="1"/>
  <c r="B294" i="5" s="1"/>
  <c r="B295" i="5" s="1"/>
  <c r="B296" i="5" s="1"/>
  <c r="B297" i="5" s="1"/>
  <c r="B298" i="5" s="1"/>
  <c r="B299" i="5" s="1"/>
  <c r="B300" i="5" s="1"/>
  <c r="B301" i="5" s="1"/>
  <c r="B302" i="5" s="1"/>
  <c r="B303" i="5" s="1"/>
  <c r="B304" i="5" s="1"/>
  <c r="B305" i="5" s="1"/>
  <c r="B306" i="5" s="1"/>
  <c r="B307" i="5" s="1"/>
  <c r="B308" i="5" s="1"/>
  <c r="B309" i="5" s="1"/>
  <c r="B310" i="5" s="1"/>
  <c r="B311" i="5" s="1"/>
  <c r="B312" i="5" s="1"/>
  <c r="B313" i="5" s="1"/>
  <c r="B314" i="5" s="1"/>
  <c r="B315" i="5" s="1"/>
  <c r="B316" i="5" s="1"/>
  <c r="B317" i="5" s="1"/>
  <c r="B318" i="5" s="1"/>
  <c r="B319" i="5" s="1"/>
  <c r="B320" i="5" s="1"/>
  <c r="B321" i="5" s="1"/>
  <c r="B322" i="5" s="1"/>
  <c r="B323" i="5" s="1"/>
  <c r="B324" i="5" s="1"/>
  <c r="B325" i="5" s="1"/>
  <c r="B326" i="5" s="1"/>
  <c r="B327" i="5" s="1"/>
  <c r="B328" i="5" s="1"/>
  <c r="B329" i="5" s="1"/>
  <c r="B330" i="5" s="1"/>
  <c r="B331" i="5" s="1"/>
  <c r="B332" i="5" s="1"/>
  <c r="B333" i="5" s="1"/>
  <c r="B334" i="5" s="1"/>
  <c r="B335" i="5" s="1"/>
  <c r="B336" i="5" s="1"/>
  <c r="B337" i="5" s="1"/>
  <c r="B338" i="5" s="1"/>
  <c r="B339" i="5" s="1"/>
  <c r="B340" i="5" s="1"/>
  <c r="B341" i="5" s="1"/>
  <c r="B342" i="5" s="1"/>
  <c r="B343" i="5" s="1"/>
  <c r="B344" i="5" s="1"/>
  <c r="B345" i="5" s="1"/>
  <c r="B346" i="5" s="1"/>
  <c r="B347" i="5" s="1"/>
  <c r="B348" i="5" s="1"/>
  <c r="B349" i="5" s="1"/>
  <c r="B350" i="5" s="1"/>
  <c r="B351" i="5" s="1"/>
  <c r="B352" i="5" s="1"/>
  <c r="B353" i="5" s="1"/>
  <c r="B354" i="5" s="1"/>
  <c r="B355" i="5" s="1"/>
  <c r="B356" i="5" s="1"/>
  <c r="B357" i="5" s="1"/>
  <c r="B358" i="5" s="1"/>
  <c r="B359" i="5" s="1"/>
  <c r="B360" i="5" s="1"/>
  <c r="B361" i="5" s="1"/>
  <c r="B362" i="5" s="1"/>
  <c r="B363" i="5" s="1"/>
  <c r="B364" i="5" s="1"/>
  <c r="B365" i="5" s="1"/>
  <c r="B366" i="5" s="1"/>
  <c r="B367" i="5" s="1"/>
  <c r="B368" i="5" s="1"/>
  <c r="B369" i="5" s="1"/>
  <c r="B370" i="5" s="1"/>
  <c r="B371" i="5" s="1"/>
  <c r="B372" i="5" s="1"/>
  <c r="B373" i="5" s="1"/>
  <c r="B374" i="5" s="1"/>
  <c r="B375" i="5" s="1"/>
  <c r="B376" i="5" s="1"/>
  <c r="B377" i="5" s="1"/>
  <c r="B378" i="5" s="1"/>
  <c r="B379" i="5" s="1"/>
  <c r="B380" i="5" s="1"/>
  <c r="B381" i="5" s="1"/>
  <c r="B382" i="5" s="1"/>
  <c r="B383" i="5" s="1"/>
  <c r="B384" i="5" s="1"/>
  <c r="B385" i="5" s="1"/>
  <c r="B386" i="5" s="1"/>
  <c r="B387" i="5" s="1"/>
  <c r="B388" i="5" s="1"/>
  <c r="B389" i="5" s="1"/>
  <c r="B390" i="5" s="1"/>
  <c r="B391" i="5" s="1"/>
  <c r="B392" i="5" s="1"/>
  <c r="B393" i="5" s="1"/>
  <c r="B394" i="5" s="1"/>
  <c r="B395" i="5" s="1"/>
  <c r="B396" i="5" s="1"/>
  <c r="B397" i="5" s="1"/>
  <c r="B398" i="5" s="1"/>
  <c r="B399" i="5" s="1"/>
  <c r="B400" i="5" s="1"/>
  <c r="B401" i="5" s="1"/>
  <c r="B402" i="5" s="1"/>
  <c r="B403" i="5" s="1"/>
  <c r="B404" i="5" s="1"/>
  <c r="B405" i="5" s="1"/>
  <c r="B406" i="5" s="1"/>
  <c r="B407" i="5" s="1"/>
  <c r="B408" i="5" s="1"/>
  <c r="B409" i="5" s="1"/>
  <c r="B410" i="5" s="1"/>
  <c r="B411" i="5" s="1"/>
  <c r="B412" i="5" s="1"/>
  <c r="B413" i="5" s="1"/>
  <c r="B414" i="5" s="1"/>
  <c r="B415" i="5" s="1"/>
  <c r="B416" i="5" s="1"/>
  <c r="B417" i="5" s="1"/>
  <c r="B418" i="5" s="1"/>
  <c r="B419" i="5" s="1"/>
  <c r="B420" i="5" s="1"/>
  <c r="B421" i="5" s="1"/>
  <c r="B422" i="5" s="1"/>
  <c r="B423" i="5" s="1"/>
  <c r="B424" i="5" s="1"/>
  <c r="B425" i="5" s="1"/>
  <c r="B426" i="5" s="1"/>
  <c r="B427" i="5" s="1"/>
  <c r="B428" i="5" s="1"/>
  <c r="B429" i="5" s="1"/>
  <c r="B430" i="5" s="1"/>
  <c r="B431" i="5" s="1"/>
  <c r="B432" i="5" s="1"/>
  <c r="B433" i="5" s="1"/>
  <c r="B434" i="5" s="1"/>
  <c r="B435" i="5" s="1"/>
  <c r="B436" i="5" s="1"/>
  <c r="B437" i="5" s="1"/>
  <c r="B438" i="5" s="1"/>
  <c r="B439" i="5" s="1"/>
  <c r="B440" i="5" s="1"/>
  <c r="B441" i="5" s="1"/>
  <c r="B442" i="5" s="1"/>
  <c r="B443" i="5" s="1"/>
  <c r="B444" i="5" s="1"/>
  <c r="B445" i="5" s="1"/>
  <c r="B446" i="5" s="1"/>
  <c r="B447" i="5" s="1"/>
  <c r="B448" i="5" s="1"/>
  <c r="B449" i="5" s="1"/>
  <c r="B450" i="5" s="1"/>
  <c r="B451" i="5" s="1"/>
  <c r="B452" i="5" s="1"/>
  <c r="B453" i="5" s="1"/>
  <c r="B454" i="5" s="1"/>
  <c r="B455" i="5" s="1"/>
  <c r="B456" i="5" s="1"/>
  <c r="B457" i="5" s="1"/>
  <c r="B458" i="5" s="1"/>
  <c r="B459" i="5" s="1"/>
  <c r="B460" i="5" s="1"/>
  <c r="B461" i="5" s="1"/>
  <c r="B462" i="5" s="1"/>
  <c r="B463" i="5" s="1"/>
  <c r="B464" i="5" s="1"/>
  <c r="B465" i="5" s="1"/>
  <c r="B466" i="5" s="1"/>
  <c r="B467" i="5" s="1"/>
  <c r="B468" i="5" s="1"/>
  <c r="B469" i="5" s="1"/>
  <c r="B470" i="5" s="1"/>
  <c r="B471" i="5" s="1"/>
  <c r="B472" i="5" s="1"/>
  <c r="B473" i="5" s="1"/>
  <c r="B474" i="5" s="1"/>
  <c r="B475" i="5" s="1"/>
  <c r="B476" i="5" s="1"/>
  <c r="B477" i="5" s="1"/>
  <c r="B478" i="5" s="1"/>
  <c r="B479" i="5" s="1"/>
  <c r="B480" i="5" s="1"/>
  <c r="B481" i="5" s="1"/>
  <c r="B482" i="5" s="1"/>
  <c r="B483" i="5" s="1"/>
  <c r="B484" i="5" s="1"/>
  <c r="B485" i="5" s="1"/>
  <c r="B486" i="5" s="1"/>
  <c r="B487" i="5" s="1"/>
  <c r="B488" i="5" s="1"/>
  <c r="B489" i="5" s="1"/>
  <c r="B490" i="5" s="1"/>
  <c r="B491" i="5" s="1"/>
  <c r="B492" i="5" s="1"/>
  <c r="B493" i="5" s="1"/>
  <c r="B494" i="5" s="1"/>
  <c r="B495" i="5" s="1"/>
  <c r="B496" i="5" s="1"/>
  <c r="B497" i="5" s="1"/>
  <c r="B498" i="5" s="1"/>
  <c r="B499" i="5" s="1"/>
  <c r="B500" i="5" s="1"/>
  <c r="B501" i="5" s="1"/>
  <c r="B502" i="5" s="1"/>
  <c r="B503" i="5" s="1"/>
  <c r="B504" i="5" s="1"/>
  <c r="B505" i="5" s="1"/>
  <c r="B506" i="5" s="1"/>
  <c r="B507" i="5" s="1"/>
  <c r="B508" i="5" s="1"/>
  <c r="B509" i="5" s="1"/>
  <c r="B510" i="5" s="1"/>
  <c r="B511" i="5" s="1"/>
  <c r="B512" i="5" s="1"/>
  <c r="B513" i="5" s="1"/>
  <c r="B514" i="5" s="1"/>
  <c r="B515" i="5" s="1"/>
  <c r="B516" i="5" s="1"/>
  <c r="B517" i="5" s="1"/>
  <c r="B518" i="5" s="1"/>
  <c r="B519" i="5" s="1"/>
  <c r="B520" i="5" s="1"/>
  <c r="B521" i="5" s="1"/>
  <c r="B522" i="5" s="1"/>
  <c r="B523" i="5" s="1"/>
  <c r="B524" i="5" s="1"/>
  <c r="B525" i="5" s="1"/>
  <c r="B526" i="5" s="1"/>
  <c r="B527" i="5" s="1"/>
  <c r="B528" i="5" s="1"/>
  <c r="B529" i="5" s="1"/>
  <c r="B530" i="5" s="1"/>
  <c r="B531" i="5" s="1"/>
  <c r="B532" i="5" s="1"/>
  <c r="B533" i="5" s="1"/>
  <c r="B534" i="5" s="1"/>
  <c r="B535" i="5" s="1"/>
  <c r="B536" i="5" s="1"/>
  <c r="B537" i="5" s="1"/>
  <c r="B538" i="5" s="1"/>
  <c r="B539" i="5" s="1"/>
  <c r="B540" i="5" s="1"/>
  <c r="B541" i="5" s="1"/>
  <c r="B542" i="5" s="1"/>
  <c r="B543" i="5" s="1"/>
  <c r="B544" i="5" s="1"/>
  <c r="B545" i="5" s="1"/>
  <c r="B546" i="5" s="1"/>
  <c r="B547" i="5" s="1"/>
  <c r="B548" i="5" s="1"/>
  <c r="B549" i="5" s="1"/>
  <c r="B550" i="5" s="1"/>
  <c r="B551" i="5" s="1"/>
  <c r="B552" i="5" s="1"/>
  <c r="B553" i="5" s="1"/>
  <c r="B554" i="5" s="1"/>
  <c r="B555" i="5" s="1"/>
  <c r="B556" i="5" s="1"/>
  <c r="B557" i="5" s="1"/>
  <c r="B558" i="5" s="1"/>
  <c r="B559" i="5" s="1"/>
  <c r="B560" i="5" s="1"/>
  <c r="B561" i="5" s="1"/>
  <c r="B562" i="5" s="1"/>
  <c r="B563" i="5" s="1"/>
  <c r="B564" i="5" s="1"/>
  <c r="B565" i="5" s="1"/>
  <c r="B566" i="5" s="1"/>
  <c r="B567" i="5" s="1"/>
  <c r="B568" i="5" s="1"/>
  <c r="B569" i="5" s="1"/>
  <c r="B570" i="5" s="1"/>
  <c r="B571" i="5" s="1"/>
  <c r="B572" i="5" s="1"/>
  <c r="B573" i="5" s="1"/>
  <c r="B574" i="5" s="1"/>
  <c r="B575" i="5" s="1"/>
  <c r="B576" i="5" s="1"/>
  <c r="B577" i="5" s="1"/>
  <c r="B578" i="5" s="1"/>
  <c r="B579" i="5" s="1"/>
  <c r="B580" i="5" s="1"/>
  <c r="B581" i="5" s="1"/>
  <c r="B582" i="5" s="1"/>
  <c r="B583" i="5" s="1"/>
  <c r="B584" i="5" s="1"/>
  <c r="B585" i="5" s="1"/>
  <c r="B586" i="5" s="1"/>
  <c r="B587" i="5" s="1"/>
  <c r="B588" i="5" s="1"/>
  <c r="B589" i="5" s="1"/>
  <c r="B590" i="5" s="1"/>
  <c r="B591" i="5" s="1"/>
  <c r="B592" i="5" s="1"/>
  <c r="B593" i="5" s="1"/>
  <c r="B594" i="5" s="1"/>
  <c r="B595" i="5" s="1"/>
  <c r="B596" i="5" s="1"/>
  <c r="B597" i="5" s="1"/>
  <c r="B598" i="5" s="1"/>
  <c r="B599" i="5" s="1"/>
  <c r="B600" i="5" s="1"/>
  <c r="B601" i="5" s="1"/>
  <c r="B602" i="5" s="1"/>
  <c r="B603" i="5" s="1"/>
  <c r="B604" i="5" s="1"/>
  <c r="C17" i="9" l="1"/>
  <c r="T16" i="9"/>
  <c r="T11" i="10"/>
  <c r="C12" i="10"/>
  <c r="T11" i="5"/>
  <c r="C12" i="5"/>
  <c r="J5" i="10"/>
  <c r="J5" i="9"/>
  <c r="S6" i="10"/>
  <c r="G6" i="10" s="1"/>
  <c r="K6" i="10"/>
  <c r="M6" i="10" s="1"/>
  <c r="R7" i="10"/>
  <c r="M5" i="9"/>
  <c r="L5" i="9"/>
  <c r="F7" i="10"/>
  <c r="J5" i="5"/>
  <c r="L5" i="10"/>
  <c r="M5" i="10"/>
  <c r="F7" i="5"/>
  <c r="M5" i="5"/>
  <c r="L5" i="5"/>
  <c r="R7" i="9"/>
  <c r="K6" i="9"/>
  <c r="M6" i="9" s="1"/>
  <c r="S6" i="9"/>
  <c r="G6" i="9" s="1"/>
  <c r="Q6" i="9"/>
  <c r="K6" i="5"/>
  <c r="M6" i="5" s="1"/>
  <c r="S6" i="5"/>
  <c r="G6" i="5" s="1"/>
  <c r="R7" i="5"/>
  <c r="F7" i="9"/>
  <c r="Q6" i="5"/>
  <c r="Q6" i="10"/>
  <c r="U245" i="10"/>
  <c r="U246" i="10" s="1"/>
  <c r="U247" i="10" s="1"/>
  <c r="U248" i="10" s="1"/>
  <c r="U249" i="10" s="1"/>
  <c r="U250" i="10" s="1"/>
  <c r="U251" i="10" s="1"/>
  <c r="U252" i="10" s="1"/>
  <c r="U253" i="10" s="1"/>
  <c r="U254" i="10" s="1"/>
  <c r="U255" i="10" s="1"/>
  <c r="U256" i="10" s="1"/>
  <c r="U257" i="10" s="1"/>
  <c r="U258" i="10" s="1"/>
  <c r="U259" i="10" s="1"/>
  <c r="U260" i="10" s="1"/>
  <c r="U261" i="10" s="1"/>
  <c r="U262" i="10" s="1"/>
  <c r="U263" i="10" s="1"/>
  <c r="U264" i="10" s="1"/>
  <c r="U265" i="10" s="1"/>
  <c r="U266" i="10" s="1"/>
  <c r="U267" i="10" s="1"/>
  <c r="U268" i="10" s="1"/>
  <c r="U269" i="10" s="1"/>
  <c r="U270" i="10" s="1"/>
  <c r="U271" i="10" s="1"/>
  <c r="U272" i="10" s="1"/>
  <c r="U273" i="10" s="1"/>
  <c r="U274" i="10" s="1"/>
  <c r="U275" i="10" s="1"/>
  <c r="U276" i="10" s="1"/>
  <c r="U277" i="10" s="1"/>
  <c r="U278" i="10" s="1"/>
  <c r="U279" i="10" s="1"/>
  <c r="U280" i="10" s="1"/>
  <c r="U281" i="10" s="1"/>
  <c r="U282" i="10" s="1"/>
  <c r="U283" i="10" s="1"/>
  <c r="U284" i="10" s="1"/>
  <c r="U285" i="10" s="1"/>
  <c r="U286" i="10" s="1"/>
  <c r="U287" i="10" s="1"/>
  <c r="U288" i="10" s="1"/>
  <c r="U289" i="10" s="1"/>
  <c r="U290" i="10" s="1"/>
  <c r="U291" i="10" s="1"/>
  <c r="U292" i="10" s="1"/>
  <c r="U293" i="10" s="1"/>
  <c r="U294" i="10" s="1"/>
  <c r="U295" i="10" s="1"/>
  <c r="U296" i="10" s="1"/>
  <c r="U297" i="10" s="1"/>
  <c r="U298" i="10" s="1"/>
  <c r="U299" i="10" s="1"/>
  <c r="U300" i="10" s="1"/>
  <c r="U301" i="10" s="1"/>
  <c r="U302" i="10" s="1"/>
  <c r="U303" i="10" s="1"/>
  <c r="U304" i="10" s="1"/>
  <c r="AC43" i="10"/>
  <c r="AC18" i="10"/>
  <c r="AC5" i="10"/>
  <c r="U245" i="9"/>
  <c r="U246" i="9" s="1"/>
  <c r="U247" i="9" s="1"/>
  <c r="U248" i="9" s="1"/>
  <c r="U249" i="9" s="1"/>
  <c r="U250" i="9" s="1"/>
  <c r="U251" i="9" s="1"/>
  <c r="U252" i="9" s="1"/>
  <c r="U253" i="9" s="1"/>
  <c r="U254" i="9" s="1"/>
  <c r="U255" i="9" s="1"/>
  <c r="U256" i="9" s="1"/>
  <c r="U257" i="9" s="1"/>
  <c r="U258" i="9" s="1"/>
  <c r="U259" i="9" s="1"/>
  <c r="U260" i="9" s="1"/>
  <c r="U261" i="9" s="1"/>
  <c r="U262" i="9" s="1"/>
  <c r="U263" i="9" s="1"/>
  <c r="U264" i="9" s="1"/>
  <c r="U265" i="9" s="1"/>
  <c r="U266" i="9" s="1"/>
  <c r="U267" i="9" s="1"/>
  <c r="U268" i="9" s="1"/>
  <c r="U269" i="9" s="1"/>
  <c r="U270" i="9" s="1"/>
  <c r="U271" i="9" s="1"/>
  <c r="U272" i="9" s="1"/>
  <c r="U273" i="9" s="1"/>
  <c r="U274" i="9" s="1"/>
  <c r="U275" i="9" s="1"/>
  <c r="U276" i="9" s="1"/>
  <c r="U277" i="9" s="1"/>
  <c r="U278" i="9" s="1"/>
  <c r="U279" i="9" s="1"/>
  <c r="U280" i="9" s="1"/>
  <c r="U281" i="9" s="1"/>
  <c r="U282" i="9" s="1"/>
  <c r="U283" i="9" s="1"/>
  <c r="U284" i="9" s="1"/>
  <c r="U285" i="9" s="1"/>
  <c r="U286" i="9" s="1"/>
  <c r="U287" i="9" s="1"/>
  <c r="U288" i="9" s="1"/>
  <c r="U289" i="9" s="1"/>
  <c r="U290" i="9" s="1"/>
  <c r="U291" i="9" s="1"/>
  <c r="U292" i="9" s="1"/>
  <c r="U293" i="9" s="1"/>
  <c r="U294" i="9" s="1"/>
  <c r="U295" i="9" s="1"/>
  <c r="U296" i="9" s="1"/>
  <c r="U297" i="9" s="1"/>
  <c r="U298" i="9" s="1"/>
  <c r="U299" i="9" s="1"/>
  <c r="U300" i="9" s="1"/>
  <c r="U301" i="9" s="1"/>
  <c r="U302" i="9" s="1"/>
  <c r="U303" i="9" s="1"/>
  <c r="U304" i="9" s="1"/>
  <c r="AC43" i="9"/>
  <c r="AC18" i="9"/>
  <c r="AC5" i="9"/>
  <c r="AC43" i="5"/>
  <c r="U245" i="5"/>
  <c r="U246" i="5" s="1"/>
  <c r="U247" i="5" s="1"/>
  <c r="U248" i="5" s="1"/>
  <c r="U249" i="5" s="1"/>
  <c r="U250" i="5" s="1"/>
  <c r="U251" i="5" s="1"/>
  <c r="U252" i="5" s="1"/>
  <c r="U253" i="5" s="1"/>
  <c r="U254" i="5" s="1"/>
  <c r="U255" i="5" s="1"/>
  <c r="U256" i="5" s="1"/>
  <c r="U257" i="5" s="1"/>
  <c r="U258" i="5" s="1"/>
  <c r="U259" i="5" s="1"/>
  <c r="U260" i="5" s="1"/>
  <c r="U261" i="5" s="1"/>
  <c r="U262" i="5" s="1"/>
  <c r="U263" i="5" s="1"/>
  <c r="U264" i="5" s="1"/>
  <c r="U265" i="5" s="1"/>
  <c r="U266" i="5" s="1"/>
  <c r="U267" i="5" s="1"/>
  <c r="U268" i="5" s="1"/>
  <c r="U269" i="5" s="1"/>
  <c r="U270" i="5" s="1"/>
  <c r="U271" i="5" s="1"/>
  <c r="U272" i="5" s="1"/>
  <c r="U273" i="5" s="1"/>
  <c r="U274" i="5" s="1"/>
  <c r="U275" i="5" s="1"/>
  <c r="U276" i="5" s="1"/>
  <c r="U277" i="5" s="1"/>
  <c r="U278" i="5" s="1"/>
  <c r="U279" i="5" s="1"/>
  <c r="U280" i="5" s="1"/>
  <c r="U281" i="5" s="1"/>
  <c r="U282" i="5" s="1"/>
  <c r="U283" i="5" s="1"/>
  <c r="U284" i="5" s="1"/>
  <c r="U285" i="5" s="1"/>
  <c r="U286" i="5" s="1"/>
  <c r="U287" i="5" s="1"/>
  <c r="U288" i="5" s="1"/>
  <c r="U289" i="5" s="1"/>
  <c r="U290" i="5" s="1"/>
  <c r="U291" i="5" s="1"/>
  <c r="U292" i="5" s="1"/>
  <c r="U293" i="5" s="1"/>
  <c r="U294" i="5" s="1"/>
  <c r="U295" i="5" s="1"/>
  <c r="U296" i="5" s="1"/>
  <c r="U297" i="5" s="1"/>
  <c r="U298" i="5" s="1"/>
  <c r="U299" i="5" s="1"/>
  <c r="U300" i="5" s="1"/>
  <c r="U301" i="5" s="1"/>
  <c r="U302" i="5" s="1"/>
  <c r="U303" i="5" s="1"/>
  <c r="U304" i="5" s="1"/>
  <c r="AC5" i="5"/>
  <c r="AC18" i="5"/>
  <c r="C13" i="5" l="1"/>
  <c r="T12" i="5"/>
  <c r="C18" i="9"/>
  <c r="T17" i="9"/>
  <c r="L6" i="5"/>
  <c r="T12" i="10"/>
  <c r="C13" i="10"/>
  <c r="L6" i="10"/>
  <c r="J6" i="5"/>
  <c r="J6" i="9"/>
  <c r="J6" i="10"/>
  <c r="S7" i="5"/>
  <c r="G7" i="5" s="1"/>
  <c r="J7" i="5" s="1"/>
  <c r="K7" i="5"/>
  <c r="M7" i="5" s="1"/>
  <c r="R8" i="5"/>
  <c r="F8" i="10"/>
  <c r="L6" i="9"/>
  <c r="H7" i="5"/>
  <c r="I7" i="5" s="1"/>
  <c r="N6" i="5"/>
  <c r="O6" i="5"/>
  <c r="P6" i="5" s="1"/>
  <c r="F8" i="9"/>
  <c r="H7" i="9"/>
  <c r="I7" i="9" s="1"/>
  <c r="N6" i="9"/>
  <c r="Q7" i="9"/>
  <c r="O6" i="9"/>
  <c r="P6" i="9" s="1"/>
  <c r="K7" i="10"/>
  <c r="M7" i="10" s="1"/>
  <c r="R8" i="10"/>
  <c r="S7" i="10"/>
  <c r="G7" i="10" s="1"/>
  <c r="O6" i="10"/>
  <c r="P6" i="10" s="1"/>
  <c r="N6" i="10"/>
  <c r="H7" i="10"/>
  <c r="I7" i="10" s="1"/>
  <c r="R8" i="9"/>
  <c r="K7" i="9"/>
  <c r="M7" i="9" s="1"/>
  <c r="S7" i="9"/>
  <c r="G7" i="9" s="1"/>
  <c r="F8" i="5"/>
  <c r="L7" i="5"/>
  <c r="U305" i="10"/>
  <c r="U306" i="10" s="1"/>
  <c r="U307" i="10" s="1"/>
  <c r="U308" i="10" s="1"/>
  <c r="U309" i="10" s="1"/>
  <c r="U310" i="10" s="1"/>
  <c r="U311" i="10" s="1"/>
  <c r="U312" i="10" s="1"/>
  <c r="U313" i="10" s="1"/>
  <c r="U314" i="10" s="1"/>
  <c r="U315" i="10" s="1"/>
  <c r="U316" i="10" s="1"/>
  <c r="U317" i="10" s="1"/>
  <c r="U318" i="10" s="1"/>
  <c r="U319" i="10" s="1"/>
  <c r="U320" i="10" s="1"/>
  <c r="U321" i="10" s="1"/>
  <c r="U322" i="10" s="1"/>
  <c r="U323" i="10" s="1"/>
  <c r="U324" i="10" s="1"/>
  <c r="U325" i="10" s="1"/>
  <c r="U326" i="10" s="1"/>
  <c r="U327" i="10" s="1"/>
  <c r="U328" i="10" s="1"/>
  <c r="U329" i="10" s="1"/>
  <c r="U330" i="10" s="1"/>
  <c r="U331" i="10" s="1"/>
  <c r="U332" i="10" s="1"/>
  <c r="U333" i="10" s="1"/>
  <c r="U334" i="10" s="1"/>
  <c r="U335" i="10" s="1"/>
  <c r="U336" i="10" s="1"/>
  <c r="U337" i="10" s="1"/>
  <c r="U338" i="10" s="1"/>
  <c r="U339" i="10" s="1"/>
  <c r="U340" i="10" s="1"/>
  <c r="U341" i="10" s="1"/>
  <c r="U342" i="10" s="1"/>
  <c r="U343" i="10" s="1"/>
  <c r="U344" i="10" s="1"/>
  <c r="U345" i="10" s="1"/>
  <c r="U346" i="10" s="1"/>
  <c r="U347" i="10" s="1"/>
  <c r="U348" i="10" s="1"/>
  <c r="U349" i="10" s="1"/>
  <c r="U350" i="10" s="1"/>
  <c r="U351" i="10" s="1"/>
  <c r="U352" i="10" s="1"/>
  <c r="U353" i="10" s="1"/>
  <c r="U354" i="10" s="1"/>
  <c r="U355" i="10" s="1"/>
  <c r="U356" i="10" s="1"/>
  <c r="U357" i="10" s="1"/>
  <c r="U358" i="10" s="1"/>
  <c r="U359" i="10" s="1"/>
  <c r="U360" i="10" s="1"/>
  <c r="U361" i="10" s="1"/>
  <c r="U362" i="10" s="1"/>
  <c r="U363" i="10" s="1"/>
  <c r="U364" i="10" s="1"/>
  <c r="AC44" i="10"/>
  <c r="U305" i="9"/>
  <c r="U306" i="9" s="1"/>
  <c r="U307" i="9" s="1"/>
  <c r="U308" i="9" s="1"/>
  <c r="U309" i="9" s="1"/>
  <c r="U310" i="9" s="1"/>
  <c r="U311" i="9" s="1"/>
  <c r="U312" i="9" s="1"/>
  <c r="U313" i="9" s="1"/>
  <c r="U314" i="9" s="1"/>
  <c r="U315" i="9" s="1"/>
  <c r="U316" i="9" s="1"/>
  <c r="U317" i="9" s="1"/>
  <c r="U318" i="9" s="1"/>
  <c r="U319" i="9" s="1"/>
  <c r="U320" i="9" s="1"/>
  <c r="U321" i="9" s="1"/>
  <c r="U322" i="9" s="1"/>
  <c r="U323" i="9" s="1"/>
  <c r="U324" i="9" s="1"/>
  <c r="U325" i="9" s="1"/>
  <c r="U326" i="9" s="1"/>
  <c r="U327" i="9" s="1"/>
  <c r="U328" i="9" s="1"/>
  <c r="U329" i="9" s="1"/>
  <c r="U330" i="9" s="1"/>
  <c r="U331" i="9" s="1"/>
  <c r="U332" i="9" s="1"/>
  <c r="U333" i="9" s="1"/>
  <c r="U334" i="9" s="1"/>
  <c r="U335" i="9" s="1"/>
  <c r="U336" i="9" s="1"/>
  <c r="U337" i="9" s="1"/>
  <c r="U338" i="9" s="1"/>
  <c r="U339" i="9" s="1"/>
  <c r="U340" i="9" s="1"/>
  <c r="U341" i="9" s="1"/>
  <c r="U342" i="9" s="1"/>
  <c r="U343" i="9" s="1"/>
  <c r="U344" i="9" s="1"/>
  <c r="U345" i="9" s="1"/>
  <c r="U346" i="9" s="1"/>
  <c r="U347" i="9" s="1"/>
  <c r="U348" i="9" s="1"/>
  <c r="U349" i="9" s="1"/>
  <c r="U350" i="9" s="1"/>
  <c r="U351" i="9" s="1"/>
  <c r="U352" i="9" s="1"/>
  <c r="U353" i="9" s="1"/>
  <c r="U354" i="9" s="1"/>
  <c r="U355" i="9" s="1"/>
  <c r="U356" i="9" s="1"/>
  <c r="U357" i="9" s="1"/>
  <c r="U358" i="9" s="1"/>
  <c r="U359" i="9" s="1"/>
  <c r="U360" i="9" s="1"/>
  <c r="U361" i="9" s="1"/>
  <c r="U362" i="9" s="1"/>
  <c r="U363" i="9" s="1"/>
  <c r="U364" i="9" s="1"/>
  <c r="AC44" i="9"/>
  <c r="U305" i="5"/>
  <c r="U306" i="5" s="1"/>
  <c r="U307" i="5" s="1"/>
  <c r="U308" i="5" s="1"/>
  <c r="U309" i="5" s="1"/>
  <c r="U310" i="5" s="1"/>
  <c r="U311" i="5" s="1"/>
  <c r="U312" i="5" s="1"/>
  <c r="U313" i="5" s="1"/>
  <c r="U314" i="5" s="1"/>
  <c r="U315" i="5" s="1"/>
  <c r="U316" i="5" s="1"/>
  <c r="U317" i="5" s="1"/>
  <c r="U318" i="5" s="1"/>
  <c r="U319" i="5" s="1"/>
  <c r="U320" i="5" s="1"/>
  <c r="U321" i="5" s="1"/>
  <c r="U322" i="5" s="1"/>
  <c r="U323" i="5" s="1"/>
  <c r="U324" i="5" s="1"/>
  <c r="U325" i="5" s="1"/>
  <c r="U326" i="5" s="1"/>
  <c r="U327" i="5" s="1"/>
  <c r="U328" i="5" s="1"/>
  <c r="U329" i="5" s="1"/>
  <c r="U330" i="5" s="1"/>
  <c r="U331" i="5" s="1"/>
  <c r="U332" i="5" s="1"/>
  <c r="U333" i="5" s="1"/>
  <c r="U334" i="5" s="1"/>
  <c r="U335" i="5" s="1"/>
  <c r="U336" i="5" s="1"/>
  <c r="U337" i="5" s="1"/>
  <c r="U338" i="5" s="1"/>
  <c r="U339" i="5" s="1"/>
  <c r="U340" i="5" s="1"/>
  <c r="U341" i="5" s="1"/>
  <c r="U342" i="5" s="1"/>
  <c r="U343" i="5" s="1"/>
  <c r="U344" i="5" s="1"/>
  <c r="U345" i="5" s="1"/>
  <c r="U346" i="5" s="1"/>
  <c r="U347" i="5" s="1"/>
  <c r="U348" i="5" s="1"/>
  <c r="U349" i="5" s="1"/>
  <c r="U350" i="5" s="1"/>
  <c r="U351" i="5" s="1"/>
  <c r="U352" i="5" s="1"/>
  <c r="U353" i="5" s="1"/>
  <c r="U354" i="5" s="1"/>
  <c r="U355" i="5" s="1"/>
  <c r="U356" i="5" s="1"/>
  <c r="U357" i="5" s="1"/>
  <c r="U358" i="5" s="1"/>
  <c r="U359" i="5" s="1"/>
  <c r="U360" i="5" s="1"/>
  <c r="U361" i="5" s="1"/>
  <c r="U362" i="5" s="1"/>
  <c r="U363" i="5" s="1"/>
  <c r="U364" i="5" s="1"/>
  <c r="AC44" i="5"/>
  <c r="T13" i="5" l="1"/>
  <c r="C14" i="5"/>
  <c r="L7" i="10"/>
  <c r="C14" i="10"/>
  <c r="T13" i="10"/>
  <c r="T18" i="9"/>
  <c r="C19" i="9"/>
  <c r="J7" i="10"/>
  <c r="J7" i="9"/>
  <c r="K8" i="10"/>
  <c r="M8" i="10" s="1"/>
  <c r="R9" i="10"/>
  <c r="S8" i="10"/>
  <c r="G8" i="10" s="1"/>
  <c r="J8" i="10" s="1"/>
  <c r="K8" i="5"/>
  <c r="M8" i="5" s="1"/>
  <c r="R9" i="5"/>
  <c r="S8" i="5"/>
  <c r="G8" i="5" s="1"/>
  <c r="F9" i="5"/>
  <c r="N7" i="9"/>
  <c r="H8" i="9"/>
  <c r="Q8" i="9" s="1"/>
  <c r="O7" i="9"/>
  <c r="P7" i="9" s="1"/>
  <c r="F9" i="9"/>
  <c r="G8" i="9"/>
  <c r="J8" i="9" s="1"/>
  <c r="F9" i="10"/>
  <c r="K8" i="9"/>
  <c r="M8" i="9" s="1"/>
  <c r="R9" i="9"/>
  <c r="S8" i="9"/>
  <c r="L8" i="5"/>
  <c r="Q7" i="10"/>
  <c r="Q7" i="5"/>
  <c r="I8" i="9"/>
  <c r="L7" i="9"/>
  <c r="U365" i="10"/>
  <c r="U366" i="10" s="1"/>
  <c r="U367" i="10" s="1"/>
  <c r="U368" i="10" s="1"/>
  <c r="U369" i="10" s="1"/>
  <c r="U370" i="10" s="1"/>
  <c r="U371" i="10" s="1"/>
  <c r="U372" i="10" s="1"/>
  <c r="U373" i="10" s="1"/>
  <c r="U374" i="10" s="1"/>
  <c r="U375" i="10" s="1"/>
  <c r="U376" i="10" s="1"/>
  <c r="U377" i="10" s="1"/>
  <c r="U378" i="10" s="1"/>
  <c r="U379" i="10" s="1"/>
  <c r="U380" i="10" s="1"/>
  <c r="U381" i="10" s="1"/>
  <c r="U382" i="10" s="1"/>
  <c r="U383" i="10" s="1"/>
  <c r="U384" i="10" s="1"/>
  <c r="U385" i="10" s="1"/>
  <c r="U386" i="10" s="1"/>
  <c r="U387" i="10" s="1"/>
  <c r="U388" i="10" s="1"/>
  <c r="U389" i="10" s="1"/>
  <c r="U390" i="10" s="1"/>
  <c r="U391" i="10" s="1"/>
  <c r="U392" i="10" s="1"/>
  <c r="U393" i="10" s="1"/>
  <c r="U394" i="10" s="1"/>
  <c r="U395" i="10" s="1"/>
  <c r="U396" i="10" s="1"/>
  <c r="U397" i="10" s="1"/>
  <c r="U398" i="10" s="1"/>
  <c r="U399" i="10" s="1"/>
  <c r="U400" i="10" s="1"/>
  <c r="U401" i="10" s="1"/>
  <c r="U402" i="10" s="1"/>
  <c r="U403" i="10" s="1"/>
  <c r="U404" i="10" s="1"/>
  <c r="U405" i="10" s="1"/>
  <c r="U406" i="10" s="1"/>
  <c r="U407" i="10" s="1"/>
  <c r="U408" i="10" s="1"/>
  <c r="U409" i="10" s="1"/>
  <c r="U410" i="10" s="1"/>
  <c r="U411" i="10" s="1"/>
  <c r="U412" i="10" s="1"/>
  <c r="U413" i="10" s="1"/>
  <c r="U414" i="10" s="1"/>
  <c r="U415" i="10" s="1"/>
  <c r="U416" i="10" s="1"/>
  <c r="U417" i="10" s="1"/>
  <c r="U418" i="10" s="1"/>
  <c r="U419" i="10" s="1"/>
  <c r="U420" i="10" s="1"/>
  <c r="U421" i="10" s="1"/>
  <c r="U422" i="10" s="1"/>
  <c r="U423" i="10" s="1"/>
  <c r="U424" i="10" s="1"/>
  <c r="AC45" i="10"/>
  <c r="AC45" i="5"/>
  <c r="U365" i="5"/>
  <c r="U366" i="5" s="1"/>
  <c r="U367" i="5" s="1"/>
  <c r="U368" i="5" s="1"/>
  <c r="U369" i="5" s="1"/>
  <c r="U370" i="5" s="1"/>
  <c r="U371" i="5" s="1"/>
  <c r="U372" i="5" s="1"/>
  <c r="U373" i="5" s="1"/>
  <c r="U374" i="5" s="1"/>
  <c r="U375" i="5" s="1"/>
  <c r="U376" i="5" s="1"/>
  <c r="U377" i="5" s="1"/>
  <c r="U378" i="5" s="1"/>
  <c r="U379" i="5" s="1"/>
  <c r="U380" i="5" s="1"/>
  <c r="U381" i="5" s="1"/>
  <c r="U382" i="5" s="1"/>
  <c r="U383" i="5" s="1"/>
  <c r="U384" i="5" s="1"/>
  <c r="U385" i="5" s="1"/>
  <c r="U386" i="5" s="1"/>
  <c r="U387" i="5" s="1"/>
  <c r="U388" i="5" s="1"/>
  <c r="U389" i="5" s="1"/>
  <c r="U390" i="5" s="1"/>
  <c r="U391" i="5" s="1"/>
  <c r="U392" i="5" s="1"/>
  <c r="U393" i="5" s="1"/>
  <c r="U394" i="5" s="1"/>
  <c r="U395" i="5" s="1"/>
  <c r="U396" i="5" s="1"/>
  <c r="U397" i="5" s="1"/>
  <c r="U398" i="5" s="1"/>
  <c r="U399" i="5" s="1"/>
  <c r="U400" i="5" s="1"/>
  <c r="U401" i="5" s="1"/>
  <c r="U402" i="5" s="1"/>
  <c r="U403" i="5" s="1"/>
  <c r="U404" i="5" s="1"/>
  <c r="U405" i="5" s="1"/>
  <c r="U406" i="5" s="1"/>
  <c r="U407" i="5" s="1"/>
  <c r="U408" i="5" s="1"/>
  <c r="U409" i="5" s="1"/>
  <c r="U410" i="5" s="1"/>
  <c r="U411" i="5" s="1"/>
  <c r="U412" i="5" s="1"/>
  <c r="U413" i="5" s="1"/>
  <c r="U414" i="5" s="1"/>
  <c r="U415" i="5" s="1"/>
  <c r="U416" i="5" s="1"/>
  <c r="U417" i="5" s="1"/>
  <c r="U418" i="5" s="1"/>
  <c r="U419" i="5" s="1"/>
  <c r="U420" i="5" s="1"/>
  <c r="U421" i="5" s="1"/>
  <c r="U422" i="5" s="1"/>
  <c r="U423" i="5" s="1"/>
  <c r="U424" i="5" s="1"/>
  <c r="U365" i="9"/>
  <c r="U366" i="9" s="1"/>
  <c r="U367" i="9" s="1"/>
  <c r="U368" i="9" s="1"/>
  <c r="U369" i="9" s="1"/>
  <c r="U370" i="9" s="1"/>
  <c r="U371" i="9" s="1"/>
  <c r="U372" i="9" s="1"/>
  <c r="U373" i="9" s="1"/>
  <c r="U374" i="9" s="1"/>
  <c r="U375" i="9" s="1"/>
  <c r="U376" i="9" s="1"/>
  <c r="U377" i="9" s="1"/>
  <c r="U378" i="9" s="1"/>
  <c r="U379" i="9" s="1"/>
  <c r="U380" i="9" s="1"/>
  <c r="U381" i="9" s="1"/>
  <c r="U382" i="9" s="1"/>
  <c r="U383" i="9" s="1"/>
  <c r="U384" i="9" s="1"/>
  <c r="U385" i="9" s="1"/>
  <c r="U386" i="9" s="1"/>
  <c r="U387" i="9" s="1"/>
  <c r="U388" i="9" s="1"/>
  <c r="U389" i="9" s="1"/>
  <c r="U390" i="9" s="1"/>
  <c r="U391" i="9" s="1"/>
  <c r="U392" i="9" s="1"/>
  <c r="U393" i="9" s="1"/>
  <c r="U394" i="9" s="1"/>
  <c r="U395" i="9" s="1"/>
  <c r="U396" i="9" s="1"/>
  <c r="U397" i="9" s="1"/>
  <c r="U398" i="9" s="1"/>
  <c r="U399" i="9" s="1"/>
  <c r="U400" i="9" s="1"/>
  <c r="U401" i="9" s="1"/>
  <c r="U402" i="9" s="1"/>
  <c r="U403" i="9" s="1"/>
  <c r="U404" i="9" s="1"/>
  <c r="U405" i="9" s="1"/>
  <c r="U406" i="9" s="1"/>
  <c r="U407" i="9" s="1"/>
  <c r="U408" i="9" s="1"/>
  <c r="U409" i="9" s="1"/>
  <c r="U410" i="9" s="1"/>
  <c r="U411" i="9" s="1"/>
  <c r="U412" i="9" s="1"/>
  <c r="U413" i="9" s="1"/>
  <c r="U414" i="9" s="1"/>
  <c r="U415" i="9" s="1"/>
  <c r="U416" i="9" s="1"/>
  <c r="U417" i="9" s="1"/>
  <c r="U418" i="9" s="1"/>
  <c r="U419" i="9" s="1"/>
  <c r="U420" i="9" s="1"/>
  <c r="U421" i="9" s="1"/>
  <c r="U422" i="9" s="1"/>
  <c r="U423" i="9" s="1"/>
  <c r="U424" i="9" s="1"/>
  <c r="AC45" i="9"/>
  <c r="C20" i="9" l="1"/>
  <c r="T19" i="9"/>
  <c r="C15" i="10"/>
  <c r="T14" i="10"/>
  <c r="T14" i="5"/>
  <c r="C15" i="5"/>
  <c r="J8" i="5"/>
  <c r="F10" i="9"/>
  <c r="H9" i="9"/>
  <c r="Q9" i="9" s="1"/>
  <c r="N8" i="9"/>
  <c r="O8" i="9"/>
  <c r="P8" i="9" s="1"/>
  <c r="S9" i="5"/>
  <c r="G9" i="5" s="1"/>
  <c r="J9" i="5" s="1"/>
  <c r="R10" i="5"/>
  <c r="K9" i="5"/>
  <c r="M9" i="5" s="1"/>
  <c r="O7" i="10"/>
  <c r="P7" i="10" s="1"/>
  <c r="H8" i="10"/>
  <c r="I8" i="10" s="1"/>
  <c r="N7" i="10"/>
  <c r="F10" i="5"/>
  <c r="K9" i="9"/>
  <c r="M9" i="9" s="1"/>
  <c r="R10" i="9"/>
  <c r="S9" i="9"/>
  <c r="G9" i="9" s="1"/>
  <c r="K9" i="10"/>
  <c r="M9" i="10" s="1"/>
  <c r="S9" i="10"/>
  <c r="G9" i="10" s="1"/>
  <c r="R10" i="10"/>
  <c r="H8" i="5"/>
  <c r="I8" i="5" s="1"/>
  <c r="N7" i="5"/>
  <c r="O7" i="5"/>
  <c r="P7" i="5" s="1"/>
  <c r="F10" i="10"/>
  <c r="L8" i="9"/>
  <c r="L9" i="9" s="1"/>
  <c r="L8" i="10"/>
  <c r="U425" i="10"/>
  <c r="U426" i="10" s="1"/>
  <c r="U427" i="10" s="1"/>
  <c r="U428" i="10" s="1"/>
  <c r="U429" i="10" s="1"/>
  <c r="U430" i="10" s="1"/>
  <c r="U431" i="10" s="1"/>
  <c r="U432" i="10" s="1"/>
  <c r="U433" i="10" s="1"/>
  <c r="U434" i="10" s="1"/>
  <c r="U435" i="10" s="1"/>
  <c r="U436" i="10" s="1"/>
  <c r="U437" i="10" s="1"/>
  <c r="U438" i="10" s="1"/>
  <c r="U439" i="10" s="1"/>
  <c r="U440" i="10" s="1"/>
  <c r="U441" i="10" s="1"/>
  <c r="U442" i="10" s="1"/>
  <c r="U443" i="10" s="1"/>
  <c r="U444" i="10" s="1"/>
  <c r="U445" i="10" s="1"/>
  <c r="U446" i="10" s="1"/>
  <c r="U447" i="10" s="1"/>
  <c r="U448" i="10" s="1"/>
  <c r="U449" i="10" s="1"/>
  <c r="U450" i="10" s="1"/>
  <c r="U451" i="10" s="1"/>
  <c r="U452" i="10" s="1"/>
  <c r="U453" i="10" s="1"/>
  <c r="U454" i="10" s="1"/>
  <c r="U455" i="10" s="1"/>
  <c r="U456" i="10" s="1"/>
  <c r="U457" i="10" s="1"/>
  <c r="U458" i="10" s="1"/>
  <c r="U459" i="10" s="1"/>
  <c r="U460" i="10" s="1"/>
  <c r="U461" i="10" s="1"/>
  <c r="U462" i="10" s="1"/>
  <c r="U463" i="10" s="1"/>
  <c r="U464" i="10" s="1"/>
  <c r="U465" i="10" s="1"/>
  <c r="U466" i="10" s="1"/>
  <c r="U467" i="10" s="1"/>
  <c r="U468" i="10" s="1"/>
  <c r="U469" i="10" s="1"/>
  <c r="U470" i="10" s="1"/>
  <c r="U471" i="10" s="1"/>
  <c r="U472" i="10" s="1"/>
  <c r="U473" i="10" s="1"/>
  <c r="U474" i="10" s="1"/>
  <c r="U475" i="10" s="1"/>
  <c r="U476" i="10" s="1"/>
  <c r="U477" i="10" s="1"/>
  <c r="U478" i="10" s="1"/>
  <c r="U479" i="10" s="1"/>
  <c r="U480" i="10" s="1"/>
  <c r="U481" i="10" s="1"/>
  <c r="U482" i="10" s="1"/>
  <c r="U483" i="10" s="1"/>
  <c r="U484" i="10" s="1"/>
  <c r="AC46" i="10"/>
  <c r="U425" i="9"/>
  <c r="U426" i="9" s="1"/>
  <c r="U427" i="9" s="1"/>
  <c r="U428" i="9" s="1"/>
  <c r="U429" i="9" s="1"/>
  <c r="U430" i="9" s="1"/>
  <c r="U431" i="9" s="1"/>
  <c r="U432" i="9" s="1"/>
  <c r="U433" i="9" s="1"/>
  <c r="U434" i="9" s="1"/>
  <c r="U435" i="9" s="1"/>
  <c r="U436" i="9" s="1"/>
  <c r="U437" i="9" s="1"/>
  <c r="U438" i="9" s="1"/>
  <c r="U439" i="9" s="1"/>
  <c r="U440" i="9" s="1"/>
  <c r="U441" i="9" s="1"/>
  <c r="U442" i="9" s="1"/>
  <c r="U443" i="9" s="1"/>
  <c r="U444" i="9" s="1"/>
  <c r="U445" i="9" s="1"/>
  <c r="U446" i="9" s="1"/>
  <c r="U447" i="9" s="1"/>
  <c r="U448" i="9" s="1"/>
  <c r="U449" i="9" s="1"/>
  <c r="U450" i="9" s="1"/>
  <c r="U451" i="9" s="1"/>
  <c r="U452" i="9" s="1"/>
  <c r="U453" i="9" s="1"/>
  <c r="U454" i="9" s="1"/>
  <c r="U455" i="9" s="1"/>
  <c r="U456" i="9" s="1"/>
  <c r="U457" i="9" s="1"/>
  <c r="U458" i="9" s="1"/>
  <c r="U459" i="9" s="1"/>
  <c r="U460" i="9" s="1"/>
  <c r="U461" i="9" s="1"/>
  <c r="U462" i="9" s="1"/>
  <c r="U463" i="9" s="1"/>
  <c r="U464" i="9" s="1"/>
  <c r="U465" i="9" s="1"/>
  <c r="U466" i="9" s="1"/>
  <c r="U467" i="9" s="1"/>
  <c r="U468" i="9" s="1"/>
  <c r="U469" i="9" s="1"/>
  <c r="U470" i="9" s="1"/>
  <c r="U471" i="9" s="1"/>
  <c r="U472" i="9" s="1"/>
  <c r="U473" i="9" s="1"/>
  <c r="U474" i="9" s="1"/>
  <c r="U475" i="9" s="1"/>
  <c r="U476" i="9" s="1"/>
  <c r="U477" i="9" s="1"/>
  <c r="U478" i="9" s="1"/>
  <c r="U479" i="9" s="1"/>
  <c r="U480" i="9" s="1"/>
  <c r="U481" i="9" s="1"/>
  <c r="U482" i="9" s="1"/>
  <c r="U483" i="9" s="1"/>
  <c r="U484" i="9" s="1"/>
  <c r="AC46" i="9"/>
  <c r="AC46" i="5"/>
  <c r="U425" i="5"/>
  <c r="U426" i="5" s="1"/>
  <c r="U427" i="5" s="1"/>
  <c r="U428" i="5" s="1"/>
  <c r="U429" i="5" s="1"/>
  <c r="U430" i="5" s="1"/>
  <c r="U431" i="5" s="1"/>
  <c r="U432" i="5" s="1"/>
  <c r="U433" i="5" s="1"/>
  <c r="U434" i="5" s="1"/>
  <c r="U435" i="5" s="1"/>
  <c r="U436" i="5" s="1"/>
  <c r="U437" i="5" s="1"/>
  <c r="U438" i="5" s="1"/>
  <c r="U439" i="5" s="1"/>
  <c r="U440" i="5" s="1"/>
  <c r="U441" i="5" s="1"/>
  <c r="U442" i="5" s="1"/>
  <c r="U443" i="5" s="1"/>
  <c r="U444" i="5" s="1"/>
  <c r="U445" i="5" s="1"/>
  <c r="U446" i="5" s="1"/>
  <c r="U447" i="5" s="1"/>
  <c r="U448" i="5" s="1"/>
  <c r="U449" i="5" s="1"/>
  <c r="U450" i="5" s="1"/>
  <c r="U451" i="5" s="1"/>
  <c r="U452" i="5" s="1"/>
  <c r="U453" i="5" s="1"/>
  <c r="U454" i="5" s="1"/>
  <c r="U455" i="5" s="1"/>
  <c r="U456" i="5" s="1"/>
  <c r="U457" i="5" s="1"/>
  <c r="U458" i="5" s="1"/>
  <c r="U459" i="5" s="1"/>
  <c r="U460" i="5" s="1"/>
  <c r="U461" i="5" s="1"/>
  <c r="U462" i="5" s="1"/>
  <c r="U463" i="5" s="1"/>
  <c r="U464" i="5" s="1"/>
  <c r="U465" i="5" s="1"/>
  <c r="U466" i="5" s="1"/>
  <c r="U467" i="5" s="1"/>
  <c r="U468" i="5" s="1"/>
  <c r="U469" i="5" s="1"/>
  <c r="U470" i="5" s="1"/>
  <c r="U471" i="5" s="1"/>
  <c r="U472" i="5" s="1"/>
  <c r="U473" i="5" s="1"/>
  <c r="U474" i="5" s="1"/>
  <c r="U475" i="5" s="1"/>
  <c r="U476" i="5" s="1"/>
  <c r="U477" i="5" s="1"/>
  <c r="U478" i="5" s="1"/>
  <c r="U479" i="5" s="1"/>
  <c r="U480" i="5" s="1"/>
  <c r="U481" i="5" s="1"/>
  <c r="U482" i="5" s="1"/>
  <c r="U483" i="5" s="1"/>
  <c r="U484" i="5" s="1"/>
  <c r="Q8" i="5" l="1"/>
  <c r="T15" i="5"/>
  <c r="C16" i="5"/>
  <c r="C21" i="9"/>
  <c r="T20" i="9"/>
  <c r="C16" i="10"/>
  <c r="T15" i="10"/>
  <c r="L9" i="10"/>
  <c r="J9" i="10"/>
  <c r="O9" i="9"/>
  <c r="P9" i="9" s="1"/>
  <c r="H10" i="9"/>
  <c r="Q10" i="9" s="1"/>
  <c r="N9" i="9"/>
  <c r="J9" i="9"/>
  <c r="R11" i="10"/>
  <c r="K10" i="10"/>
  <c r="M10" i="10" s="1"/>
  <c r="S10" i="10"/>
  <c r="G10" i="10" s="1"/>
  <c r="J10" i="10" s="1"/>
  <c r="S10" i="9"/>
  <c r="G10" i="9" s="1"/>
  <c r="J10" i="9" s="1"/>
  <c r="R11" i="9"/>
  <c r="K10" i="9"/>
  <c r="M10" i="9" s="1"/>
  <c r="R11" i="5"/>
  <c r="K10" i="5"/>
  <c r="M10" i="5" s="1"/>
  <c r="S10" i="5"/>
  <c r="G10" i="5" s="1"/>
  <c r="O8" i="5"/>
  <c r="P8" i="5" s="1"/>
  <c r="N8" i="5"/>
  <c r="H9" i="5"/>
  <c r="Q9" i="5" s="1"/>
  <c r="F11" i="9"/>
  <c r="L10" i="9"/>
  <c r="I9" i="5"/>
  <c r="I9" i="9"/>
  <c r="Q8" i="10"/>
  <c r="F11" i="10"/>
  <c r="F11" i="5"/>
  <c r="L9" i="5"/>
  <c r="AC47" i="5"/>
  <c r="U485" i="5"/>
  <c r="U486" i="5" s="1"/>
  <c r="U487" i="5" s="1"/>
  <c r="U488" i="5" s="1"/>
  <c r="U489" i="5" s="1"/>
  <c r="U490" i="5" s="1"/>
  <c r="U491" i="5" s="1"/>
  <c r="U492" i="5" s="1"/>
  <c r="U493" i="5" s="1"/>
  <c r="U494" i="5" s="1"/>
  <c r="U495" i="5" s="1"/>
  <c r="U496" i="5" s="1"/>
  <c r="U497" i="5" s="1"/>
  <c r="U498" i="5" s="1"/>
  <c r="U499" i="5" s="1"/>
  <c r="U500" i="5" s="1"/>
  <c r="U501" i="5" s="1"/>
  <c r="U502" i="5" s="1"/>
  <c r="U503" i="5" s="1"/>
  <c r="U504" i="5" s="1"/>
  <c r="U505" i="5" s="1"/>
  <c r="U506" i="5" s="1"/>
  <c r="U507" i="5" s="1"/>
  <c r="U508" i="5" s="1"/>
  <c r="U509" i="5" s="1"/>
  <c r="U510" i="5" s="1"/>
  <c r="U511" i="5" s="1"/>
  <c r="U512" i="5" s="1"/>
  <c r="U513" i="5" s="1"/>
  <c r="U514" i="5" s="1"/>
  <c r="U515" i="5" s="1"/>
  <c r="U516" i="5" s="1"/>
  <c r="U517" i="5" s="1"/>
  <c r="U518" i="5" s="1"/>
  <c r="U519" i="5" s="1"/>
  <c r="U520" i="5" s="1"/>
  <c r="U521" i="5" s="1"/>
  <c r="U522" i="5" s="1"/>
  <c r="U523" i="5" s="1"/>
  <c r="U524" i="5" s="1"/>
  <c r="U525" i="5" s="1"/>
  <c r="U526" i="5" s="1"/>
  <c r="U527" i="5" s="1"/>
  <c r="U528" i="5" s="1"/>
  <c r="U529" i="5" s="1"/>
  <c r="U530" i="5" s="1"/>
  <c r="U531" i="5" s="1"/>
  <c r="U532" i="5" s="1"/>
  <c r="U533" i="5" s="1"/>
  <c r="U534" i="5" s="1"/>
  <c r="U535" i="5" s="1"/>
  <c r="U536" i="5" s="1"/>
  <c r="U537" i="5" s="1"/>
  <c r="U538" i="5" s="1"/>
  <c r="U539" i="5" s="1"/>
  <c r="U540" i="5" s="1"/>
  <c r="U541" i="5" s="1"/>
  <c r="U542" i="5" s="1"/>
  <c r="U543" i="5" s="1"/>
  <c r="U544" i="5" s="1"/>
  <c r="U485" i="10"/>
  <c r="U486" i="10" s="1"/>
  <c r="U487" i="10" s="1"/>
  <c r="U488" i="10" s="1"/>
  <c r="U489" i="10" s="1"/>
  <c r="U490" i="10" s="1"/>
  <c r="U491" i="10" s="1"/>
  <c r="U492" i="10" s="1"/>
  <c r="U493" i="10" s="1"/>
  <c r="U494" i="10" s="1"/>
  <c r="U495" i="10" s="1"/>
  <c r="U496" i="10" s="1"/>
  <c r="U497" i="10" s="1"/>
  <c r="U498" i="10" s="1"/>
  <c r="U499" i="10" s="1"/>
  <c r="U500" i="10" s="1"/>
  <c r="U501" i="10" s="1"/>
  <c r="U502" i="10" s="1"/>
  <c r="U503" i="10" s="1"/>
  <c r="U504" i="10" s="1"/>
  <c r="U505" i="10" s="1"/>
  <c r="U506" i="10" s="1"/>
  <c r="U507" i="10" s="1"/>
  <c r="U508" i="10" s="1"/>
  <c r="U509" i="10" s="1"/>
  <c r="U510" i="10" s="1"/>
  <c r="U511" i="10" s="1"/>
  <c r="U512" i="10" s="1"/>
  <c r="U513" i="10" s="1"/>
  <c r="U514" i="10" s="1"/>
  <c r="U515" i="10" s="1"/>
  <c r="U516" i="10" s="1"/>
  <c r="U517" i="10" s="1"/>
  <c r="U518" i="10" s="1"/>
  <c r="U519" i="10" s="1"/>
  <c r="U520" i="10" s="1"/>
  <c r="U521" i="10" s="1"/>
  <c r="U522" i="10" s="1"/>
  <c r="U523" i="10" s="1"/>
  <c r="U524" i="10" s="1"/>
  <c r="U525" i="10" s="1"/>
  <c r="U526" i="10" s="1"/>
  <c r="U527" i="10" s="1"/>
  <c r="U528" i="10" s="1"/>
  <c r="U529" i="10" s="1"/>
  <c r="U530" i="10" s="1"/>
  <c r="U531" i="10" s="1"/>
  <c r="U532" i="10" s="1"/>
  <c r="U533" i="10" s="1"/>
  <c r="U534" i="10" s="1"/>
  <c r="U535" i="10" s="1"/>
  <c r="U536" i="10" s="1"/>
  <c r="U537" i="10" s="1"/>
  <c r="U538" i="10" s="1"/>
  <c r="U539" i="10" s="1"/>
  <c r="U540" i="10" s="1"/>
  <c r="U541" i="10" s="1"/>
  <c r="U542" i="10" s="1"/>
  <c r="U543" i="10" s="1"/>
  <c r="U544" i="10" s="1"/>
  <c r="AC47" i="10"/>
  <c r="AC47" i="9"/>
  <c r="U485" i="9"/>
  <c r="U486" i="9" s="1"/>
  <c r="U487" i="9" s="1"/>
  <c r="U488" i="9" s="1"/>
  <c r="U489" i="9" s="1"/>
  <c r="U490" i="9" s="1"/>
  <c r="U491" i="9" s="1"/>
  <c r="U492" i="9" s="1"/>
  <c r="U493" i="9" s="1"/>
  <c r="U494" i="9" s="1"/>
  <c r="U495" i="9" s="1"/>
  <c r="U496" i="9" s="1"/>
  <c r="U497" i="9" s="1"/>
  <c r="U498" i="9" s="1"/>
  <c r="U499" i="9" s="1"/>
  <c r="U500" i="9" s="1"/>
  <c r="U501" i="9" s="1"/>
  <c r="U502" i="9" s="1"/>
  <c r="U503" i="9" s="1"/>
  <c r="U504" i="9" s="1"/>
  <c r="U505" i="9" s="1"/>
  <c r="U506" i="9" s="1"/>
  <c r="U507" i="9" s="1"/>
  <c r="U508" i="9" s="1"/>
  <c r="U509" i="9" s="1"/>
  <c r="U510" i="9" s="1"/>
  <c r="U511" i="9" s="1"/>
  <c r="U512" i="9" s="1"/>
  <c r="U513" i="9" s="1"/>
  <c r="U514" i="9" s="1"/>
  <c r="U515" i="9" s="1"/>
  <c r="U516" i="9" s="1"/>
  <c r="U517" i="9" s="1"/>
  <c r="U518" i="9" s="1"/>
  <c r="U519" i="9" s="1"/>
  <c r="U520" i="9" s="1"/>
  <c r="U521" i="9" s="1"/>
  <c r="U522" i="9" s="1"/>
  <c r="U523" i="9" s="1"/>
  <c r="U524" i="9" s="1"/>
  <c r="U525" i="9" s="1"/>
  <c r="U526" i="9" s="1"/>
  <c r="U527" i="9" s="1"/>
  <c r="U528" i="9" s="1"/>
  <c r="U529" i="9" s="1"/>
  <c r="U530" i="9" s="1"/>
  <c r="U531" i="9" s="1"/>
  <c r="U532" i="9" s="1"/>
  <c r="U533" i="9" s="1"/>
  <c r="U534" i="9" s="1"/>
  <c r="U535" i="9" s="1"/>
  <c r="U536" i="9" s="1"/>
  <c r="U537" i="9" s="1"/>
  <c r="U538" i="9" s="1"/>
  <c r="U539" i="9" s="1"/>
  <c r="U540" i="9" s="1"/>
  <c r="U541" i="9" s="1"/>
  <c r="U542" i="9" s="1"/>
  <c r="U543" i="9" s="1"/>
  <c r="U544" i="9" s="1"/>
  <c r="L10" i="10" l="1"/>
  <c r="C17" i="10"/>
  <c r="T16" i="10"/>
  <c r="C22" i="9"/>
  <c r="T21" i="9"/>
  <c r="C17" i="5"/>
  <c r="T16" i="5"/>
  <c r="L10" i="5"/>
  <c r="H11" i="9"/>
  <c r="Q11" i="9" s="1"/>
  <c r="N10" i="9"/>
  <c r="O10" i="9"/>
  <c r="P10" i="9" s="1"/>
  <c r="J10" i="5"/>
  <c r="H10" i="5"/>
  <c r="Q10" i="5" s="1"/>
  <c r="N9" i="5"/>
  <c r="O9" i="5"/>
  <c r="P9" i="5" s="1"/>
  <c r="R12" i="9"/>
  <c r="K11" i="9"/>
  <c r="M11" i="9" s="1"/>
  <c r="S11" i="9"/>
  <c r="G11" i="9" s="1"/>
  <c r="J11" i="9" s="1"/>
  <c r="R12" i="10"/>
  <c r="S11" i="10"/>
  <c r="G11" i="10" s="1"/>
  <c r="J11" i="10" s="1"/>
  <c r="K11" i="10"/>
  <c r="M11" i="10" s="1"/>
  <c r="F12" i="5"/>
  <c r="I10" i="9"/>
  <c r="H9" i="10"/>
  <c r="I9" i="10" s="1"/>
  <c r="N8" i="10"/>
  <c r="O8" i="10"/>
  <c r="P8" i="10" s="1"/>
  <c r="F12" i="9"/>
  <c r="S11" i="5"/>
  <c r="G11" i="5" s="1"/>
  <c r="J11" i="5" s="1"/>
  <c r="R12" i="5"/>
  <c r="K11" i="5"/>
  <c r="M11" i="5" s="1"/>
  <c r="I10" i="5"/>
  <c r="F12" i="10"/>
  <c r="U545" i="9"/>
  <c r="U546" i="9" s="1"/>
  <c r="U547" i="9" s="1"/>
  <c r="U548" i="9" s="1"/>
  <c r="U549" i="9" s="1"/>
  <c r="U550" i="9" s="1"/>
  <c r="U551" i="9" s="1"/>
  <c r="U552" i="9" s="1"/>
  <c r="U553" i="9" s="1"/>
  <c r="U554" i="9" s="1"/>
  <c r="U555" i="9" s="1"/>
  <c r="U556" i="9" s="1"/>
  <c r="U557" i="9" s="1"/>
  <c r="U558" i="9" s="1"/>
  <c r="U559" i="9" s="1"/>
  <c r="U560" i="9" s="1"/>
  <c r="U561" i="9" s="1"/>
  <c r="U562" i="9" s="1"/>
  <c r="U563" i="9" s="1"/>
  <c r="U564" i="9" s="1"/>
  <c r="U565" i="9" s="1"/>
  <c r="U566" i="9" s="1"/>
  <c r="U567" i="9" s="1"/>
  <c r="U568" i="9" s="1"/>
  <c r="U569" i="9" s="1"/>
  <c r="U570" i="9" s="1"/>
  <c r="U571" i="9" s="1"/>
  <c r="U572" i="9" s="1"/>
  <c r="U573" i="9" s="1"/>
  <c r="U574" i="9" s="1"/>
  <c r="U575" i="9" s="1"/>
  <c r="U576" i="9" s="1"/>
  <c r="U577" i="9" s="1"/>
  <c r="U578" i="9" s="1"/>
  <c r="U579" i="9" s="1"/>
  <c r="U580" i="9" s="1"/>
  <c r="U581" i="9" s="1"/>
  <c r="U582" i="9" s="1"/>
  <c r="U583" i="9" s="1"/>
  <c r="U584" i="9" s="1"/>
  <c r="U585" i="9" s="1"/>
  <c r="U586" i="9" s="1"/>
  <c r="U587" i="9" s="1"/>
  <c r="U588" i="9" s="1"/>
  <c r="U589" i="9" s="1"/>
  <c r="U590" i="9" s="1"/>
  <c r="U591" i="9" s="1"/>
  <c r="U592" i="9" s="1"/>
  <c r="U593" i="9" s="1"/>
  <c r="U594" i="9" s="1"/>
  <c r="U595" i="9" s="1"/>
  <c r="U596" i="9" s="1"/>
  <c r="U597" i="9" s="1"/>
  <c r="U598" i="9" s="1"/>
  <c r="U599" i="9" s="1"/>
  <c r="U600" i="9" s="1"/>
  <c r="U601" i="9" s="1"/>
  <c r="U602" i="9" s="1"/>
  <c r="U603" i="9" s="1"/>
  <c r="U604" i="9" s="1"/>
  <c r="AC49" i="9" s="1"/>
  <c r="AC48" i="9"/>
  <c r="AC48" i="5"/>
  <c r="U545" i="5"/>
  <c r="U546" i="5" s="1"/>
  <c r="U547" i="5" s="1"/>
  <c r="U548" i="5" s="1"/>
  <c r="U549" i="5" s="1"/>
  <c r="U550" i="5" s="1"/>
  <c r="U551" i="5" s="1"/>
  <c r="U552" i="5" s="1"/>
  <c r="U553" i="5" s="1"/>
  <c r="U554" i="5" s="1"/>
  <c r="U555" i="5" s="1"/>
  <c r="U556" i="5" s="1"/>
  <c r="U557" i="5" s="1"/>
  <c r="U558" i="5" s="1"/>
  <c r="U559" i="5" s="1"/>
  <c r="U560" i="5" s="1"/>
  <c r="U561" i="5" s="1"/>
  <c r="U562" i="5" s="1"/>
  <c r="U563" i="5" s="1"/>
  <c r="U564" i="5" s="1"/>
  <c r="U565" i="5" s="1"/>
  <c r="U566" i="5" s="1"/>
  <c r="U567" i="5" s="1"/>
  <c r="U568" i="5" s="1"/>
  <c r="U569" i="5" s="1"/>
  <c r="U570" i="5" s="1"/>
  <c r="U571" i="5" s="1"/>
  <c r="U572" i="5" s="1"/>
  <c r="U573" i="5" s="1"/>
  <c r="U574" i="5" s="1"/>
  <c r="U575" i="5" s="1"/>
  <c r="U576" i="5" s="1"/>
  <c r="U577" i="5" s="1"/>
  <c r="U578" i="5" s="1"/>
  <c r="U579" i="5" s="1"/>
  <c r="U580" i="5" s="1"/>
  <c r="U581" i="5" s="1"/>
  <c r="U582" i="5" s="1"/>
  <c r="U583" i="5" s="1"/>
  <c r="U584" i="5" s="1"/>
  <c r="U585" i="5" s="1"/>
  <c r="U586" i="5" s="1"/>
  <c r="U587" i="5" s="1"/>
  <c r="U588" i="5" s="1"/>
  <c r="U589" i="5" s="1"/>
  <c r="U590" i="5" s="1"/>
  <c r="U591" i="5" s="1"/>
  <c r="U592" i="5" s="1"/>
  <c r="U593" i="5" s="1"/>
  <c r="U594" i="5" s="1"/>
  <c r="U595" i="5" s="1"/>
  <c r="U596" i="5" s="1"/>
  <c r="U597" i="5" s="1"/>
  <c r="U598" i="5" s="1"/>
  <c r="U599" i="5" s="1"/>
  <c r="U600" i="5" s="1"/>
  <c r="U601" i="5" s="1"/>
  <c r="U602" i="5" s="1"/>
  <c r="U603" i="5" s="1"/>
  <c r="U604" i="5" s="1"/>
  <c r="AC49" i="5" s="1"/>
  <c r="U545" i="10"/>
  <c r="U546" i="10" s="1"/>
  <c r="U547" i="10" s="1"/>
  <c r="U548" i="10" s="1"/>
  <c r="U549" i="10" s="1"/>
  <c r="U550" i="10" s="1"/>
  <c r="U551" i="10" s="1"/>
  <c r="U552" i="10" s="1"/>
  <c r="U553" i="10" s="1"/>
  <c r="U554" i="10" s="1"/>
  <c r="U555" i="10" s="1"/>
  <c r="U556" i="10" s="1"/>
  <c r="U557" i="10" s="1"/>
  <c r="U558" i="10" s="1"/>
  <c r="U559" i="10" s="1"/>
  <c r="U560" i="10" s="1"/>
  <c r="U561" i="10" s="1"/>
  <c r="U562" i="10" s="1"/>
  <c r="U563" i="10" s="1"/>
  <c r="U564" i="10" s="1"/>
  <c r="U565" i="10" s="1"/>
  <c r="U566" i="10" s="1"/>
  <c r="U567" i="10" s="1"/>
  <c r="U568" i="10" s="1"/>
  <c r="U569" i="10" s="1"/>
  <c r="U570" i="10" s="1"/>
  <c r="U571" i="10" s="1"/>
  <c r="U572" i="10" s="1"/>
  <c r="U573" i="10" s="1"/>
  <c r="U574" i="10" s="1"/>
  <c r="U575" i="10" s="1"/>
  <c r="U576" i="10" s="1"/>
  <c r="U577" i="10" s="1"/>
  <c r="U578" i="10" s="1"/>
  <c r="U579" i="10" s="1"/>
  <c r="U580" i="10" s="1"/>
  <c r="U581" i="10" s="1"/>
  <c r="U582" i="10" s="1"/>
  <c r="U583" i="10" s="1"/>
  <c r="U584" i="10" s="1"/>
  <c r="U585" i="10" s="1"/>
  <c r="U586" i="10" s="1"/>
  <c r="U587" i="10" s="1"/>
  <c r="U588" i="10" s="1"/>
  <c r="U589" i="10" s="1"/>
  <c r="U590" i="10" s="1"/>
  <c r="U591" i="10" s="1"/>
  <c r="U592" i="10" s="1"/>
  <c r="U593" i="10" s="1"/>
  <c r="U594" i="10" s="1"/>
  <c r="U595" i="10" s="1"/>
  <c r="U596" i="10" s="1"/>
  <c r="U597" i="10" s="1"/>
  <c r="U598" i="10" s="1"/>
  <c r="U599" i="10" s="1"/>
  <c r="U600" i="10" s="1"/>
  <c r="U601" i="10" s="1"/>
  <c r="U602" i="10" s="1"/>
  <c r="U603" i="10" s="1"/>
  <c r="U604" i="10" s="1"/>
  <c r="AC49" i="10" s="1"/>
  <c r="AC48" i="10"/>
  <c r="T17" i="10" l="1"/>
  <c r="C18" i="10"/>
  <c r="L11" i="9"/>
  <c r="I11" i="9"/>
  <c r="T17" i="5"/>
  <c r="C18" i="5"/>
  <c r="T22" i="9"/>
  <c r="C23" i="9"/>
  <c r="L11" i="10"/>
  <c r="Q9" i="10"/>
  <c r="H10" i="10" s="1"/>
  <c r="I10" i="10" s="1"/>
  <c r="N10" i="5"/>
  <c r="O10" i="5"/>
  <c r="P10" i="5" s="1"/>
  <c r="H11" i="5"/>
  <c r="Q11" i="5" s="1"/>
  <c r="H12" i="9"/>
  <c r="I12" i="9" s="1"/>
  <c r="N11" i="9"/>
  <c r="O11" i="9"/>
  <c r="P11" i="9" s="1"/>
  <c r="K12" i="5"/>
  <c r="M12" i="5" s="1"/>
  <c r="S12" i="5"/>
  <c r="G12" i="5" s="1"/>
  <c r="J12" i="5" s="1"/>
  <c r="R13" i="5"/>
  <c r="K12" i="10"/>
  <c r="M12" i="10" s="1"/>
  <c r="S12" i="10"/>
  <c r="G12" i="10" s="1"/>
  <c r="J12" i="10" s="1"/>
  <c r="R13" i="10"/>
  <c r="G12" i="9"/>
  <c r="J12" i="9" s="1"/>
  <c r="F13" i="9"/>
  <c r="K12" i="9"/>
  <c r="M12" i="9" s="1"/>
  <c r="S12" i="9"/>
  <c r="R13" i="9"/>
  <c r="F13" i="10"/>
  <c r="O9" i="10"/>
  <c r="P9" i="10" s="1"/>
  <c r="N9" i="10"/>
  <c r="F13" i="5"/>
  <c r="I11" i="5"/>
  <c r="L11" i="5"/>
  <c r="T18" i="5" l="1"/>
  <c r="C19" i="5"/>
  <c r="C24" i="9"/>
  <c r="T23" i="9"/>
  <c r="C19" i="10"/>
  <c r="T18" i="10"/>
  <c r="L12" i="10"/>
  <c r="O11" i="5"/>
  <c r="P11" i="5" s="1"/>
  <c r="N11" i="5"/>
  <c r="H12" i="5"/>
  <c r="Q12" i="5" s="1"/>
  <c r="F14" i="10"/>
  <c r="K13" i="9"/>
  <c r="M13" i="9" s="1"/>
  <c r="S13" i="9"/>
  <c r="G13" i="9" s="1"/>
  <c r="J13" i="9" s="1"/>
  <c r="R14" i="9"/>
  <c r="K13" i="5"/>
  <c r="M13" i="5" s="1"/>
  <c r="S13" i="5"/>
  <c r="G13" i="5" s="1"/>
  <c r="J13" i="5" s="1"/>
  <c r="R14" i="5"/>
  <c r="Q12" i="9"/>
  <c r="F14" i="9"/>
  <c r="R14" i="10"/>
  <c r="K13" i="10"/>
  <c r="M13" i="10" s="1"/>
  <c r="S13" i="10"/>
  <c r="G13" i="10" s="1"/>
  <c r="J13" i="10" s="1"/>
  <c r="F14" i="5"/>
  <c r="L12" i="5"/>
  <c r="Q10" i="10"/>
  <c r="L12" i="9"/>
  <c r="T19" i="5" l="1"/>
  <c r="C20" i="5"/>
  <c r="C20" i="10"/>
  <c r="T19" i="10"/>
  <c r="T24" i="9"/>
  <c r="C25" i="9"/>
  <c r="I12" i="5"/>
  <c r="H13" i="5"/>
  <c r="Q13" i="5" s="1"/>
  <c r="N12" i="5"/>
  <c r="O12" i="5"/>
  <c r="P12" i="5" s="1"/>
  <c r="F15" i="5"/>
  <c r="S14" i="10"/>
  <c r="G14" i="10" s="1"/>
  <c r="J14" i="10" s="1"/>
  <c r="R15" i="10"/>
  <c r="K14" i="10"/>
  <c r="M14" i="10" s="1"/>
  <c r="O12" i="9"/>
  <c r="P12" i="9" s="1"/>
  <c r="N12" i="9"/>
  <c r="H13" i="9"/>
  <c r="I13" i="9" s="1"/>
  <c r="H11" i="10"/>
  <c r="I11" i="10" s="1"/>
  <c r="N10" i="10"/>
  <c r="O10" i="10"/>
  <c r="P10" i="10" s="1"/>
  <c r="F15" i="9"/>
  <c r="R15" i="5"/>
  <c r="S14" i="5"/>
  <c r="G14" i="5" s="1"/>
  <c r="J14" i="5" s="1"/>
  <c r="K14" i="5"/>
  <c r="M14" i="5" s="1"/>
  <c r="R15" i="9"/>
  <c r="S14" i="9"/>
  <c r="G14" i="9" s="1"/>
  <c r="J14" i="9" s="1"/>
  <c r="K14" i="9"/>
  <c r="M14" i="9" s="1"/>
  <c r="F15" i="10"/>
  <c r="L13" i="5"/>
  <c r="L13" i="9"/>
  <c r="L13" i="10"/>
  <c r="I13" i="5" l="1"/>
  <c r="L14" i="5"/>
  <c r="C26" i="9"/>
  <c r="T25" i="9"/>
  <c r="C21" i="10"/>
  <c r="T20" i="10"/>
  <c r="C21" i="5"/>
  <c r="T20" i="5"/>
  <c r="Q11" i="10"/>
  <c r="O11" i="10" s="1"/>
  <c r="P11" i="10" s="1"/>
  <c r="H14" i="5"/>
  <c r="N13" i="5"/>
  <c r="O13" i="5"/>
  <c r="P13" i="5" s="1"/>
  <c r="Q14" i="5"/>
  <c r="F16" i="10"/>
  <c r="F16" i="9"/>
  <c r="F16" i="5"/>
  <c r="L14" i="9"/>
  <c r="R16" i="9"/>
  <c r="S15" i="9"/>
  <c r="G15" i="9" s="1"/>
  <c r="J15" i="9" s="1"/>
  <c r="K15" i="9"/>
  <c r="M15" i="9" s="1"/>
  <c r="L14" i="10"/>
  <c r="Q13" i="9"/>
  <c r="R16" i="5"/>
  <c r="S15" i="5"/>
  <c r="G15" i="5" s="1"/>
  <c r="J15" i="5" s="1"/>
  <c r="K15" i="5"/>
  <c r="M15" i="5" s="1"/>
  <c r="R16" i="10"/>
  <c r="S15" i="10"/>
  <c r="G15" i="10" s="1"/>
  <c r="J15" i="10" s="1"/>
  <c r="K15" i="10"/>
  <c r="M15" i="10" s="1"/>
  <c r="L15" i="5"/>
  <c r="I14" i="5"/>
  <c r="T21" i="5" l="1"/>
  <c r="C22" i="5"/>
  <c r="T21" i="10"/>
  <c r="C22" i="10"/>
  <c r="T26" i="9"/>
  <c r="C27" i="9"/>
  <c r="H12" i="10"/>
  <c r="I12" i="10" s="1"/>
  <c r="N11" i="10"/>
  <c r="R17" i="5"/>
  <c r="S16" i="5"/>
  <c r="V5" i="5" s="1"/>
  <c r="K16" i="5"/>
  <c r="M16" i="5" s="1"/>
  <c r="F17" i="9"/>
  <c r="O14" i="5"/>
  <c r="P14" i="5" s="1"/>
  <c r="N14" i="5"/>
  <c r="H15" i="5"/>
  <c r="I15" i="5" s="1"/>
  <c r="K16" i="9"/>
  <c r="M16" i="9" s="1"/>
  <c r="R17" i="9"/>
  <c r="S16" i="9"/>
  <c r="V5" i="9" s="1"/>
  <c r="G16" i="5"/>
  <c r="J16" i="5" s="1"/>
  <c r="F17" i="5"/>
  <c r="F17" i="10"/>
  <c r="L16" i="5"/>
  <c r="L15" i="10"/>
  <c r="L16" i="10" s="1"/>
  <c r="K16" i="10"/>
  <c r="M16" i="10" s="1"/>
  <c r="S16" i="10"/>
  <c r="V5" i="10" s="1"/>
  <c r="R17" i="10"/>
  <c r="H14" i="9"/>
  <c r="I14" i="9" s="1"/>
  <c r="N13" i="9"/>
  <c r="Q14" i="9"/>
  <c r="O13" i="9"/>
  <c r="P13" i="9" s="1"/>
  <c r="L15" i="9"/>
  <c r="C23" i="10" l="1"/>
  <c r="T22" i="10"/>
  <c r="C23" i="5"/>
  <c r="T22" i="5"/>
  <c r="C28" i="9"/>
  <c r="T27" i="9"/>
  <c r="Q12" i="10"/>
  <c r="O14" i="9"/>
  <c r="P14" i="9" s="1"/>
  <c r="N14" i="9"/>
  <c r="H15" i="9"/>
  <c r="I15" i="9" s="1"/>
  <c r="F18" i="9"/>
  <c r="S17" i="5"/>
  <c r="G17" i="5" s="1"/>
  <c r="J17" i="5" s="1"/>
  <c r="R18" i="5"/>
  <c r="K17" i="5"/>
  <c r="M17" i="5" s="1"/>
  <c r="R18" i="10"/>
  <c r="K17" i="10"/>
  <c r="M17" i="10" s="1"/>
  <c r="S17" i="10"/>
  <c r="G17" i="10" s="1"/>
  <c r="J17" i="10" s="1"/>
  <c r="F18" i="5"/>
  <c r="F18" i="10"/>
  <c r="R18" i="9"/>
  <c r="S17" i="9"/>
  <c r="G17" i="9" s="1"/>
  <c r="J17" i="9" s="1"/>
  <c r="K17" i="9"/>
  <c r="M17" i="9" s="1"/>
  <c r="L16" i="9"/>
  <c r="Q15" i="5"/>
  <c r="G16" i="10"/>
  <c r="J16" i="10" s="1"/>
  <c r="G16" i="9"/>
  <c r="J16" i="9" s="1"/>
  <c r="L17" i="5" l="1"/>
  <c r="T23" i="5"/>
  <c r="C24" i="5"/>
  <c r="C29" i="9"/>
  <c r="T28" i="9"/>
  <c r="L17" i="9"/>
  <c r="L18" i="9" s="1"/>
  <c r="C24" i="10"/>
  <c r="T23" i="10"/>
  <c r="L17" i="10"/>
  <c r="N12" i="10"/>
  <c r="O12" i="10"/>
  <c r="P12" i="10" s="1"/>
  <c r="H13" i="10"/>
  <c r="I13" i="10" s="1"/>
  <c r="S18" i="5"/>
  <c r="K18" i="5"/>
  <c r="M18" i="5" s="1"/>
  <c r="R19" i="5"/>
  <c r="O15" i="5"/>
  <c r="P15" i="5" s="1"/>
  <c r="N15" i="5"/>
  <c r="H16" i="5"/>
  <c r="I16" i="5" s="1"/>
  <c r="R19" i="9"/>
  <c r="K18" i="9"/>
  <c r="M18" i="9" s="1"/>
  <c r="S18" i="9"/>
  <c r="G18" i="9" s="1"/>
  <c r="J18" i="9" s="1"/>
  <c r="F19" i="5"/>
  <c r="G18" i="5"/>
  <c r="J18" i="5" s="1"/>
  <c r="F19" i="9"/>
  <c r="S18" i="10"/>
  <c r="G18" i="10" s="1"/>
  <c r="J18" i="10" s="1"/>
  <c r="R19" i="10"/>
  <c r="K18" i="10"/>
  <c r="M18" i="10" s="1"/>
  <c r="F19" i="10"/>
  <c r="Q15" i="9"/>
  <c r="C25" i="10" l="1"/>
  <c r="T24" i="10"/>
  <c r="C30" i="9"/>
  <c r="T29" i="9"/>
  <c r="L18" i="5"/>
  <c r="C25" i="5"/>
  <c r="T24" i="5"/>
  <c r="Q13" i="10"/>
  <c r="O13" i="10" s="1"/>
  <c r="P13" i="10" s="1"/>
  <c r="O15" i="9"/>
  <c r="P15" i="9" s="1"/>
  <c r="H16" i="9"/>
  <c r="I16" i="9" s="1"/>
  <c r="N15" i="9"/>
  <c r="K19" i="10"/>
  <c r="M19" i="10" s="1"/>
  <c r="R20" i="10"/>
  <c r="S19" i="10"/>
  <c r="G19" i="10" s="1"/>
  <c r="J19" i="10" s="1"/>
  <c r="S19" i="9"/>
  <c r="G19" i="9" s="1"/>
  <c r="J19" i="9" s="1"/>
  <c r="K19" i="9"/>
  <c r="M19" i="9" s="1"/>
  <c r="R20" i="9"/>
  <c r="L18" i="10"/>
  <c r="F20" i="10"/>
  <c r="F20" i="9"/>
  <c r="Q16" i="5"/>
  <c r="F20" i="5"/>
  <c r="R20" i="5"/>
  <c r="K19" i="5"/>
  <c r="M19" i="5" s="1"/>
  <c r="S19" i="5"/>
  <c r="G19" i="5" s="1"/>
  <c r="J19" i="5" s="1"/>
  <c r="L19" i="5" l="1"/>
  <c r="T25" i="5"/>
  <c r="C26" i="5"/>
  <c r="L19" i="9"/>
  <c r="T30" i="9"/>
  <c r="C31" i="9"/>
  <c r="T25" i="10"/>
  <c r="C26" i="10"/>
  <c r="N13" i="10"/>
  <c r="H14" i="10"/>
  <c r="I14" i="10" s="1"/>
  <c r="L19" i="10"/>
  <c r="O16" i="5"/>
  <c r="P16" i="5" s="1"/>
  <c r="H17" i="5"/>
  <c r="I17" i="5" s="1"/>
  <c r="N16" i="5"/>
  <c r="F21" i="10"/>
  <c r="F21" i="5"/>
  <c r="F21" i="9"/>
  <c r="Q16" i="9"/>
  <c r="K20" i="10"/>
  <c r="M20" i="10" s="1"/>
  <c r="S20" i="10"/>
  <c r="G20" i="10" s="1"/>
  <c r="J20" i="10" s="1"/>
  <c r="R21" i="10"/>
  <c r="L20" i="5"/>
  <c r="L20" i="9"/>
  <c r="S20" i="5"/>
  <c r="G20" i="5" s="1"/>
  <c r="J20" i="5" s="1"/>
  <c r="K20" i="5"/>
  <c r="M20" i="5" s="1"/>
  <c r="R21" i="5"/>
  <c r="R21" i="9"/>
  <c r="K20" i="9"/>
  <c r="M20" i="9" s="1"/>
  <c r="S20" i="9"/>
  <c r="G20" i="9" s="1"/>
  <c r="J20" i="9" s="1"/>
  <c r="C27" i="10" l="1"/>
  <c r="T26" i="10"/>
  <c r="C32" i="9"/>
  <c r="T31" i="9"/>
  <c r="Q17" i="5"/>
  <c r="C27" i="5"/>
  <c r="T26" i="5"/>
  <c r="Q14" i="10"/>
  <c r="N14" i="10" s="1"/>
  <c r="O16" i="9"/>
  <c r="P16" i="9" s="1"/>
  <c r="H17" i="9"/>
  <c r="I17" i="9" s="1"/>
  <c r="N16" i="9"/>
  <c r="F22" i="9"/>
  <c r="F22" i="10"/>
  <c r="O17" i="5"/>
  <c r="P17" i="5" s="1"/>
  <c r="H18" i="5"/>
  <c r="Q18" i="5" s="1"/>
  <c r="N17" i="5"/>
  <c r="K21" i="5"/>
  <c r="M21" i="5" s="1"/>
  <c r="R22" i="5"/>
  <c r="S21" i="5"/>
  <c r="G21" i="5" s="1"/>
  <c r="J21" i="5" s="1"/>
  <c r="R22" i="9"/>
  <c r="S21" i="9"/>
  <c r="G21" i="9" s="1"/>
  <c r="J21" i="9" s="1"/>
  <c r="K21" i="9"/>
  <c r="M21" i="9" s="1"/>
  <c r="R22" i="10"/>
  <c r="S21" i="10"/>
  <c r="G21" i="10" s="1"/>
  <c r="J21" i="10" s="1"/>
  <c r="K21" i="10"/>
  <c r="M21" i="10" s="1"/>
  <c r="F22" i="5"/>
  <c r="L20" i="10"/>
  <c r="T27" i="5" l="1"/>
  <c r="C28" i="5"/>
  <c r="T32" i="9"/>
  <c r="C33" i="9"/>
  <c r="T27" i="10"/>
  <c r="C28" i="10"/>
  <c r="O14" i="10"/>
  <c r="P14" i="10" s="1"/>
  <c r="H15" i="10"/>
  <c r="I15" i="10" s="1"/>
  <c r="L21" i="10"/>
  <c r="N18" i="5"/>
  <c r="H19" i="5"/>
  <c r="Q19" i="5" s="1"/>
  <c r="O18" i="5"/>
  <c r="P18" i="5" s="1"/>
  <c r="R23" i="10"/>
  <c r="S22" i="10"/>
  <c r="G22" i="10" s="1"/>
  <c r="J22" i="10" s="1"/>
  <c r="K22" i="10"/>
  <c r="M22" i="10" s="1"/>
  <c r="F23" i="10"/>
  <c r="K22" i="9"/>
  <c r="M22" i="9" s="1"/>
  <c r="R23" i="9"/>
  <c r="S22" i="9"/>
  <c r="G22" i="9" s="1"/>
  <c r="J22" i="9" s="1"/>
  <c r="F23" i="5"/>
  <c r="R23" i="5"/>
  <c r="K22" i="5"/>
  <c r="M22" i="5" s="1"/>
  <c r="S22" i="5"/>
  <c r="G22" i="5" s="1"/>
  <c r="J22" i="5" s="1"/>
  <c r="F23" i="9"/>
  <c r="I18" i="5"/>
  <c r="L21" i="5"/>
  <c r="L21" i="9"/>
  <c r="L22" i="9" s="1"/>
  <c r="Q17" i="9"/>
  <c r="I19" i="5" l="1"/>
  <c r="C29" i="10"/>
  <c r="T28" i="10"/>
  <c r="L22" i="5"/>
  <c r="C34" i="9"/>
  <c r="T33" i="9"/>
  <c r="C29" i="5"/>
  <c r="T28" i="5"/>
  <c r="Q15" i="10"/>
  <c r="L22" i="10"/>
  <c r="K23" i="10"/>
  <c r="M23" i="10" s="1"/>
  <c r="R24" i="10"/>
  <c r="S23" i="10"/>
  <c r="G23" i="10" s="1"/>
  <c r="J23" i="10" s="1"/>
  <c r="H18" i="9"/>
  <c r="I18" i="9" s="1"/>
  <c r="N17" i="9"/>
  <c r="O17" i="9"/>
  <c r="P17" i="9" s="1"/>
  <c r="F24" i="9"/>
  <c r="K23" i="9"/>
  <c r="M23" i="9" s="1"/>
  <c r="R24" i="9"/>
  <c r="S23" i="9"/>
  <c r="G23" i="9" s="1"/>
  <c r="J23" i="9" s="1"/>
  <c r="S23" i="5"/>
  <c r="G23" i="5" s="1"/>
  <c r="J23" i="5" s="1"/>
  <c r="R24" i="5"/>
  <c r="K23" i="5"/>
  <c r="M23" i="5" s="1"/>
  <c r="F24" i="5"/>
  <c r="F24" i="10"/>
  <c r="O19" i="5"/>
  <c r="P19" i="5" s="1"/>
  <c r="H20" i="5"/>
  <c r="I20" i="5" s="1"/>
  <c r="N19" i="5"/>
  <c r="Q18" i="9" l="1"/>
  <c r="Q20" i="5"/>
  <c r="T29" i="5"/>
  <c r="C30" i="5"/>
  <c r="T34" i="9"/>
  <c r="C35" i="9"/>
  <c r="T29" i="10"/>
  <c r="C30" i="10"/>
  <c r="O15" i="10"/>
  <c r="P15" i="10" s="1"/>
  <c r="N15" i="10"/>
  <c r="H16" i="10"/>
  <c r="I16" i="10" s="1"/>
  <c r="L23" i="10"/>
  <c r="F25" i="10"/>
  <c r="S24" i="5"/>
  <c r="K24" i="5"/>
  <c r="M24" i="5" s="1"/>
  <c r="R25" i="5"/>
  <c r="F25" i="9"/>
  <c r="S24" i="10"/>
  <c r="G24" i="10" s="1"/>
  <c r="J24" i="10" s="1"/>
  <c r="R25" i="10"/>
  <c r="K24" i="10"/>
  <c r="M24" i="10" s="1"/>
  <c r="N20" i="5"/>
  <c r="H21" i="5"/>
  <c r="Q21" i="5" s="1"/>
  <c r="O20" i="5"/>
  <c r="P20" i="5" s="1"/>
  <c r="R25" i="9"/>
  <c r="K24" i="9"/>
  <c r="M24" i="9" s="1"/>
  <c r="S24" i="9"/>
  <c r="G24" i="9" s="1"/>
  <c r="J24" i="9" s="1"/>
  <c r="O18" i="9"/>
  <c r="P18" i="9" s="1"/>
  <c r="H19" i="9"/>
  <c r="Q19" i="9" s="1"/>
  <c r="N18" i="9"/>
  <c r="F25" i="5"/>
  <c r="G24" i="5"/>
  <c r="J24" i="5" s="1"/>
  <c r="L23" i="5"/>
  <c r="L23" i="9"/>
  <c r="L24" i="5" l="1"/>
  <c r="C31" i="10"/>
  <c r="T30" i="10"/>
  <c r="C36" i="9"/>
  <c r="T35" i="9"/>
  <c r="C31" i="5"/>
  <c r="T30" i="5"/>
  <c r="I19" i="9"/>
  <c r="L24" i="9"/>
  <c r="Q16" i="10"/>
  <c r="H17" i="10" s="1"/>
  <c r="L24" i="10"/>
  <c r="N21" i="5"/>
  <c r="H22" i="5"/>
  <c r="O21" i="5"/>
  <c r="P21" i="5" s="1"/>
  <c r="Q22" i="5"/>
  <c r="I21" i="5"/>
  <c r="I22" i="5" s="1"/>
  <c r="R26" i="10"/>
  <c r="S25" i="10"/>
  <c r="G25" i="10" s="1"/>
  <c r="J25" i="10" s="1"/>
  <c r="K25" i="10"/>
  <c r="M25" i="10" s="1"/>
  <c r="K25" i="5"/>
  <c r="M25" i="5" s="1"/>
  <c r="R26" i="5"/>
  <c r="S25" i="5"/>
  <c r="G25" i="5" s="1"/>
  <c r="J25" i="5" s="1"/>
  <c r="F26" i="10"/>
  <c r="F26" i="9"/>
  <c r="F26" i="5"/>
  <c r="H20" i="9"/>
  <c r="N19" i="9"/>
  <c r="O19" i="9"/>
  <c r="P19" i="9" s="1"/>
  <c r="R26" i="9"/>
  <c r="S25" i="9"/>
  <c r="G25" i="9" s="1"/>
  <c r="J25" i="9" s="1"/>
  <c r="K25" i="9"/>
  <c r="M25" i="9" s="1"/>
  <c r="T31" i="5" l="1"/>
  <c r="C32" i="5"/>
  <c r="T36" i="9"/>
  <c r="C37" i="9"/>
  <c r="I20" i="9"/>
  <c r="T31" i="10"/>
  <c r="C32" i="10"/>
  <c r="O16" i="10"/>
  <c r="P16" i="10" s="1"/>
  <c r="N16" i="10"/>
  <c r="Q17" i="10"/>
  <c r="I17" i="10"/>
  <c r="L25" i="10"/>
  <c r="F27" i="10"/>
  <c r="O22" i="5"/>
  <c r="P22" i="5" s="1"/>
  <c r="H23" i="5"/>
  <c r="I23" i="5" s="1"/>
  <c r="N22" i="5"/>
  <c r="L25" i="5"/>
  <c r="F27" i="5"/>
  <c r="F27" i="9"/>
  <c r="R27" i="5"/>
  <c r="K26" i="5"/>
  <c r="M26" i="5" s="1"/>
  <c r="S26" i="5"/>
  <c r="G26" i="5" s="1"/>
  <c r="J26" i="5" s="1"/>
  <c r="R27" i="10"/>
  <c r="K26" i="10"/>
  <c r="M26" i="10" s="1"/>
  <c r="S26" i="10"/>
  <c r="G26" i="10" s="1"/>
  <c r="J26" i="10" s="1"/>
  <c r="Q20" i="9"/>
  <c r="L25" i="9"/>
  <c r="K26" i="9"/>
  <c r="M26" i="9" s="1"/>
  <c r="R27" i="9"/>
  <c r="S26" i="9"/>
  <c r="G26" i="9" s="1"/>
  <c r="J26" i="9" s="1"/>
  <c r="Q23" i="5" l="1"/>
  <c r="L26" i="5"/>
  <c r="C33" i="5"/>
  <c r="T32" i="5"/>
  <c r="C33" i="10"/>
  <c r="T32" i="10"/>
  <c r="L26" i="9"/>
  <c r="C38" i="9"/>
  <c r="T37" i="9"/>
  <c r="O17" i="10"/>
  <c r="P17" i="10" s="1"/>
  <c r="N17" i="10"/>
  <c r="H18" i="10"/>
  <c r="Q18" i="10" s="1"/>
  <c r="K27" i="10"/>
  <c r="M27" i="10" s="1"/>
  <c r="S27" i="10"/>
  <c r="G27" i="10" s="1"/>
  <c r="J27" i="10" s="1"/>
  <c r="R28" i="10"/>
  <c r="S27" i="5"/>
  <c r="G27" i="5" s="1"/>
  <c r="J27" i="5" s="1"/>
  <c r="R28" i="5"/>
  <c r="K27" i="5"/>
  <c r="M27" i="5" s="1"/>
  <c r="F28" i="10"/>
  <c r="F28" i="5"/>
  <c r="O20" i="9"/>
  <c r="P20" i="9" s="1"/>
  <c r="H21" i="9"/>
  <c r="I21" i="9" s="1"/>
  <c r="N20" i="9"/>
  <c r="O23" i="5"/>
  <c r="P23" i="5" s="1"/>
  <c r="H24" i="5"/>
  <c r="Q24" i="5" s="1"/>
  <c r="N23" i="5"/>
  <c r="R28" i="9"/>
  <c r="S27" i="9"/>
  <c r="G27" i="9" s="1"/>
  <c r="J27" i="9" s="1"/>
  <c r="K27" i="9"/>
  <c r="M27" i="9" s="1"/>
  <c r="F28" i="9"/>
  <c r="L26" i="10"/>
  <c r="T33" i="5" l="1"/>
  <c r="C34" i="5"/>
  <c r="T33" i="10"/>
  <c r="C34" i="10"/>
  <c r="I24" i="5"/>
  <c r="T38" i="9"/>
  <c r="C39" i="9"/>
  <c r="Q21" i="9"/>
  <c r="N21" i="9" s="1"/>
  <c r="N18" i="10"/>
  <c r="H19" i="10"/>
  <c r="Q19" i="10" s="1"/>
  <c r="O18" i="10"/>
  <c r="P18" i="10" s="1"/>
  <c r="I18" i="10"/>
  <c r="N24" i="5"/>
  <c r="H25" i="5"/>
  <c r="Q25" i="5" s="1"/>
  <c r="O24" i="5"/>
  <c r="P24" i="5" s="1"/>
  <c r="R29" i="9"/>
  <c r="K28" i="9"/>
  <c r="M28" i="9" s="1"/>
  <c r="S28" i="9"/>
  <c r="V6" i="9" s="1"/>
  <c r="S28" i="5"/>
  <c r="V6" i="5" s="1"/>
  <c r="K28" i="5"/>
  <c r="M28" i="5" s="1"/>
  <c r="R29" i="5"/>
  <c r="F29" i="10"/>
  <c r="R29" i="10"/>
  <c r="K28" i="10"/>
  <c r="M28" i="10" s="1"/>
  <c r="S28" i="10"/>
  <c r="V6" i="10" s="1"/>
  <c r="L27" i="5"/>
  <c r="F29" i="9"/>
  <c r="G28" i="9"/>
  <c r="J28" i="9" s="1"/>
  <c r="F29" i="5"/>
  <c r="L27" i="10"/>
  <c r="L27" i="9"/>
  <c r="L28" i="9" s="1"/>
  <c r="H22" i="9" l="1"/>
  <c r="I22" i="9" s="1"/>
  <c r="C35" i="10"/>
  <c r="T34" i="10"/>
  <c r="O21" i="9"/>
  <c r="P21" i="9" s="1"/>
  <c r="C35" i="5"/>
  <c r="T34" i="5"/>
  <c r="C40" i="9"/>
  <c r="T39" i="9"/>
  <c r="G28" i="5"/>
  <c r="J28" i="5" s="1"/>
  <c r="N19" i="10"/>
  <c r="O19" i="10"/>
  <c r="P19" i="10" s="1"/>
  <c r="H20" i="10"/>
  <c r="Q20" i="10" s="1"/>
  <c r="I19" i="10"/>
  <c r="G28" i="10"/>
  <c r="J28" i="10" s="1"/>
  <c r="L28" i="10"/>
  <c r="N25" i="5"/>
  <c r="H26" i="5"/>
  <c r="Q26" i="5" s="1"/>
  <c r="O25" i="5"/>
  <c r="P25" i="5" s="1"/>
  <c r="K29" i="9"/>
  <c r="M29" i="9" s="1"/>
  <c r="R30" i="9"/>
  <c r="S29" i="9"/>
  <c r="G29" i="9" s="1"/>
  <c r="J29" i="9" s="1"/>
  <c r="L29" i="9"/>
  <c r="Q22" i="9"/>
  <c r="I25" i="5"/>
  <c r="I26" i="5" s="1"/>
  <c r="K29" i="10"/>
  <c r="M29" i="10" s="1"/>
  <c r="R30" i="10"/>
  <c r="S29" i="10"/>
  <c r="G29" i="10" s="1"/>
  <c r="J29" i="10" s="1"/>
  <c r="K29" i="5"/>
  <c r="M29" i="5" s="1"/>
  <c r="S29" i="5"/>
  <c r="G29" i="5" s="1"/>
  <c r="J29" i="5" s="1"/>
  <c r="R30" i="5"/>
  <c r="L28" i="5"/>
  <c r="F30" i="5"/>
  <c r="F30" i="9"/>
  <c r="F30" i="10"/>
  <c r="T35" i="5" l="1"/>
  <c r="C36" i="5"/>
  <c r="T40" i="9"/>
  <c r="C41" i="9"/>
  <c r="T35" i="10"/>
  <c r="C36" i="10"/>
  <c r="H21" i="10"/>
  <c r="Q21" i="10" s="1"/>
  <c r="O20" i="10"/>
  <c r="P20" i="10" s="1"/>
  <c r="N20" i="10"/>
  <c r="I20" i="10"/>
  <c r="L29" i="10"/>
  <c r="R31" i="5"/>
  <c r="K30" i="5"/>
  <c r="M30" i="5" s="1"/>
  <c r="S30" i="5"/>
  <c r="G30" i="5" s="1"/>
  <c r="J30" i="5" s="1"/>
  <c r="F31" i="10"/>
  <c r="O26" i="5"/>
  <c r="P26" i="5" s="1"/>
  <c r="N26" i="5"/>
  <c r="H27" i="5"/>
  <c r="Q27" i="5" s="1"/>
  <c r="F31" i="9"/>
  <c r="K30" i="10"/>
  <c r="M30" i="10" s="1"/>
  <c r="R31" i="10"/>
  <c r="S30" i="10"/>
  <c r="G30" i="10" s="1"/>
  <c r="J30" i="10" s="1"/>
  <c r="O22" i="9"/>
  <c r="P22" i="9" s="1"/>
  <c r="Q23" i="9"/>
  <c r="N22" i="9"/>
  <c r="H23" i="9"/>
  <c r="I23" i="9" s="1"/>
  <c r="L29" i="5"/>
  <c r="F31" i="5"/>
  <c r="K30" i="9"/>
  <c r="M30" i="9" s="1"/>
  <c r="S30" i="9"/>
  <c r="G30" i="9" s="1"/>
  <c r="J30" i="9" s="1"/>
  <c r="R31" i="9"/>
  <c r="L30" i="9" l="1"/>
  <c r="L30" i="5"/>
  <c r="C37" i="10"/>
  <c r="T36" i="10"/>
  <c r="C37" i="5"/>
  <c r="T36" i="5"/>
  <c r="C42" i="9"/>
  <c r="T41" i="9"/>
  <c r="I27" i="5"/>
  <c r="I21" i="10"/>
  <c r="O21" i="10"/>
  <c r="P21" i="10" s="1"/>
  <c r="H22" i="10"/>
  <c r="Q22" i="10" s="1"/>
  <c r="N21" i="10"/>
  <c r="L30" i="10"/>
  <c r="O27" i="5"/>
  <c r="P27" i="5" s="1"/>
  <c r="H28" i="5"/>
  <c r="Q28" i="5" s="1"/>
  <c r="N27" i="5"/>
  <c r="R32" i="9"/>
  <c r="K31" i="9"/>
  <c r="M31" i="9" s="1"/>
  <c r="S31" i="9"/>
  <c r="G31" i="9" s="1"/>
  <c r="J31" i="9" s="1"/>
  <c r="H24" i="9"/>
  <c r="I24" i="9" s="1"/>
  <c r="N23" i="9"/>
  <c r="O23" i="9"/>
  <c r="P23" i="9" s="1"/>
  <c r="F32" i="10"/>
  <c r="F32" i="5"/>
  <c r="R32" i="10"/>
  <c r="K31" i="10"/>
  <c r="M31" i="10" s="1"/>
  <c r="S31" i="10"/>
  <c r="G31" i="10" s="1"/>
  <c r="J31" i="10" s="1"/>
  <c r="R32" i="5"/>
  <c r="S31" i="5"/>
  <c r="G31" i="5" s="1"/>
  <c r="J31" i="5" s="1"/>
  <c r="K31" i="5"/>
  <c r="M31" i="5" s="1"/>
  <c r="F32" i="9"/>
  <c r="L31" i="9"/>
  <c r="Q24" i="9" l="1"/>
  <c r="I28" i="5"/>
  <c r="T37" i="5"/>
  <c r="C38" i="5"/>
  <c r="T42" i="9"/>
  <c r="C43" i="9"/>
  <c r="T37" i="10"/>
  <c r="C38" i="10"/>
  <c r="H23" i="10"/>
  <c r="N22" i="10"/>
  <c r="O22" i="10"/>
  <c r="P22" i="10" s="1"/>
  <c r="I22" i="10"/>
  <c r="H29" i="5"/>
  <c r="Q29" i="5" s="1"/>
  <c r="O28" i="5"/>
  <c r="P28" i="5" s="1"/>
  <c r="N28" i="5"/>
  <c r="R33" i="10"/>
  <c r="K32" i="10"/>
  <c r="M32" i="10" s="1"/>
  <c r="S32" i="10"/>
  <c r="G32" i="10" s="1"/>
  <c r="J32" i="10" s="1"/>
  <c r="F33" i="10"/>
  <c r="L31" i="5"/>
  <c r="R33" i="9"/>
  <c r="K32" i="9"/>
  <c r="M32" i="9" s="1"/>
  <c r="S32" i="9"/>
  <c r="G32" i="9" s="1"/>
  <c r="J32" i="9" s="1"/>
  <c r="F33" i="9"/>
  <c r="L31" i="10"/>
  <c r="K32" i="5"/>
  <c r="M32" i="5" s="1"/>
  <c r="S32" i="5"/>
  <c r="R33" i="5"/>
  <c r="F33" i="5"/>
  <c r="G32" i="5"/>
  <c r="J32" i="5" s="1"/>
  <c r="H25" i="9"/>
  <c r="I25" i="9" s="1"/>
  <c r="N24" i="9"/>
  <c r="O24" i="9"/>
  <c r="P24" i="9" s="1"/>
  <c r="I29" i="5" l="1"/>
  <c r="C39" i="10"/>
  <c r="T38" i="10"/>
  <c r="C44" i="9"/>
  <c r="T43" i="9"/>
  <c r="L32" i="9"/>
  <c r="Q25" i="9"/>
  <c r="O25" i="9" s="1"/>
  <c r="P25" i="9" s="1"/>
  <c r="C39" i="5"/>
  <c r="T38" i="5"/>
  <c r="L32" i="10"/>
  <c r="I23" i="10"/>
  <c r="Q23" i="10"/>
  <c r="H30" i="5"/>
  <c r="Q30" i="5" s="1"/>
  <c r="N29" i="5"/>
  <c r="O29" i="5"/>
  <c r="P29" i="5" s="1"/>
  <c r="K33" i="5"/>
  <c r="M33" i="5" s="1"/>
  <c r="R34" i="5"/>
  <c r="S33" i="5"/>
  <c r="F34" i="9"/>
  <c r="F34" i="10"/>
  <c r="I30" i="5"/>
  <c r="K33" i="9"/>
  <c r="M33" i="9" s="1"/>
  <c r="R34" i="9"/>
  <c r="S33" i="9"/>
  <c r="G33" i="9" s="1"/>
  <c r="J33" i="9" s="1"/>
  <c r="K33" i="10"/>
  <c r="M33" i="10" s="1"/>
  <c r="R34" i="10"/>
  <c r="S33" i="10"/>
  <c r="G33" i="10" s="1"/>
  <c r="J33" i="10" s="1"/>
  <c r="G33" i="5"/>
  <c r="J33" i="5" s="1"/>
  <c r="F34" i="5"/>
  <c r="H26" i="9"/>
  <c r="I26" i="9" s="1"/>
  <c r="L32" i="5"/>
  <c r="N25" i="9" l="1"/>
  <c r="T39" i="5"/>
  <c r="C40" i="5"/>
  <c r="T44" i="9"/>
  <c r="C45" i="9"/>
  <c r="Q26" i="9"/>
  <c r="H27" i="9" s="1"/>
  <c r="Q27" i="9" s="1"/>
  <c r="L33" i="5"/>
  <c r="T39" i="10"/>
  <c r="C40" i="10"/>
  <c r="L33" i="10"/>
  <c r="H24" i="10"/>
  <c r="I24" i="10" s="1"/>
  <c r="N23" i="10"/>
  <c r="O23" i="10"/>
  <c r="P23" i="10" s="1"/>
  <c r="O30" i="5"/>
  <c r="P30" i="5" s="1"/>
  <c r="N30" i="5"/>
  <c r="H31" i="5"/>
  <c r="Q31" i="5" s="1"/>
  <c r="K34" i="10"/>
  <c r="M34" i="10" s="1"/>
  <c r="R35" i="10"/>
  <c r="S34" i="10"/>
  <c r="G34" i="10" s="1"/>
  <c r="J34" i="10" s="1"/>
  <c r="O26" i="9"/>
  <c r="P26" i="9" s="1"/>
  <c r="L33" i="9"/>
  <c r="K34" i="9"/>
  <c r="M34" i="9" s="1"/>
  <c r="S34" i="9"/>
  <c r="R35" i="9"/>
  <c r="F35" i="9"/>
  <c r="G34" i="9"/>
  <c r="J34" i="9" s="1"/>
  <c r="F35" i="5"/>
  <c r="F35" i="10"/>
  <c r="K34" i="5"/>
  <c r="M34" i="5" s="1"/>
  <c r="S34" i="5"/>
  <c r="G34" i="5" s="1"/>
  <c r="J34" i="5" s="1"/>
  <c r="R35" i="5"/>
  <c r="N26" i="9" l="1"/>
  <c r="C41" i="10"/>
  <c r="T40" i="10"/>
  <c r="I31" i="5"/>
  <c r="C46" i="9"/>
  <c r="T45" i="9"/>
  <c r="L34" i="5"/>
  <c r="C41" i="5"/>
  <c r="T40" i="5"/>
  <c r="Q24" i="10"/>
  <c r="H25" i="10" s="1"/>
  <c r="H28" i="9"/>
  <c r="Q28" i="9" s="1"/>
  <c r="N27" i="9"/>
  <c r="O27" i="9"/>
  <c r="P27" i="9" s="1"/>
  <c r="R36" i="9"/>
  <c r="S35" i="9"/>
  <c r="G35" i="9" s="1"/>
  <c r="J35" i="9" s="1"/>
  <c r="K35" i="9"/>
  <c r="M35" i="9" s="1"/>
  <c r="L34" i="10"/>
  <c r="I27" i="9"/>
  <c r="F36" i="5"/>
  <c r="O31" i="5"/>
  <c r="P31" i="5" s="1"/>
  <c r="N31" i="5"/>
  <c r="H32" i="5"/>
  <c r="Q32" i="5" s="1"/>
  <c r="S35" i="5"/>
  <c r="G35" i="5" s="1"/>
  <c r="J35" i="5" s="1"/>
  <c r="K35" i="5"/>
  <c r="M35" i="5" s="1"/>
  <c r="R36" i="5"/>
  <c r="F36" i="10"/>
  <c r="F36" i="9"/>
  <c r="S35" i="10"/>
  <c r="G35" i="10" s="1"/>
  <c r="J35" i="10" s="1"/>
  <c r="R36" i="10"/>
  <c r="K35" i="10"/>
  <c r="M35" i="10" s="1"/>
  <c r="I32" i="5"/>
  <c r="L34" i="9"/>
  <c r="L35" i="5" l="1"/>
  <c r="T41" i="5"/>
  <c r="C42" i="5"/>
  <c r="T46" i="9"/>
  <c r="C47" i="9"/>
  <c r="L35" i="9"/>
  <c r="L36" i="9" s="1"/>
  <c r="I28" i="9"/>
  <c r="T41" i="10"/>
  <c r="C42" i="10"/>
  <c r="O24" i="10"/>
  <c r="P24" i="10" s="1"/>
  <c r="N24" i="10"/>
  <c r="I25" i="10"/>
  <c r="Q25" i="10"/>
  <c r="H29" i="9"/>
  <c r="Q29" i="9" s="1"/>
  <c r="N28" i="9"/>
  <c r="O28" i="9"/>
  <c r="P28" i="9" s="1"/>
  <c r="F37" i="9"/>
  <c r="H33" i="5"/>
  <c r="Q33" i="5" s="1"/>
  <c r="N32" i="5"/>
  <c r="O32" i="5"/>
  <c r="P32" i="5" s="1"/>
  <c r="K36" i="9"/>
  <c r="M36" i="9" s="1"/>
  <c r="R37" i="9"/>
  <c r="S36" i="9"/>
  <c r="G36" i="9" s="1"/>
  <c r="J36" i="9" s="1"/>
  <c r="R37" i="5"/>
  <c r="S36" i="5"/>
  <c r="G36" i="5" s="1"/>
  <c r="J36" i="5" s="1"/>
  <c r="K36" i="5"/>
  <c r="M36" i="5" s="1"/>
  <c r="F37" i="10"/>
  <c r="F37" i="5"/>
  <c r="R37" i="10"/>
  <c r="S36" i="10"/>
  <c r="G36" i="10" s="1"/>
  <c r="J36" i="10" s="1"/>
  <c r="K36" i="10"/>
  <c r="M36" i="10" s="1"/>
  <c r="L35" i="10"/>
  <c r="L36" i="5" l="1"/>
  <c r="C48" i="9"/>
  <c r="T47" i="9"/>
  <c r="C43" i="10"/>
  <c r="T42" i="10"/>
  <c r="I33" i="5"/>
  <c r="C43" i="5"/>
  <c r="T42" i="5"/>
  <c r="Q26" i="10"/>
  <c r="H26" i="10"/>
  <c r="I26" i="10" s="1"/>
  <c r="O25" i="10"/>
  <c r="P25" i="10" s="1"/>
  <c r="N25" i="10"/>
  <c r="H34" i="5"/>
  <c r="Q34" i="5" s="1"/>
  <c r="O33" i="5"/>
  <c r="P33" i="5" s="1"/>
  <c r="N33" i="5"/>
  <c r="O29" i="9"/>
  <c r="P29" i="9" s="1"/>
  <c r="Q30" i="9"/>
  <c r="H30" i="9"/>
  <c r="N29" i="9"/>
  <c r="L36" i="10"/>
  <c r="F38" i="5"/>
  <c r="R38" i="9"/>
  <c r="S37" i="9"/>
  <c r="G37" i="9" s="1"/>
  <c r="J37" i="9" s="1"/>
  <c r="K37" i="9"/>
  <c r="M37" i="9" s="1"/>
  <c r="R38" i="10"/>
  <c r="S37" i="10"/>
  <c r="G37" i="10" s="1"/>
  <c r="J37" i="10" s="1"/>
  <c r="K37" i="10"/>
  <c r="M37" i="10" s="1"/>
  <c r="F38" i="10"/>
  <c r="F38" i="9"/>
  <c r="I29" i="9"/>
  <c r="I30" i="9" s="1"/>
  <c r="I34" i="5"/>
  <c r="R38" i="5"/>
  <c r="S37" i="5"/>
  <c r="G37" i="5" s="1"/>
  <c r="J37" i="5" s="1"/>
  <c r="K37" i="5"/>
  <c r="M37" i="5" s="1"/>
  <c r="T43" i="10" l="1"/>
  <c r="C44" i="10"/>
  <c r="T43" i="5"/>
  <c r="C44" i="5"/>
  <c r="T48" i="9"/>
  <c r="C49" i="9"/>
  <c r="O26" i="10"/>
  <c r="P26" i="10" s="1"/>
  <c r="H27" i="10"/>
  <c r="I27" i="10" s="1"/>
  <c r="N26" i="10"/>
  <c r="H35" i="5"/>
  <c r="Q35" i="5"/>
  <c r="N34" i="5"/>
  <c r="O34" i="5"/>
  <c r="P34" i="5" s="1"/>
  <c r="H31" i="9"/>
  <c r="Q31" i="9" s="1"/>
  <c r="N30" i="9"/>
  <c r="O30" i="9"/>
  <c r="P30" i="9" s="1"/>
  <c r="F39" i="9"/>
  <c r="L37" i="10"/>
  <c r="R39" i="10"/>
  <c r="K38" i="10"/>
  <c r="M38" i="10" s="1"/>
  <c r="S38" i="10"/>
  <c r="G38" i="10" s="1"/>
  <c r="J38" i="10" s="1"/>
  <c r="L37" i="5"/>
  <c r="I35" i="5"/>
  <c r="F39" i="10"/>
  <c r="F39" i="5"/>
  <c r="K38" i="5"/>
  <c r="M38" i="5" s="1"/>
  <c r="S38" i="5"/>
  <c r="G38" i="5" s="1"/>
  <c r="J38" i="5" s="1"/>
  <c r="R39" i="5"/>
  <c r="K38" i="9"/>
  <c r="M38" i="9" s="1"/>
  <c r="R39" i="9"/>
  <c r="S38" i="9"/>
  <c r="G38" i="9" s="1"/>
  <c r="J38" i="9" s="1"/>
  <c r="L37" i="9"/>
  <c r="C50" i="9" l="1"/>
  <c r="T49" i="9"/>
  <c r="C45" i="5"/>
  <c r="T44" i="5"/>
  <c r="I31" i="9"/>
  <c r="C45" i="10"/>
  <c r="T44" i="10"/>
  <c r="Q27" i="10"/>
  <c r="O31" i="9"/>
  <c r="P31" i="9" s="1"/>
  <c r="H32" i="9"/>
  <c r="Q32" i="9" s="1"/>
  <c r="N31" i="9"/>
  <c r="K39" i="5"/>
  <c r="M39" i="5" s="1"/>
  <c r="S39" i="5"/>
  <c r="G39" i="5" s="1"/>
  <c r="J39" i="5" s="1"/>
  <c r="R40" i="5"/>
  <c r="F40" i="5"/>
  <c r="K39" i="10"/>
  <c r="M39" i="10" s="1"/>
  <c r="R40" i="10"/>
  <c r="S39" i="10"/>
  <c r="G39" i="10" s="1"/>
  <c r="J39" i="10" s="1"/>
  <c r="F40" i="9"/>
  <c r="L38" i="9"/>
  <c r="H36" i="5"/>
  <c r="Q36" i="5" s="1"/>
  <c r="N35" i="5"/>
  <c r="O35" i="5"/>
  <c r="P35" i="5" s="1"/>
  <c r="R40" i="9"/>
  <c r="S39" i="9"/>
  <c r="G39" i="9" s="1"/>
  <c r="J39" i="9" s="1"/>
  <c r="K39" i="9"/>
  <c r="M39" i="9" s="1"/>
  <c r="F40" i="10"/>
  <c r="I32" i="9"/>
  <c r="L38" i="5"/>
  <c r="L39" i="5" s="1"/>
  <c r="L38" i="10"/>
  <c r="T45" i="10" l="1"/>
  <c r="C46" i="10"/>
  <c r="I36" i="5"/>
  <c r="T45" i="5"/>
  <c r="C46" i="5"/>
  <c r="T50" i="9"/>
  <c r="C51" i="9"/>
  <c r="N27" i="10"/>
  <c r="O27" i="10"/>
  <c r="P27" i="10" s="1"/>
  <c r="H28" i="10"/>
  <c r="I28" i="10" s="1"/>
  <c r="F41" i="10"/>
  <c r="R41" i="9"/>
  <c r="S40" i="9"/>
  <c r="V7" i="9" s="1"/>
  <c r="K40" i="9"/>
  <c r="M40" i="9" s="1"/>
  <c r="F41" i="9"/>
  <c r="F41" i="5"/>
  <c r="L39" i="10"/>
  <c r="H33" i="9"/>
  <c r="I33" i="9" s="1"/>
  <c r="N32" i="9"/>
  <c r="O32" i="9"/>
  <c r="P32" i="9" s="1"/>
  <c r="R41" i="10"/>
  <c r="S40" i="10"/>
  <c r="V7" i="10" s="1"/>
  <c r="K40" i="10"/>
  <c r="M40" i="10" s="1"/>
  <c r="S40" i="5"/>
  <c r="V7" i="5" s="1"/>
  <c r="K40" i="5"/>
  <c r="M40" i="5" s="1"/>
  <c r="R41" i="5"/>
  <c r="L39" i="9"/>
  <c r="O36" i="5"/>
  <c r="P36" i="5" s="1"/>
  <c r="N36" i="5"/>
  <c r="H37" i="5"/>
  <c r="Q37" i="5" s="1"/>
  <c r="I37" i="5" l="1"/>
  <c r="L40" i="9"/>
  <c r="C52" i="9"/>
  <c r="T51" i="9"/>
  <c r="C47" i="5"/>
  <c r="T46" i="5"/>
  <c r="Q33" i="9"/>
  <c r="L40" i="5"/>
  <c r="C47" i="10"/>
  <c r="T46" i="10"/>
  <c r="Q28" i="10"/>
  <c r="O37" i="5"/>
  <c r="P37" i="5" s="1"/>
  <c r="N37" i="5"/>
  <c r="H38" i="5"/>
  <c r="I38" i="5" s="1"/>
  <c r="K41" i="5"/>
  <c r="M41" i="5" s="1"/>
  <c r="R42" i="5"/>
  <c r="S41" i="5"/>
  <c r="G41" i="5" s="1"/>
  <c r="J41" i="5" s="1"/>
  <c r="G40" i="5"/>
  <c r="J40" i="5" s="1"/>
  <c r="G40" i="10"/>
  <c r="J40" i="10" s="1"/>
  <c r="F42" i="10"/>
  <c r="R42" i="9"/>
  <c r="K41" i="9"/>
  <c r="M41" i="9" s="1"/>
  <c r="S41" i="9"/>
  <c r="G41" i="9" s="1"/>
  <c r="J41" i="9" s="1"/>
  <c r="L41" i="9"/>
  <c r="L40" i="10"/>
  <c r="G40" i="9"/>
  <c r="J40" i="9" s="1"/>
  <c r="F42" i="9"/>
  <c r="R42" i="10"/>
  <c r="K41" i="10"/>
  <c r="M41" i="10" s="1"/>
  <c r="S41" i="10"/>
  <c r="G41" i="10" s="1"/>
  <c r="J41" i="10" s="1"/>
  <c r="O33" i="9"/>
  <c r="P33" i="9" s="1"/>
  <c r="F42" i="5"/>
  <c r="L41" i="5"/>
  <c r="Q38" i="5" l="1"/>
  <c r="O38" i="5" s="1"/>
  <c r="P38" i="5" s="1"/>
  <c r="H34" i="9"/>
  <c r="I34" i="9" s="1"/>
  <c r="T47" i="10"/>
  <c r="C48" i="10"/>
  <c r="T47" i="5"/>
  <c r="C48" i="5"/>
  <c r="N33" i="9"/>
  <c r="T52" i="9"/>
  <c r="C53" i="9"/>
  <c r="O28" i="10"/>
  <c r="P28" i="10" s="1"/>
  <c r="H29" i="10"/>
  <c r="I29" i="10" s="1"/>
  <c r="N28" i="10"/>
  <c r="L41" i="10"/>
  <c r="H39" i="5"/>
  <c r="I39" i="5" s="1"/>
  <c r="N38" i="5"/>
  <c r="F43" i="5"/>
  <c r="F43" i="10"/>
  <c r="R43" i="10"/>
  <c r="K42" i="10"/>
  <c r="M42" i="10" s="1"/>
  <c r="S42" i="10"/>
  <c r="G42" i="10" s="1"/>
  <c r="J42" i="10" s="1"/>
  <c r="K42" i="9"/>
  <c r="M42" i="9" s="1"/>
  <c r="S42" i="9"/>
  <c r="G42" i="9" s="1"/>
  <c r="J42" i="9" s="1"/>
  <c r="R43" i="9"/>
  <c r="R43" i="5"/>
  <c r="K42" i="5"/>
  <c r="M42" i="5" s="1"/>
  <c r="S42" i="5"/>
  <c r="G42" i="5" s="1"/>
  <c r="J42" i="5" s="1"/>
  <c r="F43" i="9"/>
  <c r="C49" i="5" l="1"/>
  <c r="T48" i="5"/>
  <c r="C49" i="10"/>
  <c r="T48" i="10"/>
  <c r="C54" i="9"/>
  <c r="T53" i="9"/>
  <c r="L42" i="5"/>
  <c r="L43" i="5" s="1"/>
  <c r="Q34" i="9"/>
  <c r="Q29" i="10"/>
  <c r="L42" i="10"/>
  <c r="R44" i="10"/>
  <c r="S43" i="10"/>
  <c r="G43" i="10" s="1"/>
  <c r="J43" i="10" s="1"/>
  <c r="K43" i="10"/>
  <c r="M43" i="10" s="1"/>
  <c r="Q39" i="5"/>
  <c r="F44" i="9"/>
  <c r="R44" i="9"/>
  <c r="K43" i="9"/>
  <c r="M43" i="9" s="1"/>
  <c r="S43" i="9"/>
  <c r="G43" i="9" s="1"/>
  <c r="J43" i="9" s="1"/>
  <c r="S43" i="5"/>
  <c r="G43" i="5" s="1"/>
  <c r="J43" i="5" s="1"/>
  <c r="K43" i="5"/>
  <c r="M43" i="5" s="1"/>
  <c r="R44" i="5"/>
  <c r="F44" i="5"/>
  <c r="L42" i="9"/>
  <c r="F44" i="10"/>
  <c r="O34" i="9" l="1"/>
  <c r="P34" i="9" s="1"/>
  <c r="H35" i="9"/>
  <c r="N34" i="9"/>
  <c r="T54" i="9"/>
  <c r="C55" i="9"/>
  <c r="L43" i="9"/>
  <c r="T49" i="10"/>
  <c r="C50" i="10"/>
  <c r="T49" i="5"/>
  <c r="C50" i="5"/>
  <c r="O29" i="10"/>
  <c r="P29" i="10" s="1"/>
  <c r="H30" i="10"/>
  <c r="I30" i="10" s="1"/>
  <c r="N29" i="10"/>
  <c r="L43" i="10"/>
  <c r="R45" i="10"/>
  <c r="K44" i="10"/>
  <c r="M44" i="10" s="1"/>
  <c r="S44" i="10"/>
  <c r="G44" i="10" s="1"/>
  <c r="J44" i="10" s="1"/>
  <c r="F45" i="5"/>
  <c r="K44" i="9"/>
  <c r="M44" i="9" s="1"/>
  <c r="S44" i="9"/>
  <c r="G44" i="9" s="1"/>
  <c r="J44" i="9" s="1"/>
  <c r="R45" i="9"/>
  <c r="H40" i="5"/>
  <c r="I40" i="5" s="1"/>
  <c r="N39" i="5"/>
  <c r="O39" i="5"/>
  <c r="P39" i="5" s="1"/>
  <c r="R45" i="5"/>
  <c r="K44" i="5"/>
  <c r="M44" i="5" s="1"/>
  <c r="S44" i="5"/>
  <c r="G44" i="5" s="1"/>
  <c r="J44" i="5" s="1"/>
  <c r="F45" i="10"/>
  <c r="F45" i="9"/>
  <c r="Q40" i="5" l="1"/>
  <c r="C51" i="5"/>
  <c r="T50" i="5"/>
  <c r="Q35" i="9"/>
  <c r="I35" i="9"/>
  <c r="C51" i="10"/>
  <c r="T50" i="10"/>
  <c r="C56" i="9"/>
  <c r="T55" i="9"/>
  <c r="Q30" i="10"/>
  <c r="K45" i="10"/>
  <c r="M45" i="10" s="1"/>
  <c r="R46" i="10"/>
  <c r="S45" i="10"/>
  <c r="G45" i="10" s="1"/>
  <c r="J45" i="10" s="1"/>
  <c r="F46" i="9"/>
  <c r="N40" i="5"/>
  <c r="H41" i="5"/>
  <c r="I41" i="5" s="1"/>
  <c r="O40" i="5"/>
  <c r="P40" i="5" s="1"/>
  <c r="F46" i="10"/>
  <c r="K45" i="9"/>
  <c r="M45" i="9" s="1"/>
  <c r="S45" i="9"/>
  <c r="G45" i="9" s="1"/>
  <c r="J45" i="9" s="1"/>
  <c r="R46" i="9"/>
  <c r="F46" i="5"/>
  <c r="L44" i="9"/>
  <c r="L44" i="10"/>
  <c r="S45" i="5"/>
  <c r="G45" i="5" s="1"/>
  <c r="J45" i="5" s="1"/>
  <c r="R46" i="5"/>
  <c r="K45" i="5"/>
  <c r="M45" i="5" s="1"/>
  <c r="L44" i="5"/>
  <c r="Q41" i="5" l="1"/>
  <c r="T56" i="9"/>
  <c r="C57" i="9"/>
  <c r="L45" i="9"/>
  <c r="H36" i="9"/>
  <c r="Q36" i="9" s="1"/>
  <c r="O35" i="9"/>
  <c r="P35" i="9" s="1"/>
  <c r="N35" i="9"/>
  <c r="T51" i="10"/>
  <c r="C52" i="10"/>
  <c r="T51" i="5"/>
  <c r="C52" i="5"/>
  <c r="N30" i="10"/>
  <c r="H31" i="10"/>
  <c r="I31" i="10" s="1"/>
  <c r="O30" i="10"/>
  <c r="P30" i="10" s="1"/>
  <c r="K46" i="10"/>
  <c r="M46" i="10" s="1"/>
  <c r="S46" i="10"/>
  <c r="G46" i="10" s="1"/>
  <c r="J46" i="10" s="1"/>
  <c r="R47" i="10"/>
  <c r="F47" i="10"/>
  <c r="F47" i="5"/>
  <c r="F47" i="9"/>
  <c r="L45" i="5"/>
  <c r="S46" i="5"/>
  <c r="G46" i="5" s="1"/>
  <c r="J46" i="5" s="1"/>
  <c r="K46" i="5"/>
  <c r="M46" i="5" s="1"/>
  <c r="R47" i="5"/>
  <c r="N41" i="5"/>
  <c r="H42" i="5"/>
  <c r="Q42" i="5" s="1"/>
  <c r="O41" i="5"/>
  <c r="P41" i="5" s="1"/>
  <c r="R47" i="9"/>
  <c r="S46" i="9"/>
  <c r="G46" i="9" s="1"/>
  <c r="J46" i="9" s="1"/>
  <c r="K46" i="9"/>
  <c r="M46" i="9" s="1"/>
  <c r="L46" i="9"/>
  <c r="L45" i="10"/>
  <c r="I42" i="5" l="1"/>
  <c r="I36" i="9"/>
  <c r="C53" i="10"/>
  <c r="T52" i="10"/>
  <c r="O36" i="9"/>
  <c r="P36" i="9" s="1"/>
  <c r="N36" i="9"/>
  <c r="H37" i="9"/>
  <c r="Q37" i="9" s="1"/>
  <c r="L46" i="5"/>
  <c r="C53" i="5"/>
  <c r="T52" i="5"/>
  <c r="C58" i="9"/>
  <c r="T57" i="9"/>
  <c r="Q31" i="10"/>
  <c r="L46" i="10"/>
  <c r="O42" i="5"/>
  <c r="P42" i="5" s="1"/>
  <c r="H43" i="5"/>
  <c r="Q43" i="5" s="1"/>
  <c r="N42" i="5"/>
  <c r="K47" i="5"/>
  <c r="M47" i="5" s="1"/>
  <c r="R48" i="5"/>
  <c r="S47" i="5"/>
  <c r="G47" i="5" s="1"/>
  <c r="J47" i="5" s="1"/>
  <c r="F48" i="9"/>
  <c r="F48" i="10"/>
  <c r="R48" i="10"/>
  <c r="S47" i="10"/>
  <c r="G47" i="10" s="1"/>
  <c r="J47" i="10" s="1"/>
  <c r="K47" i="10"/>
  <c r="M47" i="10" s="1"/>
  <c r="R48" i="9"/>
  <c r="S47" i="9"/>
  <c r="G47" i="9" s="1"/>
  <c r="J47" i="9" s="1"/>
  <c r="K47" i="9"/>
  <c r="M47" i="9" s="1"/>
  <c r="F48" i="5"/>
  <c r="T53" i="5" l="1"/>
  <c r="C54" i="5"/>
  <c r="I43" i="5"/>
  <c r="O37" i="9"/>
  <c r="P37" i="9" s="1"/>
  <c r="N37" i="9"/>
  <c r="H38" i="9"/>
  <c r="Q38" i="9" s="1"/>
  <c r="T58" i="9"/>
  <c r="C59" i="9"/>
  <c r="I37" i="9"/>
  <c r="T53" i="10"/>
  <c r="C54" i="10"/>
  <c r="N31" i="10"/>
  <c r="O31" i="10"/>
  <c r="P31" i="10" s="1"/>
  <c r="H32" i="10"/>
  <c r="I32" i="10" s="1"/>
  <c r="F49" i="9"/>
  <c r="K48" i="9"/>
  <c r="M48" i="9" s="1"/>
  <c r="S48" i="9"/>
  <c r="G48" i="9" s="1"/>
  <c r="J48" i="9" s="1"/>
  <c r="R49" i="9"/>
  <c r="R49" i="5"/>
  <c r="K48" i="5"/>
  <c r="M48" i="5" s="1"/>
  <c r="S48" i="5"/>
  <c r="N43" i="5"/>
  <c r="H44" i="5"/>
  <c r="I44" i="5" s="1"/>
  <c r="O43" i="5"/>
  <c r="P43" i="5" s="1"/>
  <c r="K48" i="10"/>
  <c r="M48" i="10" s="1"/>
  <c r="R49" i="10"/>
  <c r="S48" i="10"/>
  <c r="G48" i="10" s="1"/>
  <c r="J48" i="10" s="1"/>
  <c r="L47" i="5"/>
  <c r="L48" i="5" s="1"/>
  <c r="L47" i="9"/>
  <c r="G48" i="5"/>
  <c r="J48" i="5" s="1"/>
  <c r="F49" i="5"/>
  <c r="F49" i="10"/>
  <c r="L47" i="10"/>
  <c r="Q44" i="5" l="1"/>
  <c r="O38" i="9"/>
  <c r="P38" i="9" s="1"/>
  <c r="H39" i="9"/>
  <c r="N38" i="9"/>
  <c r="C55" i="10"/>
  <c r="T54" i="10"/>
  <c r="L48" i="9"/>
  <c r="I38" i="9"/>
  <c r="C55" i="5"/>
  <c r="T54" i="5"/>
  <c r="C60" i="9"/>
  <c r="T59" i="9"/>
  <c r="Q32" i="10"/>
  <c r="L48" i="10"/>
  <c r="F50" i="5"/>
  <c r="K49" i="9"/>
  <c r="M49" i="9" s="1"/>
  <c r="R50" i="9"/>
  <c r="S49" i="9"/>
  <c r="G49" i="9" s="1"/>
  <c r="J49" i="9" s="1"/>
  <c r="F50" i="9"/>
  <c r="K49" i="10"/>
  <c r="M49" i="10" s="1"/>
  <c r="R50" i="10"/>
  <c r="S49" i="10"/>
  <c r="G49" i="10" s="1"/>
  <c r="J49" i="10" s="1"/>
  <c r="S49" i="5"/>
  <c r="G49" i="5" s="1"/>
  <c r="J49" i="5" s="1"/>
  <c r="R50" i="5"/>
  <c r="K49" i="5"/>
  <c r="M49" i="5" s="1"/>
  <c r="L49" i="5"/>
  <c r="O44" i="5"/>
  <c r="P44" i="5" s="1"/>
  <c r="H45" i="5"/>
  <c r="I45" i="5" s="1"/>
  <c r="N44" i="5"/>
  <c r="F50" i="10"/>
  <c r="T55" i="10" l="1"/>
  <c r="C56" i="10"/>
  <c r="I39" i="9"/>
  <c r="T60" i="9"/>
  <c r="C61" i="9"/>
  <c r="Q45" i="5"/>
  <c r="N45" i="5" s="1"/>
  <c r="T55" i="5"/>
  <c r="C56" i="5"/>
  <c r="Q39" i="9"/>
  <c r="L49" i="10"/>
  <c r="H33" i="10"/>
  <c r="I33" i="10" s="1"/>
  <c r="N32" i="10"/>
  <c r="O32" i="10"/>
  <c r="P32" i="10" s="1"/>
  <c r="F51" i="10"/>
  <c r="K50" i="10"/>
  <c r="M50" i="10" s="1"/>
  <c r="R51" i="10"/>
  <c r="S50" i="10"/>
  <c r="G50" i="10" s="1"/>
  <c r="J50" i="10" s="1"/>
  <c r="F51" i="5"/>
  <c r="O45" i="5"/>
  <c r="P45" i="5" s="1"/>
  <c r="H46" i="5"/>
  <c r="Q46" i="5" s="1"/>
  <c r="F51" i="9"/>
  <c r="S50" i="5"/>
  <c r="G50" i="5" s="1"/>
  <c r="J50" i="5" s="1"/>
  <c r="K50" i="5"/>
  <c r="M50" i="5" s="1"/>
  <c r="R51" i="5"/>
  <c r="R51" i="9"/>
  <c r="K50" i="9"/>
  <c r="M50" i="9" s="1"/>
  <c r="S50" i="9"/>
  <c r="G50" i="9" s="1"/>
  <c r="J50" i="9" s="1"/>
  <c r="L49" i="9"/>
  <c r="C57" i="5" l="1"/>
  <c r="T56" i="5"/>
  <c r="C57" i="10"/>
  <c r="T56" i="10"/>
  <c r="C62" i="9"/>
  <c r="T61" i="9"/>
  <c r="N39" i="9"/>
  <c r="O39" i="9"/>
  <c r="P39" i="9" s="1"/>
  <c r="H40" i="9"/>
  <c r="I40" i="9" s="1"/>
  <c r="Q33" i="10"/>
  <c r="N46" i="5"/>
  <c r="H47" i="5"/>
  <c r="Q47" i="5" s="1"/>
  <c r="O46" i="5"/>
  <c r="P46" i="5" s="1"/>
  <c r="R52" i="10"/>
  <c r="K51" i="10"/>
  <c r="M51" i="10" s="1"/>
  <c r="S51" i="10"/>
  <c r="G51" i="10" s="1"/>
  <c r="J51" i="10" s="1"/>
  <c r="K51" i="5"/>
  <c r="M51" i="5" s="1"/>
  <c r="R52" i="5"/>
  <c r="S51" i="5"/>
  <c r="G51" i="5" s="1"/>
  <c r="J51" i="5" s="1"/>
  <c r="F52" i="9"/>
  <c r="F52" i="10"/>
  <c r="I46" i="5"/>
  <c r="L50" i="10"/>
  <c r="F52" i="5"/>
  <c r="K51" i="9"/>
  <c r="M51" i="9" s="1"/>
  <c r="R52" i="9"/>
  <c r="S51" i="9"/>
  <c r="G51" i="9" s="1"/>
  <c r="J51" i="9" s="1"/>
  <c r="L50" i="9"/>
  <c r="L50" i="5"/>
  <c r="L51" i="5" s="1"/>
  <c r="Q40" i="9" l="1"/>
  <c r="T57" i="10"/>
  <c r="C58" i="10"/>
  <c r="T62" i="9"/>
  <c r="C63" i="9"/>
  <c r="H41" i="9"/>
  <c r="I41" i="9" s="1"/>
  <c r="N40" i="9"/>
  <c r="Q41" i="9"/>
  <c r="O40" i="9"/>
  <c r="P40" i="9" s="1"/>
  <c r="T57" i="5"/>
  <c r="C58" i="5"/>
  <c r="N33" i="10"/>
  <c r="O33" i="10"/>
  <c r="P33" i="10" s="1"/>
  <c r="H34" i="10"/>
  <c r="L51" i="10"/>
  <c r="N47" i="5"/>
  <c r="H48" i="5"/>
  <c r="Q48" i="5" s="1"/>
  <c r="O47" i="5"/>
  <c r="P47" i="5" s="1"/>
  <c r="F53" i="5"/>
  <c r="F53" i="9"/>
  <c r="F53" i="10"/>
  <c r="R53" i="5"/>
  <c r="K52" i="5"/>
  <c r="M52" i="5" s="1"/>
  <c r="S52" i="5"/>
  <c r="V8" i="5" s="1"/>
  <c r="K52" i="10"/>
  <c r="M52" i="10" s="1"/>
  <c r="R53" i="10"/>
  <c r="S52" i="10"/>
  <c r="V8" i="10" s="1"/>
  <c r="K52" i="9"/>
  <c r="M52" i="9" s="1"/>
  <c r="S52" i="9"/>
  <c r="V8" i="9" s="1"/>
  <c r="R53" i="9"/>
  <c r="L51" i="9"/>
  <c r="L52" i="9" s="1"/>
  <c r="I47" i="5"/>
  <c r="I48" i="5" s="1"/>
  <c r="L52" i="5" l="1"/>
  <c r="H42" i="9"/>
  <c r="I42" i="9" s="1"/>
  <c r="N41" i="9"/>
  <c r="O41" i="9"/>
  <c r="P41" i="9" s="1"/>
  <c r="Q42" i="9"/>
  <c r="C59" i="5"/>
  <c r="T58" i="5"/>
  <c r="C64" i="9"/>
  <c r="T63" i="9"/>
  <c r="C59" i="10"/>
  <c r="T58" i="10"/>
  <c r="Q34" i="10"/>
  <c r="I34" i="10"/>
  <c r="L52" i="10"/>
  <c r="O48" i="5"/>
  <c r="P48" i="5" s="1"/>
  <c r="Q49" i="5"/>
  <c r="H49" i="5"/>
  <c r="N48" i="5"/>
  <c r="R54" i="9"/>
  <c r="K53" i="9"/>
  <c r="M53" i="9" s="1"/>
  <c r="S53" i="9"/>
  <c r="G53" i="9" s="1"/>
  <c r="J53" i="9" s="1"/>
  <c r="F54" i="10"/>
  <c r="F54" i="5"/>
  <c r="R54" i="10"/>
  <c r="K53" i="10"/>
  <c r="M53" i="10" s="1"/>
  <c r="S53" i="10"/>
  <c r="G53" i="10" s="1"/>
  <c r="J53" i="10" s="1"/>
  <c r="R54" i="5"/>
  <c r="S53" i="5"/>
  <c r="G53" i="5" s="1"/>
  <c r="J53" i="5" s="1"/>
  <c r="K53" i="5"/>
  <c r="M53" i="5" s="1"/>
  <c r="F54" i="9"/>
  <c r="G52" i="5"/>
  <c r="J52" i="5" s="1"/>
  <c r="G52" i="10"/>
  <c r="J52" i="10" s="1"/>
  <c r="I49" i="5"/>
  <c r="G52" i="9"/>
  <c r="J52" i="9" s="1"/>
  <c r="L53" i="10" l="1"/>
  <c r="T64" i="9"/>
  <c r="C65" i="9"/>
  <c r="T59" i="5"/>
  <c r="C60" i="5"/>
  <c r="T59" i="10"/>
  <c r="C60" i="10"/>
  <c r="O42" i="9"/>
  <c r="P42" i="9" s="1"/>
  <c r="H43" i="9"/>
  <c r="I43" i="9" s="1"/>
  <c r="N42" i="9"/>
  <c r="N34" i="10"/>
  <c r="H35" i="10"/>
  <c r="Q35" i="10" s="1"/>
  <c r="O34" i="10"/>
  <c r="P34" i="10" s="1"/>
  <c r="R55" i="9"/>
  <c r="K54" i="9"/>
  <c r="M54" i="9" s="1"/>
  <c r="S54" i="9"/>
  <c r="G54" i="9" s="1"/>
  <c r="J54" i="9" s="1"/>
  <c r="F55" i="9"/>
  <c r="F55" i="5"/>
  <c r="O49" i="5"/>
  <c r="P49" i="5" s="1"/>
  <c r="H50" i="5"/>
  <c r="I50" i="5" s="1"/>
  <c r="N49" i="5"/>
  <c r="K54" i="5"/>
  <c r="M54" i="5" s="1"/>
  <c r="S54" i="5"/>
  <c r="G54" i="5" s="1"/>
  <c r="J54" i="5" s="1"/>
  <c r="R55" i="5"/>
  <c r="L53" i="5"/>
  <c r="L53" i="9"/>
  <c r="R55" i="10"/>
  <c r="K54" i="10"/>
  <c r="M54" i="10" s="1"/>
  <c r="S54" i="10"/>
  <c r="G54" i="10" s="1"/>
  <c r="J54" i="10" s="1"/>
  <c r="F55" i="10"/>
  <c r="L54" i="5" l="1"/>
  <c r="Q43" i="9"/>
  <c r="C61" i="10"/>
  <c r="T60" i="10"/>
  <c r="O43" i="9"/>
  <c r="P43" i="9" s="1"/>
  <c r="H44" i="9"/>
  <c r="Q44" i="9" s="1"/>
  <c r="N43" i="9"/>
  <c r="T60" i="5"/>
  <c r="C61" i="5"/>
  <c r="C66" i="9"/>
  <c r="T65" i="9"/>
  <c r="L54" i="9"/>
  <c r="L55" i="9" s="1"/>
  <c r="Q50" i="5"/>
  <c r="H51" i="5" s="1"/>
  <c r="H36" i="10"/>
  <c r="Q36" i="10" s="1"/>
  <c r="O35" i="10"/>
  <c r="P35" i="10" s="1"/>
  <c r="N35" i="10"/>
  <c r="I35" i="10"/>
  <c r="L54" i="10"/>
  <c r="K55" i="9"/>
  <c r="M55" i="9" s="1"/>
  <c r="R56" i="9"/>
  <c r="S55" i="9"/>
  <c r="K55" i="5"/>
  <c r="M55" i="5" s="1"/>
  <c r="S55" i="5"/>
  <c r="G55" i="5" s="1"/>
  <c r="J55" i="5" s="1"/>
  <c r="R56" i="5"/>
  <c r="F56" i="5"/>
  <c r="K55" i="10"/>
  <c r="M55" i="10" s="1"/>
  <c r="R56" i="10"/>
  <c r="S55" i="10"/>
  <c r="G55" i="10" s="1"/>
  <c r="J55" i="10" s="1"/>
  <c r="O50" i="5"/>
  <c r="P50" i="5" s="1"/>
  <c r="F56" i="10"/>
  <c r="F56" i="9"/>
  <c r="G55" i="9"/>
  <c r="J55" i="9" s="1"/>
  <c r="L55" i="5" l="1"/>
  <c r="I51" i="5"/>
  <c r="Q51" i="5"/>
  <c r="O44" i="9"/>
  <c r="P44" i="9" s="1"/>
  <c r="H45" i="9"/>
  <c r="Q45" i="9" s="1"/>
  <c r="N44" i="9"/>
  <c r="N50" i="5"/>
  <c r="T61" i="10"/>
  <c r="C62" i="10"/>
  <c r="T61" i="5"/>
  <c r="C62" i="5"/>
  <c r="C67" i="9"/>
  <c r="T66" i="9"/>
  <c r="I44" i="9"/>
  <c r="I45" i="9" s="1"/>
  <c r="N36" i="10"/>
  <c r="O36" i="10"/>
  <c r="P36" i="10" s="1"/>
  <c r="H37" i="10"/>
  <c r="L55" i="10"/>
  <c r="I36" i="10"/>
  <c r="F57" i="5"/>
  <c r="F57" i="10"/>
  <c r="K56" i="10"/>
  <c r="M56" i="10" s="1"/>
  <c r="R57" i="10"/>
  <c r="S56" i="10"/>
  <c r="G56" i="10" s="1"/>
  <c r="J56" i="10" s="1"/>
  <c r="R57" i="5"/>
  <c r="S56" i="5"/>
  <c r="G56" i="5" s="1"/>
  <c r="J56" i="5" s="1"/>
  <c r="K56" i="5"/>
  <c r="M56" i="5" s="1"/>
  <c r="K56" i="9"/>
  <c r="M56" i="9" s="1"/>
  <c r="R57" i="9"/>
  <c r="S56" i="9"/>
  <c r="G56" i="9" s="1"/>
  <c r="J56" i="9" s="1"/>
  <c r="N51" i="5"/>
  <c r="H52" i="5"/>
  <c r="I52" i="5" s="1"/>
  <c r="O51" i="5"/>
  <c r="P51" i="5" s="1"/>
  <c r="F57" i="9"/>
  <c r="Q52" i="5" l="1"/>
  <c r="N45" i="9"/>
  <c r="O45" i="9"/>
  <c r="P45" i="9" s="1"/>
  <c r="H46" i="9"/>
  <c r="Q46" i="9" s="1"/>
  <c r="C68" i="9"/>
  <c r="T67" i="9"/>
  <c r="I46" i="9"/>
  <c r="L56" i="9"/>
  <c r="T62" i="5"/>
  <c r="C63" i="5"/>
  <c r="L56" i="5"/>
  <c r="C63" i="10"/>
  <c r="T62" i="10"/>
  <c r="I37" i="10"/>
  <c r="Q37" i="10"/>
  <c r="L56" i="10"/>
  <c r="O52" i="5"/>
  <c r="P52" i="5" s="1"/>
  <c r="N52" i="5"/>
  <c r="H53" i="5"/>
  <c r="I53" i="5" s="1"/>
  <c r="F58" i="9"/>
  <c r="R58" i="10"/>
  <c r="K57" i="10"/>
  <c r="M57" i="10" s="1"/>
  <c r="S57" i="10"/>
  <c r="G57" i="10" s="1"/>
  <c r="J57" i="10" s="1"/>
  <c r="F58" i="5"/>
  <c r="F58" i="10"/>
  <c r="R58" i="9"/>
  <c r="K57" i="9"/>
  <c r="M57" i="9" s="1"/>
  <c r="S57" i="9"/>
  <c r="G57" i="9" s="1"/>
  <c r="J57" i="9" s="1"/>
  <c r="R58" i="5"/>
  <c r="S57" i="5"/>
  <c r="G57" i="5" s="1"/>
  <c r="J57" i="5" s="1"/>
  <c r="K57" i="5"/>
  <c r="M57" i="5" s="1"/>
  <c r="C69" i="9" l="1"/>
  <c r="T68" i="9"/>
  <c r="O46" i="9"/>
  <c r="P46" i="9" s="1"/>
  <c r="N46" i="9"/>
  <c r="H47" i="9"/>
  <c r="Q47" i="9" s="1"/>
  <c r="T63" i="10"/>
  <c r="C64" i="10"/>
  <c r="Q53" i="5"/>
  <c r="O53" i="5" s="1"/>
  <c r="P53" i="5" s="1"/>
  <c r="T63" i="5"/>
  <c r="C64" i="5"/>
  <c r="O37" i="10"/>
  <c r="P37" i="10" s="1"/>
  <c r="H38" i="10"/>
  <c r="I38" i="10" s="1"/>
  <c r="N37" i="10"/>
  <c r="L57" i="10"/>
  <c r="F59" i="9"/>
  <c r="F59" i="5"/>
  <c r="K58" i="5"/>
  <c r="M58" i="5" s="1"/>
  <c r="S58" i="5"/>
  <c r="G58" i="5" s="1"/>
  <c r="J58" i="5" s="1"/>
  <c r="R59" i="5"/>
  <c r="F59" i="10"/>
  <c r="L57" i="5"/>
  <c r="L57" i="9"/>
  <c r="R59" i="9"/>
  <c r="K58" i="9"/>
  <c r="M58" i="9" s="1"/>
  <c r="S58" i="9"/>
  <c r="G58" i="9" s="1"/>
  <c r="J58" i="9" s="1"/>
  <c r="H54" i="5"/>
  <c r="Q54" i="5" s="1"/>
  <c r="R59" i="10"/>
  <c r="K58" i="10"/>
  <c r="M58" i="10" s="1"/>
  <c r="S58" i="10"/>
  <c r="G58" i="10" s="1"/>
  <c r="J58" i="10" s="1"/>
  <c r="N53" i="5" l="1"/>
  <c r="I54" i="5"/>
  <c r="C65" i="10"/>
  <c r="T64" i="10"/>
  <c r="O47" i="9"/>
  <c r="P47" i="9" s="1"/>
  <c r="N47" i="9"/>
  <c r="H48" i="9"/>
  <c r="Q48" i="9" s="1"/>
  <c r="T64" i="5"/>
  <c r="C65" i="5"/>
  <c r="L58" i="9"/>
  <c r="C70" i="9"/>
  <c r="T69" i="9"/>
  <c r="I47" i="9"/>
  <c r="L58" i="10"/>
  <c r="Q38" i="10"/>
  <c r="H55" i="5"/>
  <c r="Q55" i="5" s="1"/>
  <c r="N54" i="5"/>
  <c r="O54" i="5"/>
  <c r="P54" i="5" s="1"/>
  <c r="F60" i="10"/>
  <c r="K59" i="9"/>
  <c r="M59" i="9" s="1"/>
  <c r="R60" i="9"/>
  <c r="S59" i="9"/>
  <c r="G59" i="9" s="1"/>
  <c r="J59" i="9" s="1"/>
  <c r="F60" i="9"/>
  <c r="L58" i="5"/>
  <c r="K59" i="10"/>
  <c r="M59" i="10" s="1"/>
  <c r="R60" i="10"/>
  <c r="S59" i="10"/>
  <c r="G59" i="10" s="1"/>
  <c r="J59" i="10" s="1"/>
  <c r="K59" i="5"/>
  <c r="M59" i="5" s="1"/>
  <c r="S59" i="5"/>
  <c r="G59" i="5" s="1"/>
  <c r="J59" i="5" s="1"/>
  <c r="R60" i="5"/>
  <c r="F60" i="5"/>
  <c r="N48" i="9" l="1"/>
  <c r="H49" i="9"/>
  <c r="Q49" i="9" s="1"/>
  <c r="O48" i="9"/>
  <c r="P48" i="9" s="1"/>
  <c r="C71" i="9"/>
  <c r="T70" i="9"/>
  <c r="T65" i="5"/>
  <c r="C66" i="5"/>
  <c r="L59" i="9"/>
  <c r="I48" i="9"/>
  <c r="I49" i="9" s="1"/>
  <c r="T65" i="10"/>
  <c r="C66" i="10"/>
  <c r="O38" i="10"/>
  <c r="P38" i="10" s="1"/>
  <c r="H39" i="10"/>
  <c r="I39" i="10" s="1"/>
  <c r="N38" i="10"/>
  <c r="L59" i="10"/>
  <c r="H56" i="5"/>
  <c r="N55" i="5"/>
  <c r="O55" i="5"/>
  <c r="P55" i="5" s="1"/>
  <c r="Q56" i="5"/>
  <c r="F61" i="5"/>
  <c r="R61" i="9"/>
  <c r="K60" i="9"/>
  <c r="M60" i="9" s="1"/>
  <c r="S60" i="9"/>
  <c r="G60" i="9" s="1"/>
  <c r="J60" i="9" s="1"/>
  <c r="L59" i="5"/>
  <c r="F61" i="10"/>
  <c r="R61" i="5"/>
  <c r="S60" i="5"/>
  <c r="G60" i="5" s="1"/>
  <c r="J60" i="5" s="1"/>
  <c r="K60" i="5"/>
  <c r="M60" i="5" s="1"/>
  <c r="K60" i="10"/>
  <c r="M60" i="10" s="1"/>
  <c r="R61" i="10"/>
  <c r="S60" i="10"/>
  <c r="G60" i="10" s="1"/>
  <c r="J60" i="10" s="1"/>
  <c r="I55" i="5"/>
  <c r="F61" i="9"/>
  <c r="T66" i="5" l="1"/>
  <c r="C67" i="5"/>
  <c r="H50" i="9"/>
  <c r="Q50" i="9"/>
  <c r="O49" i="9"/>
  <c r="P49" i="9" s="1"/>
  <c r="N49" i="9"/>
  <c r="I50" i="9"/>
  <c r="C72" i="9"/>
  <c r="T71" i="9"/>
  <c r="C67" i="10"/>
  <c r="T66" i="10"/>
  <c r="Q39" i="10"/>
  <c r="L60" i="10"/>
  <c r="F62" i="5"/>
  <c r="I56" i="5"/>
  <c r="L60" i="9"/>
  <c r="O56" i="5"/>
  <c r="P56" i="5" s="1"/>
  <c r="N56" i="5"/>
  <c r="H57" i="5"/>
  <c r="Q57" i="5" s="1"/>
  <c r="F62" i="10"/>
  <c r="F62" i="9"/>
  <c r="K61" i="10"/>
  <c r="M61" i="10" s="1"/>
  <c r="S61" i="10"/>
  <c r="G61" i="10" s="1"/>
  <c r="J61" i="10" s="1"/>
  <c r="R62" i="10"/>
  <c r="R62" i="5"/>
  <c r="S61" i="5"/>
  <c r="G61" i="5" s="1"/>
  <c r="J61" i="5" s="1"/>
  <c r="K61" i="5"/>
  <c r="M61" i="5" s="1"/>
  <c r="K61" i="9"/>
  <c r="M61" i="9" s="1"/>
  <c r="S61" i="9"/>
  <c r="G61" i="9" s="1"/>
  <c r="J61" i="9" s="1"/>
  <c r="R62" i="9"/>
  <c r="L60" i="5"/>
  <c r="C73" i="9" l="1"/>
  <c r="T72" i="9"/>
  <c r="I51" i="9"/>
  <c r="L61" i="5"/>
  <c r="T67" i="5"/>
  <c r="C68" i="5"/>
  <c r="N50" i="9"/>
  <c r="O50" i="9"/>
  <c r="P50" i="9" s="1"/>
  <c r="H51" i="9"/>
  <c r="Q51" i="9" s="1"/>
  <c r="I57" i="5"/>
  <c r="T67" i="10"/>
  <c r="C68" i="10"/>
  <c r="O39" i="10"/>
  <c r="P39" i="10" s="1"/>
  <c r="N39" i="10"/>
  <c r="H40" i="10"/>
  <c r="I40" i="10" s="1"/>
  <c r="K62" i="10"/>
  <c r="M62" i="10" s="1"/>
  <c r="R63" i="10"/>
  <c r="S62" i="10"/>
  <c r="G62" i="10" s="1"/>
  <c r="J62" i="10" s="1"/>
  <c r="F63" i="9"/>
  <c r="F63" i="5"/>
  <c r="K62" i="5"/>
  <c r="M62" i="5" s="1"/>
  <c r="S62" i="5"/>
  <c r="G62" i="5" s="1"/>
  <c r="J62" i="5" s="1"/>
  <c r="R63" i="5"/>
  <c r="L61" i="9"/>
  <c r="R63" i="9"/>
  <c r="K62" i="9"/>
  <c r="M62" i="9" s="1"/>
  <c r="S62" i="9"/>
  <c r="G62" i="9" s="1"/>
  <c r="J62" i="9" s="1"/>
  <c r="F63" i="10"/>
  <c r="O57" i="5"/>
  <c r="P57" i="5" s="1"/>
  <c r="N57" i="5"/>
  <c r="H58" i="5"/>
  <c r="I58" i="5" s="1"/>
  <c r="L61" i="10"/>
  <c r="Q58" i="5" l="1"/>
  <c r="C69" i="10"/>
  <c r="T68" i="10"/>
  <c r="T68" i="5"/>
  <c r="C69" i="5"/>
  <c r="H52" i="9"/>
  <c r="I52" i="9" s="1"/>
  <c r="O51" i="9"/>
  <c r="P51" i="9" s="1"/>
  <c r="N51" i="9"/>
  <c r="C74" i="9"/>
  <c r="T73" i="9"/>
  <c r="Q40" i="10"/>
  <c r="L62" i="10"/>
  <c r="H59" i="5"/>
  <c r="Q59" i="5" s="1"/>
  <c r="N58" i="5"/>
  <c r="O58" i="5"/>
  <c r="P58" i="5" s="1"/>
  <c r="F64" i="9"/>
  <c r="F64" i="10"/>
  <c r="L62" i="9"/>
  <c r="R64" i="9"/>
  <c r="K63" i="9"/>
  <c r="M63" i="9" s="1"/>
  <c r="S63" i="9"/>
  <c r="G63" i="9" s="1"/>
  <c r="J63" i="9" s="1"/>
  <c r="K63" i="5"/>
  <c r="M63" i="5" s="1"/>
  <c r="S63" i="5"/>
  <c r="G63" i="5" s="1"/>
  <c r="J63" i="5" s="1"/>
  <c r="R64" i="5"/>
  <c r="F64" i="5"/>
  <c r="R64" i="10"/>
  <c r="K63" i="10"/>
  <c r="M63" i="10" s="1"/>
  <c r="S63" i="10"/>
  <c r="G63" i="10" s="1"/>
  <c r="J63" i="10" s="1"/>
  <c r="L62" i="5"/>
  <c r="I59" i="5" l="1"/>
  <c r="T69" i="5"/>
  <c r="C70" i="5"/>
  <c r="Q52" i="9"/>
  <c r="C70" i="10"/>
  <c r="T69" i="10"/>
  <c r="L63" i="5"/>
  <c r="C75" i="9"/>
  <c r="T74" i="9"/>
  <c r="O40" i="10"/>
  <c r="P40" i="10" s="1"/>
  <c r="H41" i="10"/>
  <c r="I41" i="10" s="1"/>
  <c r="N40" i="10"/>
  <c r="H60" i="5"/>
  <c r="Q60" i="5" s="1"/>
  <c r="N59" i="5"/>
  <c r="O59" i="5"/>
  <c r="P59" i="5" s="1"/>
  <c r="F65" i="9"/>
  <c r="S64" i="5"/>
  <c r="G64" i="5" s="1"/>
  <c r="K64" i="5"/>
  <c r="M64" i="5" s="1"/>
  <c r="R65" i="5"/>
  <c r="F65" i="5"/>
  <c r="F65" i="10"/>
  <c r="L63" i="10"/>
  <c r="L63" i="9"/>
  <c r="R65" i="10"/>
  <c r="K64" i="10"/>
  <c r="M64" i="10" s="1"/>
  <c r="S64" i="10"/>
  <c r="G64" i="10" s="1"/>
  <c r="K64" i="9"/>
  <c r="M64" i="9" s="1"/>
  <c r="R65" i="9"/>
  <c r="S64" i="9"/>
  <c r="C76" i="9" l="1"/>
  <c r="T75" i="9"/>
  <c r="C71" i="10"/>
  <c r="T70" i="10"/>
  <c r="N52" i="9"/>
  <c r="H53" i="9"/>
  <c r="I53" i="9" s="1"/>
  <c r="O52" i="9"/>
  <c r="P52" i="9" s="1"/>
  <c r="Q53" i="9"/>
  <c r="C71" i="5"/>
  <c r="T70" i="5"/>
  <c r="Q41" i="10"/>
  <c r="H42" i="10"/>
  <c r="Q42" i="10" s="1"/>
  <c r="N41" i="10"/>
  <c r="O41" i="10"/>
  <c r="P41" i="10" s="1"/>
  <c r="L64" i="10"/>
  <c r="AE40" i="10"/>
  <c r="J64" i="10"/>
  <c r="AF40" i="10" s="1"/>
  <c r="O60" i="5"/>
  <c r="P60" i="5" s="1"/>
  <c r="N60" i="5"/>
  <c r="H61" i="5"/>
  <c r="Q61" i="5" s="1"/>
  <c r="V9" i="9"/>
  <c r="AD40" i="9"/>
  <c r="J64" i="5"/>
  <c r="AF40" i="5" s="1"/>
  <c r="O5" i="3" s="1"/>
  <c r="AE40" i="5"/>
  <c r="M5" i="3" s="1"/>
  <c r="V9" i="5"/>
  <c r="AD40" i="5"/>
  <c r="M20" i="3" s="1"/>
  <c r="I60" i="5"/>
  <c r="F66" i="10"/>
  <c r="K65" i="5"/>
  <c r="M65" i="5" s="1"/>
  <c r="R66" i="5"/>
  <c r="S65" i="5"/>
  <c r="G65" i="5" s="1"/>
  <c r="J65" i="5" s="1"/>
  <c r="F66" i="9"/>
  <c r="G64" i="9"/>
  <c r="L64" i="9"/>
  <c r="L65" i="9" s="1"/>
  <c r="V9" i="10"/>
  <c r="AD40" i="10"/>
  <c r="K65" i="9"/>
  <c r="M65" i="9" s="1"/>
  <c r="S65" i="9"/>
  <c r="G65" i="9" s="1"/>
  <c r="J65" i="9" s="1"/>
  <c r="R66" i="9"/>
  <c r="K65" i="10"/>
  <c r="M65" i="10" s="1"/>
  <c r="S65" i="10"/>
  <c r="G65" i="10" s="1"/>
  <c r="J65" i="10" s="1"/>
  <c r="R66" i="10"/>
  <c r="F66" i="5"/>
  <c r="L64" i="5"/>
  <c r="L65" i="5" s="1"/>
  <c r="I61" i="5" l="1"/>
  <c r="O53" i="9"/>
  <c r="P53" i="9" s="1"/>
  <c r="H54" i="9"/>
  <c r="Q54" i="9" s="1"/>
  <c r="N53" i="9"/>
  <c r="I54" i="9"/>
  <c r="T71" i="10"/>
  <c r="C72" i="10"/>
  <c r="T71" i="5"/>
  <c r="C72" i="5"/>
  <c r="T76" i="9"/>
  <c r="C77" i="9"/>
  <c r="N42" i="10"/>
  <c r="O42" i="10"/>
  <c r="P42" i="10" s="1"/>
  <c r="H43" i="10"/>
  <c r="Q43" i="10" s="1"/>
  <c r="I42" i="10"/>
  <c r="O61" i="5"/>
  <c r="P61" i="5" s="1"/>
  <c r="N61" i="5"/>
  <c r="H62" i="5"/>
  <c r="Q62" i="5" s="1"/>
  <c r="F67" i="5"/>
  <c r="R67" i="9"/>
  <c r="K66" i="9"/>
  <c r="M66" i="9" s="1"/>
  <c r="S66" i="9"/>
  <c r="G66" i="9" s="1"/>
  <c r="J66" i="9" s="1"/>
  <c r="R67" i="5"/>
  <c r="K66" i="5"/>
  <c r="M66" i="5" s="1"/>
  <c r="S66" i="5"/>
  <c r="G66" i="5" s="1"/>
  <c r="J66" i="5" s="1"/>
  <c r="J64" i="9"/>
  <c r="AF40" i="9" s="1"/>
  <c r="W28" i="8" s="1"/>
  <c r="AE40" i="9"/>
  <c r="R28" i="8" s="1"/>
  <c r="F67" i="10"/>
  <c r="L65" i="10"/>
  <c r="I62" i="5"/>
  <c r="K66" i="10"/>
  <c r="M66" i="10" s="1"/>
  <c r="S66" i="10"/>
  <c r="G66" i="10" s="1"/>
  <c r="J66" i="10" s="1"/>
  <c r="R67" i="10"/>
  <c r="F67" i="9"/>
  <c r="C73" i="10" l="1"/>
  <c r="T72" i="10"/>
  <c r="T72" i="5"/>
  <c r="C73" i="5"/>
  <c r="L66" i="5"/>
  <c r="C78" i="9"/>
  <c r="T77" i="9"/>
  <c r="N54" i="9"/>
  <c r="O54" i="9"/>
  <c r="P54" i="9" s="1"/>
  <c r="H55" i="9"/>
  <c r="Q55" i="9" s="1"/>
  <c r="L66" i="9"/>
  <c r="H44" i="10"/>
  <c r="Q44" i="10" s="1"/>
  <c r="O43" i="10"/>
  <c r="P43" i="10" s="1"/>
  <c r="N43" i="10"/>
  <c r="I43" i="10"/>
  <c r="R68" i="10"/>
  <c r="K67" i="10"/>
  <c r="M67" i="10" s="1"/>
  <c r="S67" i="10"/>
  <c r="G67" i="10" s="1"/>
  <c r="J67" i="10" s="1"/>
  <c r="F68" i="10"/>
  <c r="F68" i="9"/>
  <c r="F68" i="5"/>
  <c r="H63" i="5"/>
  <c r="I63" i="5" s="1"/>
  <c r="N62" i="5"/>
  <c r="O62" i="5"/>
  <c r="P62" i="5" s="1"/>
  <c r="R68" i="9"/>
  <c r="K67" i="9"/>
  <c r="M67" i="9" s="1"/>
  <c r="S67" i="9"/>
  <c r="G67" i="9" s="1"/>
  <c r="J67" i="9" s="1"/>
  <c r="L66" i="10"/>
  <c r="S67" i="5"/>
  <c r="G67" i="5" s="1"/>
  <c r="J67" i="5" s="1"/>
  <c r="K67" i="5"/>
  <c r="M67" i="5" s="1"/>
  <c r="R68" i="5"/>
  <c r="Q63" i="5" l="1"/>
  <c r="C79" i="9"/>
  <c r="T78" i="9"/>
  <c r="T73" i="5"/>
  <c r="C74" i="5"/>
  <c r="N55" i="9"/>
  <c r="O55" i="9"/>
  <c r="P55" i="9" s="1"/>
  <c r="H56" i="9"/>
  <c r="Q56" i="9" s="1"/>
  <c r="C74" i="10"/>
  <c r="T73" i="10"/>
  <c r="I55" i="9"/>
  <c r="O44" i="10"/>
  <c r="P44" i="10" s="1"/>
  <c r="H45" i="10"/>
  <c r="Q45" i="10" s="1"/>
  <c r="N44" i="10"/>
  <c r="I44" i="10"/>
  <c r="L67" i="10"/>
  <c r="K68" i="9"/>
  <c r="M68" i="9" s="1"/>
  <c r="R69" i="9"/>
  <c r="S68" i="9"/>
  <c r="G68" i="9" s="1"/>
  <c r="J68" i="9" s="1"/>
  <c r="F69" i="9"/>
  <c r="F69" i="10"/>
  <c r="R69" i="10"/>
  <c r="K68" i="10"/>
  <c r="M68" i="10" s="1"/>
  <c r="S68" i="10"/>
  <c r="G68" i="10" s="1"/>
  <c r="J68" i="10" s="1"/>
  <c r="R69" i="5"/>
  <c r="K68" i="5"/>
  <c r="M68" i="5" s="1"/>
  <c r="S68" i="5"/>
  <c r="G68" i="5" s="1"/>
  <c r="J68" i="5" s="1"/>
  <c r="H64" i="5"/>
  <c r="I64" i="5" s="1"/>
  <c r="N63" i="5"/>
  <c r="O63" i="5"/>
  <c r="P63" i="5" s="1"/>
  <c r="F69" i="5"/>
  <c r="L67" i="9"/>
  <c r="L67" i="5"/>
  <c r="L68" i="5" l="1"/>
  <c r="C75" i="10"/>
  <c r="T74" i="10"/>
  <c r="H57" i="9"/>
  <c r="Q57" i="9" s="1"/>
  <c r="N56" i="9"/>
  <c r="O56" i="9"/>
  <c r="P56" i="9" s="1"/>
  <c r="C75" i="5"/>
  <c r="T74" i="5"/>
  <c r="Q64" i="5"/>
  <c r="O64" i="5" s="1"/>
  <c r="P64" i="5" s="1"/>
  <c r="I56" i="9"/>
  <c r="C80" i="9"/>
  <c r="T79" i="9"/>
  <c r="N45" i="10"/>
  <c r="H46" i="10"/>
  <c r="Q46" i="10" s="1"/>
  <c r="O45" i="10"/>
  <c r="P45" i="10" s="1"/>
  <c r="I45" i="10"/>
  <c r="L68" i="10"/>
  <c r="F70" i="5"/>
  <c r="S69" i="5"/>
  <c r="G69" i="5" s="1"/>
  <c r="J69" i="5" s="1"/>
  <c r="R70" i="5"/>
  <c r="K69" i="5"/>
  <c r="M69" i="5" s="1"/>
  <c r="F70" i="9"/>
  <c r="K69" i="10"/>
  <c r="M69" i="10" s="1"/>
  <c r="S69" i="10"/>
  <c r="G69" i="10" s="1"/>
  <c r="J69" i="10" s="1"/>
  <c r="R70" i="10"/>
  <c r="F70" i="10"/>
  <c r="K69" i="9"/>
  <c r="M69" i="9" s="1"/>
  <c r="R70" i="9"/>
  <c r="S69" i="9"/>
  <c r="G69" i="9" s="1"/>
  <c r="J69" i="9" s="1"/>
  <c r="L68" i="9"/>
  <c r="L69" i="9" s="1"/>
  <c r="T75" i="5" l="1"/>
  <c r="C76" i="5"/>
  <c r="N64" i="5"/>
  <c r="H65" i="5"/>
  <c r="I65" i="5" s="1"/>
  <c r="H58" i="9"/>
  <c r="Q58" i="9" s="1"/>
  <c r="N57" i="9"/>
  <c r="O57" i="9"/>
  <c r="P57" i="9" s="1"/>
  <c r="T80" i="9"/>
  <c r="C81" i="9"/>
  <c r="I57" i="9"/>
  <c r="C76" i="10"/>
  <c r="T75" i="10"/>
  <c r="L69" i="10"/>
  <c r="N46" i="10"/>
  <c r="H47" i="10"/>
  <c r="Q47" i="10" s="1"/>
  <c r="O46" i="10"/>
  <c r="P46" i="10" s="1"/>
  <c r="I46" i="10"/>
  <c r="R71" i="9"/>
  <c r="S70" i="9"/>
  <c r="G70" i="9" s="1"/>
  <c r="J70" i="9" s="1"/>
  <c r="K70" i="9"/>
  <c r="M70" i="9" s="1"/>
  <c r="K70" i="10"/>
  <c r="M70" i="10" s="1"/>
  <c r="S70" i="10"/>
  <c r="G70" i="10" s="1"/>
  <c r="J70" i="10" s="1"/>
  <c r="R71" i="10"/>
  <c r="F71" i="9"/>
  <c r="L69" i="5"/>
  <c r="S70" i="5"/>
  <c r="G70" i="5" s="1"/>
  <c r="J70" i="5" s="1"/>
  <c r="K70" i="5"/>
  <c r="M70" i="5" s="1"/>
  <c r="R71" i="5"/>
  <c r="F71" i="10"/>
  <c r="F71" i="5"/>
  <c r="N58" i="9" l="1"/>
  <c r="H59" i="9"/>
  <c r="Q59" i="9"/>
  <c r="O58" i="9"/>
  <c r="P58" i="9" s="1"/>
  <c r="C77" i="10"/>
  <c r="T76" i="10"/>
  <c r="Q65" i="5"/>
  <c r="C82" i="9"/>
  <c r="T81" i="9"/>
  <c r="T76" i="5"/>
  <c r="C77" i="5"/>
  <c r="I58" i="9"/>
  <c r="L70" i="9"/>
  <c r="N47" i="10"/>
  <c r="H48" i="10"/>
  <c r="Q48" i="10" s="1"/>
  <c r="O47" i="10"/>
  <c r="P47" i="10" s="1"/>
  <c r="I47" i="10"/>
  <c r="L70" i="10"/>
  <c r="F72" i="10"/>
  <c r="K71" i="9"/>
  <c r="M71" i="9" s="1"/>
  <c r="R72" i="9"/>
  <c r="S71" i="9"/>
  <c r="G71" i="9" s="1"/>
  <c r="J71" i="9" s="1"/>
  <c r="F72" i="5"/>
  <c r="K71" i="10"/>
  <c r="M71" i="10" s="1"/>
  <c r="R72" i="10"/>
  <c r="S71" i="10"/>
  <c r="G71" i="10" s="1"/>
  <c r="J71" i="10" s="1"/>
  <c r="L70" i="5"/>
  <c r="K71" i="5"/>
  <c r="M71" i="5" s="1"/>
  <c r="R72" i="5"/>
  <c r="S71" i="5"/>
  <c r="G71" i="5" s="1"/>
  <c r="J71" i="5" s="1"/>
  <c r="F72" i="9"/>
  <c r="C78" i="10" l="1"/>
  <c r="T77" i="10"/>
  <c r="C83" i="9"/>
  <c r="T82" i="9"/>
  <c r="T77" i="5"/>
  <c r="C78" i="5"/>
  <c r="H60" i="9"/>
  <c r="Q60" i="9" s="1"/>
  <c r="N59" i="9"/>
  <c r="O59" i="9"/>
  <c r="P59" i="9" s="1"/>
  <c r="N65" i="5"/>
  <c r="H66" i="5"/>
  <c r="O65" i="5"/>
  <c r="P65" i="5" s="1"/>
  <c r="L71" i="5"/>
  <c r="I59" i="9"/>
  <c r="I48" i="10"/>
  <c r="H49" i="10"/>
  <c r="Q49" i="10" s="1"/>
  <c r="N48" i="10"/>
  <c r="O48" i="10"/>
  <c r="P48" i="10" s="1"/>
  <c r="L71" i="10"/>
  <c r="K72" i="9"/>
  <c r="M72" i="9" s="1"/>
  <c r="R73" i="9"/>
  <c r="S72" i="9"/>
  <c r="G72" i="9" s="1"/>
  <c r="J72" i="9" s="1"/>
  <c r="R73" i="5"/>
  <c r="K72" i="5"/>
  <c r="M72" i="5" s="1"/>
  <c r="S72" i="5"/>
  <c r="G72" i="5" s="1"/>
  <c r="J72" i="5" s="1"/>
  <c r="F73" i="10"/>
  <c r="F73" i="9"/>
  <c r="K72" i="10"/>
  <c r="M72" i="10" s="1"/>
  <c r="R73" i="10"/>
  <c r="S72" i="10"/>
  <c r="G72" i="10" s="1"/>
  <c r="J72" i="10" s="1"/>
  <c r="F73" i="5"/>
  <c r="L71" i="9"/>
  <c r="L72" i="5" l="1"/>
  <c r="I60" i="9"/>
  <c r="T78" i="5"/>
  <c r="C79" i="5"/>
  <c r="Q66" i="5"/>
  <c r="I66" i="5"/>
  <c r="C84" i="9"/>
  <c r="T83" i="9"/>
  <c r="N60" i="9"/>
  <c r="O60" i="9"/>
  <c r="P60" i="9" s="1"/>
  <c r="H61" i="9"/>
  <c r="Q61" i="9" s="1"/>
  <c r="L72" i="9"/>
  <c r="C79" i="10"/>
  <c r="T78" i="10"/>
  <c r="I49" i="10"/>
  <c r="H50" i="10"/>
  <c r="O49" i="10"/>
  <c r="P49" i="10" s="1"/>
  <c r="N49" i="10"/>
  <c r="L72" i="10"/>
  <c r="K73" i="10"/>
  <c r="M73" i="10" s="1"/>
  <c r="R74" i="10"/>
  <c r="S73" i="10"/>
  <c r="G73" i="10" s="1"/>
  <c r="J73" i="10" s="1"/>
  <c r="F74" i="9"/>
  <c r="K73" i="9"/>
  <c r="M73" i="9" s="1"/>
  <c r="R74" i="9"/>
  <c r="S73" i="9"/>
  <c r="G73" i="9" s="1"/>
  <c r="J73" i="9" s="1"/>
  <c r="F74" i="5"/>
  <c r="F74" i="10"/>
  <c r="S73" i="5"/>
  <c r="G73" i="5" s="1"/>
  <c r="J73" i="5" s="1"/>
  <c r="R74" i="5"/>
  <c r="K73" i="5"/>
  <c r="M73" i="5" s="1"/>
  <c r="O66" i="5" l="1"/>
  <c r="P66" i="5" s="1"/>
  <c r="H67" i="5"/>
  <c r="Q67" i="5" s="1"/>
  <c r="N66" i="5"/>
  <c r="L73" i="9"/>
  <c r="T79" i="5"/>
  <c r="C80" i="5"/>
  <c r="I67" i="5"/>
  <c r="C80" i="10"/>
  <c r="T79" i="10"/>
  <c r="O61" i="9"/>
  <c r="P61" i="9" s="1"/>
  <c r="N61" i="9"/>
  <c r="H62" i="9"/>
  <c r="Q62" i="9" s="1"/>
  <c r="C85" i="9"/>
  <c r="T84" i="9"/>
  <c r="I61" i="9"/>
  <c r="L73" i="10"/>
  <c r="I50" i="10"/>
  <c r="Q50" i="10"/>
  <c r="F75" i="5"/>
  <c r="L73" i="5"/>
  <c r="R75" i="9"/>
  <c r="K74" i="9"/>
  <c r="M74" i="9" s="1"/>
  <c r="S74" i="9"/>
  <c r="G74" i="9" s="1"/>
  <c r="J74" i="9" s="1"/>
  <c r="F75" i="10"/>
  <c r="K74" i="10"/>
  <c r="M74" i="10" s="1"/>
  <c r="R75" i="10"/>
  <c r="S74" i="10"/>
  <c r="G74" i="10" s="1"/>
  <c r="J74" i="10" s="1"/>
  <c r="S74" i="5"/>
  <c r="G74" i="5" s="1"/>
  <c r="J74" i="5" s="1"/>
  <c r="K74" i="5"/>
  <c r="M74" i="5" s="1"/>
  <c r="R75" i="5"/>
  <c r="F75" i="9"/>
  <c r="N62" i="9" l="1"/>
  <c r="O62" i="9"/>
  <c r="P62" i="9" s="1"/>
  <c r="H63" i="9"/>
  <c r="Q63" i="9" s="1"/>
  <c r="O67" i="5"/>
  <c r="P67" i="5" s="1"/>
  <c r="H68" i="5"/>
  <c r="Q68" i="5" s="1"/>
  <c r="N67" i="5"/>
  <c r="T80" i="5"/>
  <c r="C81" i="5"/>
  <c r="C86" i="9"/>
  <c r="T85" i="9"/>
  <c r="I62" i="9"/>
  <c r="I63" i="9" s="1"/>
  <c r="C81" i="10"/>
  <c r="T80" i="10"/>
  <c r="H51" i="10"/>
  <c r="I51" i="10" s="1"/>
  <c r="N50" i="10"/>
  <c r="O50" i="10"/>
  <c r="P50" i="10" s="1"/>
  <c r="K75" i="5"/>
  <c r="M75" i="5" s="1"/>
  <c r="R76" i="5"/>
  <c r="S75" i="5"/>
  <c r="G75" i="5" s="1"/>
  <c r="J75" i="5" s="1"/>
  <c r="R76" i="10"/>
  <c r="K75" i="10"/>
  <c r="M75" i="10" s="1"/>
  <c r="S75" i="10"/>
  <c r="G75" i="10" s="1"/>
  <c r="J75" i="10" s="1"/>
  <c r="F76" i="10"/>
  <c r="F76" i="5"/>
  <c r="F76" i="9"/>
  <c r="K75" i="9"/>
  <c r="M75" i="9" s="1"/>
  <c r="R76" i="9"/>
  <c r="S75" i="9"/>
  <c r="G75" i="9" s="1"/>
  <c r="J75" i="9" s="1"/>
  <c r="L74" i="10"/>
  <c r="L74" i="5"/>
  <c r="L74" i="9"/>
  <c r="H64" i="9" l="1"/>
  <c r="Q64" i="9" s="1"/>
  <c r="N63" i="9"/>
  <c r="O63" i="9"/>
  <c r="P63" i="9" s="1"/>
  <c r="O68" i="5"/>
  <c r="P68" i="5" s="1"/>
  <c r="H69" i="5"/>
  <c r="Q69" i="5" s="1"/>
  <c r="N68" i="5"/>
  <c r="C82" i="10"/>
  <c r="T81" i="10"/>
  <c r="I64" i="9"/>
  <c r="L75" i="9"/>
  <c r="C87" i="9"/>
  <c r="T86" i="9"/>
  <c r="L75" i="5"/>
  <c r="L76" i="5" s="1"/>
  <c r="I68" i="5"/>
  <c r="I69" i="5" s="1"/>
  <c r="T81" i="5"/>
  <c r="C82" i="5"/>
  <c r="Q51" i="10"/>
  <c r="L75" i="10"/>
  <c r="K76" i="10"/>
  <c r="M76" i="10" s="1"/>
  <c r="R77" i="10"/>
  <c r="S76" i="10"/>
  <c r="V10" i="10" s="1"/>
  <c r="F77" i="5"/>
  <c r="K76" i="9"/>
  <c r="M76" i="9" s="1"/>
  <c r="R77" i="9"/>
  <c r="S76" i="9"/>
  <c r="V10" i="9" s="1"/>
  <c r="R77" i="5"/>
  <c r="K76" i="5"/>
  <c r="M76" i="5" s="1"/>
  <c r="S76" i="5"/>
  <c r="V10" i="5" s="1"/>
  <c r="F77" i="9"/>
  <c r="F77" i="10"/>
  <c r="O69" i="5" l="1"/>
  <c r="P69" i="5" s="1"/>
  <c r="N69" i="5"/>
  <c r="H70" i="5"/>
  <c r="Q70" i="5" s="1"/>
  <c r="I70" i="5"/>
  <c r="C83" i="10"/>
  <c r="T82" i="10"/>
  <c r="C88" i="9"/>
  <c r="T87" i="9"/>
  <c r="T82" i="5"/>
  <c r="C83" i="5"/>
  <c r="O64" i="9"/>
  <c r="P64" i="9" s="1"/>
  <c r="H65" i="9"/>
  <c r="Q65" i="9" s="1"/>
  <c r="N64" i="9"/>
  <c r="L76" i="10"/>
  <c r="H52" i="10"/>
  <c r="I52" i="10" s="1"/>
  <c r="N51" i="10"/>
  <c r="O51" i="10"/>
  <c r="P51" i="10" s="1"/>
  <c r="G76" i="10"/>
  <c r="J76" i="10" s="1"/>
  <c r="F78" i="9"/>
  <c r="R78" i="5"/>
  <c r="S77" i="5"/>
  <c r="G77" i="5" s="1"/>
  <c r="J77" i="5" s="1"/>
  <c r="K77" i="5"/>
  <c r="M77" i="5" s="1"/>
  <c r="F78" i="5"/>
  <c r="R78" i="10"/>
  <c r="K77" i="10"/>
  <c r="M77" i="10" s="1"/>
  <c r="S77" i="10"/>
  <c r="G77" i="10" s="1"/>
  <c r="J77" i="10" s="1"/>
  <c r="G76" i="9"/>
  <c r="J76" i="9" s="1"/>
  <c r="L76" i="9"/>
  <c r="R78" i="9"/>
  <c r="K77" i="9"/>
  <c r="M77" i="9" s="1"/>
  <c r="S77" i="9"/>
  <c r="G77" i="9" s="1"/>
  <c r="J77" i="9" s="1"/>
  <c r="F78" i="10"/>
  <c r="G76" i="5"/>
  <c r="J76" i="5" s="1"/>
  <c r="N65" i="9" l="1"/>
  <c r="O65" i="9"/>
  <c r="P65" i="9" s="1"/>
  <c r="H66" i="9"/>
  <c r="Q66" i="9" s="1"/>
  <c r="I65" i="9"/>
  <c r="I66" i="9" s="1"/>
  <c r="H71" i="5"/>
  <c r="I71" i="5" s="1"/>
  <c r="Q71" i="5"/>
  <c r="N70" i="5"/>
  <c r="O70" i="5"/>
  <c r="P70" i="5" s="1"/>
  <c r="T88" i="9"/>
  <c r="C89" i="9"/>
  <c r="C84" i="10"/>
  <c r="T83" i="10"/>
  <c r="T83" i="5"/>
  <c r="C84" i="5"/>
  <c r="L77" i="5"/>
  <c r="L78" i="5" s="1"/>
  <c r="Q52" i="10"/>
  <c r="L77" i="10"/>
  <c r="F79" i="9"/>
  <c r="F79" i="5"/>
  <c r="L77" i="9"/>
  <c r="F79" i="10"/>
  <c r="R79" i="9"/>
  <c r="K78" i="9"/>
  <c r="M78" i="9" s="1"/>
  <c r="S78" i="9"/>
  <c r="G78" i="9" s="1"/>
  <c r="J78" i="9" s="1"/>
  <c r="K78" i="5"/>
  <c r="M78" i="5" s="1"/>
  <c r="S78" i="5"/>
  <c r="G78" i="5" s="1"/>
  <c r="J78" i="5" s="1"/>
  <c r="R79" i="5"/>
  <c r="R79" i="10"/>
  <c r="K78" i="10"/>
  <c r="M78" i="10" s="1"/>
  <c r="S78" i="10"/>
  <c r="G78" i="10" s="1"/>
  <c r="J78" i="10" s="1"/>
  <c r="O66" i="9" l="1"/>
  <c r="P66" i="9" s="1"/>
  <c r="H67" i="9"/>
  <c r="I67" i="9" s="1"/>
  <c r="N66" i="9"/>
  <c r="H72" i="5"/>
  <c r="I72" i="5" s="1"/>
  <c r="O71" i="5"/>
  <c r="P71" i="5" s="1"/>
  <c r="N71" i="5"/>
  <c r="T84" i="5"/>
  <c r="C85" i="5"/>
  <c r="C85" i="10"/>
  <c r="T84" i="10"/>
  <c r="C90" i="9"/>
  <c r="T89" i="9"/>
  <c r="N52" i="10"/>
  <c r="O52" i="10"/>
  <c r="P52" i="10" s="1"/>
  <c r="H53" i="10"/>
  <c r="I53" i="10" s="1"/>
  <c r="L78" i="10"/>
  <c r="K79" i="9"/>
  <c r="M79" i="9" s="1"/>
  <c r="R80" i="9"/>
  <c r="S79" i="9"/>
  <c r="G79" i="9" s="1"/>
  <c r="J79" i="9" s="1"/>
  <c r="K79" i="5"/>
  <c r="M79" i="5" s="1"/>
  <c r="S79" i="5"/>
  <c r="G79" i="5" s="1"/>
  <c r="J79" i="5" s="1"/>
  <c r="R80" i="5"/>
  <c r="F80" i="10"/>
  <c r="L78" i="9"/>
  <c r="F80" i="9"/>
  <c r="K79" i="10"/>
  <c r="M79" i="10" s="1"/>
  <c r="R80" i="10"/>
  <c r="S79" i="10"/>
  <c r="G79" i="10" s="1"/>
  <c r="J79" i="10" s="1"/>
  <c r="F80" i="5"/>
  <c r="C91" i="9" l="1"/>
  <c r="T90" i="9"/>
  <c r="T85" i="5"/>
  <c r="C86" i="5"/>
  <c r="Q67" i="9"/>
  <c r="Q72" i="5"/>
  <c r="L79" i="9"/>
  <c r="L80" i="9" s="1"/>
  <c r="C86" i="10"/>
  <c r="T85" i="10"/>
  <c r="L79" i="5"/>
  <c r="Q53" i="10"/>
  <c r="L79" i="10"/>
  <c r="K80" i="10"/>
  <c r="M80" i="10" s="1"/>
  <c r="R81" i="10"/>
  <c r="S80" i="10"/>
  <c r="G80" i="10" s="1"/>
  <c r="J80" i="10" s="1"/>
  <c r="F81" i="9"/>
  <c r="F81" i="10"/>
  <c r="F81" i="5"/>
  <c r="K80" i="9"/>
  <c r="M80" i="9" s="1"/>
  <c r="R81" i="9"/>
  <c r="S80" i="9"/>
  <c r="G80" i="9" s="1"/>
  <c r="J80" i="9" s="1"/>
  <c r="R81" i="5"/>
  <c r="S80" i="5"/>
  <c r="G80" i="5" s="1"/>
  <c r="J80" i="5" s="1"/>
  <c r="K80" i="5"/>
  <c r="M80" i="5" s="1"/>
  <c r="N67" i="9" l="1"/>
  <c r="O67" i="9"/>
  <c r="P67" i="9" s="1"/>
  <c r="H68" i="9"/>
  <c r="I68" i="9" s="1"/>
  <c r="T86" i="5"/>
  <c r="C87" i="5"/>
  <c r="C92" i="9"/>
  <c r="T91" i="9"/>
  <c r="N72" i="5"/>
  <c r="O72" i="5"/>
  <c r="P72" i="5" s="1"/>
  <c r="H73" i="5"/>
  <c r="I73" i="5" s="1"/>
  <c r="Q73" i="5"/>
  <c r="C87" i="10"/>
  <c r="T86" i="10"/>
  <c r="O53" i="10"/>
  <c r="P53" i="10" s="1"/>
  <c r="H54" i="10"/>
  <c r="I54" i="10" s="1"/>
  <c r="N53" i="10"/>
  <c r="F82" i="5"/>
  <c r="F82" i="10"/>
  <c r="R82" i="10"/>
  <c r="K81" i="10"/>
  <c r="M81" i="10" s="1"/>
  <c r="S81" i="10"/>
  <c r="G81" i="10" s="1"/>
  <c r="J81" i="10" s="1"/>
  <c r="R82" i="5"/>
  <c r="S81" i="5"/>
  <c r="G81" i="5" s="1"/>
  <c r="J81" i="5" s="1"/>
  <c r="K81" i="5"/>
  <c r="M81" i="5" s="1"/>
  <c r="R82" i="9"/>
  <c r="K81" i="9"/>
  <c r="M81" i="9" s="1"/>
  <c r="S81" i="9"/>
  <c r="F82" i="9"/>
  <c r="G81" i="9"/>
  <c r="J81" i="9" s="1"/>
  <c r="L80" i="10"/>
  <c r="L80" i="5"/>
  <c r="T92" i="9" l="1"/>
  <c r="C93" i="9"/>
  <c r="N73" i="5"/>
  <c r="O73" i="5"/>
  <c r="P73" i="5" s="1"/>
  <c r="H74" i="5"/>
  <c r="I74" i="5" s="1"/>
  <c r="Q74" i="5"/>
  <c r="Q68" i="9"/>
  <c r="T87" i="5"/>
  <c r="C88" i="5"/>
  <c r="T87" i="10"/>
  <c r="C88" i="10"/>
  <c r="L81" i="5"/>
  <c r="Q54" i="10"/>
  <c r="L81" i="10"/>
  <c r="S82" i="5"/>
  <c r="G82" i="5" s="1"/>
  <c r="J82" i="5" s="1"/>
  <c r="K82" i="5"/>
  <c r="M82" i="5" s="1"/>
  <c r="R83" i="5"/>
  <c r="R83" i="10"/>
  <c r="K82" i="10"/>
  <c r="M82" i="10" s="1"/>
  <c r="S82" i="10"/>
  <c r="G82" i="10" s="1"/>
  <c r="J82" i="10" s="1"/>
  <c r="F83" i="5"/>
  <c r="L81" i="9"/>
  <c r="F83" i="9"/>
  <c r="R83" i="9"/>
  <c r="K82" i="9"/>
  <c r="M82" i="9" s="1"/>
  <c r="S82" i="9"/>
  <c r="G82" i="9" s="1"/>
  <c r="J82" i="9" s="1"/>
  <c r="F83" i="10"/>
  <c r="L82" i="5" l="1"/>
  <c r="N74" i="5"/>
  <c r="H75" i="5"/>
  <c r="I75" i="5" s="1"/>
  <c r="O74" i="5"/>
  <c r="P74" i="5" s="1"/>
  <c r="O68" i="9"/>
  <c r="P68" i="9" s="1"/>
  <c r="N68" i="9"/>
  <c r="H69" i="9"/>
  <c r="I69" i="9" s="1"/>
  <c r="Q75" i="5"/>
  <c r="N75" i="5" s="1"/>
  <c r="C89" i="10"/>
  <c r="T88" i="10"/>
  <c r="T88" i="5"/>
  <c r="C89" i="5"/>
  <c r="C94" i="9"/>
  <c r="T93" i="9"/>
  <c r="O54" i="10"/>
  <c r="P54" i="10" s="1"/>
  <c r="H55" i="10"/>
  <c r="I55" i="10" s="1"/>
  <c r="N54" i="10"/>
  <c r="L82" i="10"/>
  <c r="F84" i="10"/>
  <c r="F84" i="9"/>
  <c r="K83" i="9"/>
  <c r="M83" i="9" s="1"/>
  <c r="R84" i="9"/>
  <c r="S83" i="9"/>
  <c r="G83" i="9" s="1"/>
  <c r="J83" i="9" s="1"/>
  <c r="F84" i="5"/>
  <c r="K83" i="5"/>
  <c r="M83" i="5" s="1"/>
  <c r="S83" i="5"/>
  <c r="G83" i="5" s="1"/>
  <c r="J83" i="5" s="1"/>
  <c r="R84" i="5"/>
  <c r="K83" i="10"/>
  <c r="M83" i="10" s="1"/>
  <c r="R84" i="10"/>
  <c r="S83" i="10"/>
  <c r="G83" i="10" s="1"/>
  <c r="J83" i="10" s="1"/>
  <c r="L82" i="9"/>
  <c r="L83" i="9" s="1"/>
  <c r="L83" i="5" l="1"/>
  <c r="Q69" i="9"/>
  <c r="O75" i="5"/>
  <c r="P75" i="5" s="1"/>
  <c r="C95" i="9"/>
  <c r="T94" i="9"/>
  <c r="T89" i="5"/>
  <c r="C90" i="5"/>
  <c r="H76" i="5"/>
  <c r="I76" i="5" s="1"/>
  <c r="C90" i="10"/>
  <c r="T89" i="10"/>
  <c r="Q55" i="10"/>
  <c r="R85" i="5"/>
  <c r="S84" i="5"/>
  <c r="G84" i="5" s="1"/>
  <c r="J84" i="5" s="1"/>
  <c r="K84" i="5"/>
  <c r="M84" i="5" s="1"/>
  <c r="F85" i="5"/>
  <c r="F85" i="10"/>
  <c r="R85" i="9"/>
  <c r="K84" i="9"/>
  <c r="M84" i="9" s="1"/>
  <c r="S84" i="9"/>
  <c r="F85" i="9"/>
  <c r="G84" i="9"/>
  <c r="J84" i="9" s="1"/>
  <c r="L84" i="5"/>
  <c r="K84" i="10"/>
  <c r="M84" i="10" s="1"/>
  <c r="R85" i="10"/>
  <c r="S84" i="10"/>
  <c r="G84" i="10" s="1"/>
  <c r="J84" i="10" s="1"/>
  <c r="L83" i="10"/>
  <c r="H70" i="9" l="1"/>
  <c r="I70" i="9" s="1"/>
  <c r="N69" i="9"/>
  <c r="O69" i="9"/>
  <c r="P69" i="9" s="1"/>
  <c r="Q70" i="9"/>
  <c r="C96" i="9"/>
  <c r="T95" i="9"/>
  <c r="Q76" i="5"/>
  <c r="C91" i="10"/>
  <c r="T90" i="10"/>
  <c r="C91" i="5"/>
  <c r="T90" i="5"/>
  <c r="O55" i="10"/>
  <c r="P55" i="10" s="1"/>
  <c r="H56" i="10"/>
  <c r="I56" i="10" s="1"/>
  <c r="N55" i="10"/>
  <c r="L84" i="10"/>
  <c r="F86" i="5"/>
  <c r="R86" i="5"/>
  <c r="S85" i="5"/>
  <c r="G85" i="5" s="1"/>
  <c r="J85" i="5" s="1"/>
  <c r="K85" i="5"/>
  <c r="M85" i="5" s="1"/>
  <c r="K85" i="10"/>
  <c r="M85" i="10" s="1"/>
  <c r="R86" i="10"/>
  <c r="S85" i="10"/>
  <c r="G85" i="10" s="1"/>
  <c r="J85" i="10" s="1"/>
  <c r="F86" i="10"/>
  <c r="F86" i="9"/>
  <c r="K85" i="9"/>
  <c r="M85" i="9" s="1"/>
  <c r="R86" i="9"/>
  <c r="S85" i="9"/>
  <c r="G85" i="9" s="1"/>
  <c r="J85" i="9" s="1"/>
  <c r="L84" i="9"/>
  <c r="C92" i="10" l="1"/>
  <c r="T91" i="10"/>
  <c r="C97" i="9"/>
  <c r="T96" i="9"/>
  <c r="O76" i="5"/>
  <c r="P76" i="5" s="1"/>
  <c r="H77" i="5"/>
  <c r="I77" i="5" s="1"/>
  <c r="N76" i="5"/>
  <c r="L85" i="5"/>
  <c r="N70" i="9"/>
  <c r="O70" i="9"/>
  <c r="P70" i="9" s="1"/>
  <c r="H71" i="9"/>
  <c r="I71" i="9" s="1"/>
  <c r="Q71" i="9"/>
  <c r="T91" i="5"/>
  <c r="C92" i="5"/>
  <c r="Q56" i="10"/>
  <c r="R87" i="9"/>
  <c r="K86" i="9"/>
  <c r="M86" i="9" s="1"/>
  <c r="S86" i="9"/>
  <c r="F87" i="10"/>
  <c r="F87" i="5"/>
  <c r="L85" i="10"/>
  <c r="F87" i="9"/>
  <c r="G86" i="9"/>
  <c r="J86" i="9" s="1"/>
  <c r="K86" i="10"/>
  <c r="M86" i="10" s="1"/>
  <c r="R87" i="10"/>
  <c r="S86" i="10"/>
  <c r="G86" i="10" s="1"/>
  <c r="J86" i="10" s="1"/>
  <c r="K86" i="5"/>
  <c r="M86" i="5" s="1"/>
  <c r="S86" i="5"/>
  <c r="G86" i="5" s="1"/>
  <c r="J86" i="5" s="1"/>
  <c r="R87" i="5"/>
  <c r="L85" i="9"/>
  <c r="H72" i="9" l="1"/>
  <c r="Q72" i="9" s="1"/>
  <c r="O71" i="9"/>
  <c r="P71" i="9" s="1"/>
  <c r="N71" i="9"/>
  <c r="L86" i="9"/>
  <c r="I72" i="9"/>
  <c r="C98" i="9"/>
  <c r="T97" i="9"/>
  <c r="Q77" i="5"/>
  <c r="T92" i="5"/>
  <c r="C93" i="5"/>
  <c r="C93" i="10"/>
  <c r="T92" i="10"/>
  <c r="O56" i="10"/>
  <c r="P56" i="10" s="1"/>
  <c r="N56" i="10"/>
  <c r="H57" i="10"/>
  <c r="L86" i="10"/>
  <c r="F88" i="5"/>
  <c r="R88" i="9"/>
  <c r="K87" i="9"/>
  <c r="M87" i="9" s="1"/>
  <c r="S87" i="9"/>
  <c r="G87" i="9" s="1"/>
  <c r="J87" i="9" s="1"/>
  <c r="K87" i="5"/>
  <c r="M87" i="5" s="1"/>
  <c r="S87" i="5"/>
  <c r="G87" i="5" s="1"/>
  <c r="J87" i="5" s="1"/>
  <c r="R88" i="5"/>
  <c r="R88" i="10"/>
  <c r="K87" i="10"/>
  <c r="M87" i="10" s="1"/>
  <c r="S87" i="10"/>
  <c r="G87" i="10" s="1"/>
  <c r="J87" i="10" s="1"/>
  <c r="L86" i="5"/>
  <c r="F88" i="9"/>
  <c r="F88" i="10"/>
  <c r="L87" i="9" l="1"/>
  <c r="L87" i="5"/>
  <c r="C94" i="10"/>
  <c r="T93" i="10"/>
  <c r="T93" i="5"/>
  <c r="C94" i="5"/>
  <c r="C99" i="9"/>
  <c r="T98" i="9"/>
  <c r="H78" i="5"/>
  <c r="N77" i="5"/>
  <c r="O77" i="5"/>
  <c r="P77" i="5" s="1"/>
  <c r="H73" i="9"/>
  <c r="I73" i="9" s="1"/>
  <c r="N72" i="9"/>
  <c r="O72" i="9"/>
  <c r="P72" i="9" s="1"/>
  <c r="Q73" i="9"/>
  <c r="L87" i="10"/>
  <c r="Q57" i="10"/>
  <c r="I57" i="10"/>
  <c r="R89" i="10"/>
  <c r="K88" i="10"/>
  <c r="M88" i="10" s="1"/>
  <c r="S88" i="10"/>
  <c r="V11" i="10" s="1"/>
  <c r="F89" i="9"/>
  <c r="K88" i="9"/>
  <c r="M88" i="9" s="1"/>
  <c r="R89" i="9"/>
  <c r="S88" i="9"/>
  <c r="V11" i="9" s="1"/>
  <c r="S88" i="5"/>
  <c r="V11" i="5" s="1"/>
  <c r="K88" i="5"/>
  <c r="M88" i="5" s="1"/>
  <c r="R89" i="5"/>
  <c r="F89" i="5"/>
  <c r="L88" i="9"/>
  <c r="F89" i="10"/>
  <c r="L88" i="5" l="1"/>
  <c r="C100" i="9"/>
  <c r="T99" i="9"/>
  <c r="O73" i="9"/>
  <c r="P73" i="9" s="1"/>
  <c r="H74" i="9"/>
  <c r="I74" i="9" s="1"/>
  <c r="N73" i="9"/>
  <c r="C95" i="5"/>
  <c r="T94" i="5"/>
  <c r="G88" i="5"/>
  <c r="J88" i="5" s="1"/>
  <c r="G88" i="9"/>
  <c r="J88" i="9" s="1"/>
  <c r="C95" i="10"/>
  <c r="T94" i="10"/>
  <c r="Q78" i="5"/>
  <c r="I78" i="5"/>
  <c r="G88" i="10"/>
  <c r="J88" i="10" s="1"/>
  <c r="N57" i="10"/>
  <c r="H58" i="10"/>
  <c r="Q58" i="10" s="1"/>
  <c r="O57" i="10"/>
  <c r="P57" i="10" s="1"/>
  <c r="L88" i="10"/>
  <c r="K89" i="10"/>
  <c r="M89" i="10" s="1"/>
  <c r="R90" i="10"/>
  <c r="S89" i="10"/>
  <c r="G89" i="10" s="1"/>
  <c r="J89" i="10" s="1"/>
  <c r="F90" i="10"/>
  <c r="K89" i="5"/>
  <c r="M89" i="5" s="1"/>
  <c r="R90" i="5"/>
  <c r="S89" i="5"/>
  <c r="K89" i="9"/>
  <c r="M89" i="9" s="1"/>
  <c r="R90" i="9"/>
  <c r="S89" i="9"/>
  <c r="G89" i="9" s="1"/>
  <c r="J89" i="9" s="1"/>
  <c r="F90" i="5"/>
  <c r="G89" i="5"/>
  <c r="J89" i="5" s="1"/>
  <c r="F90" i="9"/>
  <c r="T95" i="5" l="1"/>
  <c r="C96" i="5"/>
  <c r="C96" i="10"/>
  <c r="T95" i="10"/>
  <c r="Q74" i="9"/>
  <c r="H79" i="5"/>
  <c r="Q79" i="5" s="1"/>
  <c r="N78" i="5"/>
  <c r="O78" i="5"/>
  <c r="P78" i="5" s="1"/>
  <c r="C101" i="9"/>
  <c r="T100" i="9"/>
  <c r="I58" i="10"/>
  <c r="L89" i="10"/>
  <c r="H59" i="10"/>
  <c r="O58" i="10"/>
  <c r="P58" i="10" s="1"/>
  <c r="N58" i="10"/>
  <c r="G90" i="5"/>
  <c r="J90" i="5" s="1"/>
  <c r="F91" i="5"/>
  <c r="R91" i="9"/>
  <c r="K90" i="9"/>
  <c r="M90" i="9" s="1"/>
  <c r="S90" i="9"/>
  <c r="G90" i="9" s="1"/>
  <c r="J90" i="9" s="1"/>
  <c r="F91" i="10"/>
  <c r="F91" i="9"/>
  <c r="R91" i="5"/>
  <c r="K90" i="5"/>
  <c r="M90" i="5" s="1"/>
  <c r="S90" i="5"/>
  <c r="K90" i="10"/>
  <c r="M90" i="10" s="1"/>
  <c r="R91" i="10"/>
  <c r="S90" i="10"/>
  <c r="G90" i="10" s="1"/>
  <c r="J90" i="10" s="1"/>
  <c r="L89" i="5"/>
  <c r="L89" i="9"/>
  <c r="L90" i="9" l="1"/>
  <c r="H80" i="5"/>
  <c r="Q80" i="5" s="1"/>
  <c r="O79" i="5"/>
  <c r="P79" i="5" s="1"/>
  <c r="N79" i="5"/>
  <c r="I79" i="5"/>
  <c r="I80" i="5" s="1"/>
  <c r="T96" i="5"/>
  <c r="C97" i="5"/>
  <c r="L90" i="5"/>
  <c r="L91" i="5" s="1"/>
  <c r="C102" i="9"/>
  <c r="T101" i="9"/>
  <c r="H75" i="9"/>
  <c r="N74" i="9"/>
  <c r="O74" i="9"/>
  <c r="P74" i="9" s="1"/>
  <c r="C97" i="10"/>
  <c r="T96" i="10"/>
  <c r="I59" i="10"/>
  <c r="L90" i="10"/>
  <c r="Q59" i="10"/>
  <c r="R92" i="10"/>
  <c r="K91" i="10"/>
  <c r="M91" i="10" s="1"/>
  <c r="S91" i="10"/>
  <c r="G91" i="10" s="1"/>
  <c r="J91" i="10" s="1"/>
  <c r="S91" i="5"/>
  <c r="G91" i="5" s="1"/>
  <c r="J91" i="5" s="1"/>
  <c r="K91" i="5"/>
  <c r="M91" i="5" s="1"/>
  <c r="R92" i="5"/>
  <c r="F92" i="10"/>
  <c r="F92" i="5"/>
  <c r="R92" i="9"/>
  <c r="K91" i="9"/>
  <c r="M91" i="9" s="1"/>
  <c r="S91" i="9"/>
  <c r="F92" i="9"/>
  <c r="G91" i="9"/>
  <c r="J91" i="9" s="1"/>
  <c r="C103" i="9" l="1"/>
  <c r="T102" i="9"/>
  <c r="T97" i="5"/>
  <c r="C98" i="5"/>
  <c r="C98" i="10"/>
  <c r="T97" i="10"/>
  <c r="Q75" i="9"/>
  <c r="I75" i="9"/>
  <c r="O80" i="5"/>
  <c r="P80" i="5" s="1"/>
  <c r="N80" i="5"/>
  <c r="H81" i="5"/>
  <c r="Q81" i="5" s="1"/>
  <c r="N59" i="10"/>
  <c r="H60" i="10"/>
  <c r="O59" i="10"/>
  <c r="P59" i="10" s="1"/>
  <c r="L91" i="10"/>
  <c r="R93" i="10"/>
  <c r="K92" i="10"/>
  <c r="M92" i="10" s="1"/>
  <c r="S92" i="10"/>
  <c r="G92" i="10" s="1"/>
  <c r="J92" i="10" s="1"/>
  <c r="F93" i="5"/>
  <c r="R93" i="5"/>
  <c r="K92" i="5"/>
  <c r="M92" i="5" s="1"/>
  <c r="S92" i="5"/>
  <c r="G92" i="5" s="1"/>
  <c r="J92" i="5" s="1"/>
  <c r="L92" i="5"/>
  <c r="F93" i="10"/>
  <c r="L91" i="9"/>
  <c r="F93" i="9"/>
  <c r="K92" i="9"/>
  <c r="M92" i="9" s="1"/>
  <c r="R93" i="9"/>
  <c r="S92" i="9"/>
  <c r="G92" i="9" s="1"/>
  <c r="J92" i="9" s="1"/>
  <c r="O75" i="9" l="1"/>
  <c r="P75" i="9" s="1"/>
  <c r="H76" i="9"/>
  <c r="Q76" i="9" s="1"/>
  <c r="N75" i="9"/>
  <c r="C99" i="10"/>
  <c r="T98" i="10"/>
  <c r="H82" i="5"/>
  <c r="Q82" i="5" s="1"/>
  <c r="O81" i="5"/>
  <c r="P81" i="5" s="1"/>
  <c r="N81" i="5"/>
  <c r="T98" i="5"/>
  <c r="C99" i="5"/>
  <c r="I81" i="5"/>
  <c r="L92" i="9"/>
  <c r="I76" i="9"/>
  <c r="C104" i="9"/>
  <c r="T103" i="9"/>
  <c r="Q60" i="10"/>
  <c r="I60" i="10"/>
  <c r="L92" i="10"/>
  <c r="K93" i="9"/>
  <c r="M93" i="9" s="1"/>
  <c r="S93" i="9"/>
  <c r="G93" i="9" s="1"/>
  <c r="J93" i="9" s="1"/>
  <c r="R94" i="9"/>
  <c r="K93" i="10"/>
  <c r="M93" i="10" s="1"/>
  <c r="S93" i="10"/>
  <c r="G93" i="10" s="1"/>
  <c r="J93" i="10" s="1"/>
  <c r="R94" i="10"/>
  <c r="F94" i="10"/>
  <c r="S93" i="5"/>
  <c r="R94" i="5"/>
  <c r="K93" i="5"/>
  <c r="M93" i="5" s="1"/>
  <c r="F94" i="9"/>
  <c r="G93" i="5"/>
  <c r="J93" i="5" s="1"/>
  <c r="F94" i="5"/>
  <c r="L93" i="5" l="1"/>
  <c r="O82" i="5"/>
  <c r="P82" i="5" s="1"/>
  <c r="H83" i="5"/>
  <c r="Q83" i="5" s="1"/>
  <c r="N82" i="5"/>
  <c r="T99" i="10"/>
  <c r="C100" i="10"/>
  <c r="C105" i="9"/>
  <c r="T104" i="9"/>
  <c r="I82" i="5"/>
  <c r="O76" i="9"/>
  <c r="P76" i="9" s="1"/>
  <c r="H77" i="9"/>
  <c r="Q77" i="9" s="1"/>
  <c r="N76" i="9"/>
  <c r="T99" i="5"/>
  <c r="C100" i="5"/>
  <c r="N60" i="10"/>
  <c r="H61" i="10"/>
  <c r="Q61" i="10" s="1"/>
  <c r="O60" i="10"/>
  <c r="P60" i="10" s="1"/>
  <c r="L93" i="10"/>
  <c r="K94" i="10"/>
  <c r="M94" i="10" s="1"/>
  <c r="R95" i="10"/>
  <c r="S94" i="10"/>
  <c r="G94" i="10" s="1"/>
  <c r="J94" i="10" s="1"/>
  <c r="F95" i="10"/>
  <c r="R95" i="9"/>
  <c r="K94" i="9"/>
  <c r="M94" i="9" s="1"/>
  <c r="S94" i="9"/>
  <c r="G94" i="9" s="1"/>
  <c r="J94" i="9" s="1"/>
  <c r="L93" i="9"/>
  <c r="F95" i="9"/>
  <c r="F95" i="5"/>
  <c r="S94" i="5"/>
  <c r="G94" i="5" s="1"/>
  <c r="J94" i="5" s="1"/>
  <c r="K94" i="5"/>
  <c r="M94" i="5" s="1"/>
  <c r="R95" i="5"/>
  <c r="I77" i="9" l="1"/>
  <c r="T100" i="5"/>
  <c r="C101" i="5"/>
  <c r="C101" i="10"/>
  <c r="T100" i="10"/>
  <c r="C106" i="9"/>
  <c r="T105" i="9"/>
  <c r="N77" i="9"/>
  <c r="H78" i="9"/>
  <c r="Q78" i="9" s="1"/>
  <c r="O77" i="9"/>
  <c r="P77" i="9" s="1"/>
  <c r="H84" i="5"/>
  <c r="Q84" i="5" s="1"/>
  <c r="N83" i="5"/>
  <c r="O83" i="5"/>
  <c r="P83" i="5" s="1"/>
  <c r="L94" i="9"/>
  <c r="L95" i="9" s="1"/>
  <c r="I83" i="5"/>
  <c r="I84" i="5" s="1"/>
  <c r="L94" i="10"/>
  <c r="N61" i="10"/>
  <c r="O61" i="10"/>
  <c r="P61" i="10" s="1"/>
  <c r="H62" i="10"/>
  <c r="Q62" i="10" s="1"/>
  <c r="I61" i="10"/>
  <c r="K95" i="5"/>
  <c r="M95" i="5" s="1"/>
  <c r="R96" i="5"/>
  <c r="S95" i="5"/>
  <c r="G95" i="5" s="1"/>
  <c r="J95" i="5" s="1"/>
  <c r="R96" i="10"/>
  <c r="K95" i="10"/>
  <c r="M95" i="10" s="1"/>
  <c r="S95" i="10"/>
  <c r="G95" i="10" s="1"/>
  <c r="J95" i="10" s="1"/>
  <c r="R96" i="9"/>
  <c r="K95" i="9"/>
  <c r="M95" i="9" s="1"/>
  <c r="S95" i="9"/>
  <c r="G95" i="9" s="1"/>
  <c r="J95" i="9" s="1"/>
  <c r="F96" i="5"/>
  <c r="F96" i="9"/>
  <c r="F96" i="10"/>
  <c r="L94" i="5"/>
  <c r="C107" i="9" l="1"/>
  <c r="T106" i="9"/>
  <c r="C102" i="10"/>
  <c r="T101" i="10"/>
  <c r="O84" i="5"/>
  <c r="P84" i="5" s="1"/>
  <c r="N84" i="5"/>
  <c r="H85" i="5"/>
  <c r="Q85" i="5" s="1"/>
  <c r="T101" i="5"/>
  <c r="C102" i="5"/>
  <c r="O78" i="9"/>
  <c r="P78" i="9" s="1"/>
  <c r="N78" i="9"/>
  <c r="H79" i="9"/>
  <c r="Q79" i="9" s="1"/>
  <c r="I78" i="9"/>
  <c r="I79" i="9" s="1"/>
  <c r="O62" i="10"/>
  <c r="P62" i="10" s="1"/>
  <c r="N62" i="10"/>
  <c r="H63" i="10"/>
  <c r="Q63" i="10" s="1"/>
  <c r="I62" i="10"/>
  <c r="F97" i="5"/>
  <c r="F97" i="9"/>
  <c r="K96" i="10"/>
  <c r="M96" i="10" s="1"/>
  <c r="R97" i="10"/>
  <c r="S96" i="10"/>
  <c r="G96" i="10" s="1"/>
  <c r="J96" i="10" s="1"/>
  <c r="L95" i="5"/>
  <c r="L95" i="10"/>
  <c r="F97" i="10"/>
  <c r="K96" i="9"/>
  <c r="M96" i="9" s="1"/>
  <c r="R97" i="9"/>
  <c r="S96" i="9"/>
  <c r="G96" i="9" s="1"/>
  <c r="J96" i="9" s="1"/>
  <c r="R97" i="5"/>
  <c r="K96" i="5"/>
  <c r="M96" i="5" s="1"/>
  <c r="S96" i="5"/>
  <c r="G96" i="5" s="1"/>
  <c r="J96" i="5" s="1"/>
  <c r="L96" i="9"/>
  <c r="O85" i="5" l="1"/>
  <c r="P85" i="5" s="1"/>
  <c r="H86" i="5"/>
  <c r="Q86" i="5"/>
  <c r="N85" i="5"/>
  <c r="I80" i="9"/>
  <c r="C103" i="10"/>
  <c r="T102" i="10"/>
  <c r="O79" i="9"/>
  <c r="P79" i="9" s="1"/>
  <c r="H80" i="9"/>
  <c r="Q80" i="9" s="1"/>
  <c r="N79" i="9"/>
  <c r="L96" i="10"/>
  <c r="I85" i="5"/>
  <c r="I86" i="5" s="1"/>
  <c r="C103" i="5"/>
  <c r="T102" i="5"/>
  <c r="C108" i="9"/>
  <c r="T107" i="9"/>
  <c r="I63" i="10"/>
  <c r="H64" i="10"/>
  <c r="Q64" i="10" s="1"/>
  <c r="O63" i="10"/>
  <c r="P63" i="10" s="1"/>
  <c r="N63" i="10"/>
  <c r="K97" i="9"/>
  <c r="M97" i="9" s="1"/>
  <c r="R98" i="9"/>
  <c r="S97" i="9"/>
  <c r="G97" i="9" s="1"/>
  <c r="J97" i="9" s="1"/>
  <c r="F98" i="10"/>
  <c r="K97" i="10"/>
  <c r="M97" i="10" s="1"/>
  <c r="R98" i="10"/>
  <c r="S97" i="10"/>
  <c r="G97" i="10" s="1"/>
  <c r="J97" i="10" s="1"/>
  <c r="F98" i="5"/>
  <c r="S97" i="5"/>
  <c r="G97" i="5" s="1"/>
  <c r="J97" i="5" s="1"/>
  <c r="R98" i="5"/>
  <c r="K97" i="5"/>
  <c r="M97" i="5" s="1"/>
  <c r="F98" i="9"/>
  <c r="L96" i="5"/>
  <c r="L97" i="5" l="1"/>
  <c r="T108" i="9"/>
  <c r="C109" i="9"/>
  <c r="T103" i="10"/>
  <c r="C104" i="10"/>
  <c r="O86" i="5"/>
  <c r="P86" i="5" s="1"/>
  <c r="H87" i="5"/>
  <c r="I87" i="5" s="1"/>
  <c r="N86" i="5"/>
  <c r="T103" i="5"/>
  <c r="C104" i="5"/>
  <c r="H81" i="9"/>
  <c r="I81" i="9" s="1"/>
  <c r="O80" i="9"/>
  <c r="P80" i="9" s="1"/>
  <c r="N80" i="9"/>
  <c r="Q81" i="9"/>
  <c r="N64" i="10"/>
  <c r="H65" i="10"/>
  <c r="Q65" i="10" s="1"/>
  <c r="O64" i="10"/>
  <c r="P64" i="10" s="1"/>
  <c r="L97" i="10"/>
  <c r="I64" i="10"/>
  <c r="S98" i="5"/>
  <c r="G98" i="5" s="1"/>
  <c r="J98" i="5" s="1"/>
  <c r="K98" i="5"/>
  <c r="M98" i="5" s="1"/>
  <c r="R99" i="5"/>
  <c r="F99" i="5"/>
  <c r="R99" i="9"/>
  <c r="K98" i="9"/>
  <c r="M98" i="9" s="1"/>
  <c r="S98" i="9"/>
  <c r="G98" i="9" s="1"/>
  <c r="J98" i="9" s="1"/>
  <c r="K98" i="10"/>
  <c r="M98" i="10" s="1"/>
  <c r="R99" i="10"/>
  <c r="S98" i="10"/>
  <c r="G98" i="10" s="1"/>
  <c r="J98" i="10" s="1"/>
  <c r="F99" i="9"/>
  <c r="F99" i="10"/>
  <c r="L98" i="5"/>
  <c r="L97" i="9"/>
  <c r="Q87" i="5" l="1"/>
  <c r="L98" i="9"/>
  <c r="C105" i="10"/>
  <c r="T104" i="10"/>
  <c r="T104" i="5"/>
  <c r="C105" i="5"/>
  <c r="C110" i="9"/>
  <c r="T109" i="9"/>
  <c r="H82" i="9"/>
  <c r="Q82" i="9" s="1"/>
  <c r="N81" i="9"/>
  <c r="O81" i="9"/>
  <c r="P81" i="9" s="1"/>
  <c r="I65" i="10"/>
  <c r="O65" i="10"/>
  <c r="P65" i="10" s="1"/>
  <c r="H66" i="10"/>
  <c r="Q66" i="10" s="1"/>
  <c r="N65" i="10"/>
  <c r="F100" i="9"/>
  <c r="R100" i="10"/>
  <c r="K99" i="10"/>
  <c r="M99" i="10" s="1"/>
  <c r="S99" i="10"/>
  <c r="G99" i="10" s="1"/>
  <c r="J99" i="10" s="1"/>
  <c r="K99" i="9"/>
  <c r="M99" i="9" s="1"/>
  <c r="R100" i="9"/>
  <c r="S99" i="9"/>
  <c r="G99" i="9" s="1"/>
  <c r="J99" i="9" s="1"/>
  <c r="K99" i="5"/>
  <c r="M99" i="5" s="1"/>
  <c r="R100" i="5"/>
  <c r="S99" i="5"/>
  <c r="G99" i="5" s="1"/>
  <c r="J99" i="5" s="1"/>
  <c r="F100" i="10"/>
  <c r="F100" i="5"/>
  <c r="L98" i="10"/>
  <c r="L99" i="9" l="1"/>
  <c r="C106" i="10"/>
  <c r="T105" i="10"/>
  <c r="T105" i="5"/>
  <c r="C106" i="5"/>
  <c r="N82" i="9"/>
  <c r="O82" i="9"/>
  <c r="P82" i="9" s="1"/>
  <c r="H83" i="9"/>
  <c r="Q83" i="9" s="1"/>
  <c r="O87" i="5"/>
  <c r="P87" i="5" s="1"/>
  <c r="N87" i="5"/>
  <c r="H88" i="5"/>
  <c r="I82" i="9"/>
  <c r="C111" i="9"/>
  <c r="T110" i="9"/>
  <c r="N66" i="10"/>
  <c r="O66" i="10"/>
  <c r="P66" i="10" s="1"/>
  <c r="H67" i="10"/>
  <c r="Q67" i="10" s="1"/>
  <c r="I66" i="10"/>
  <c r="L99" i="10"/>
  <c r="F101" i="10"/>
  <c r="F101" i="9"/>
  <c r="R101" i="5"/>
  <c r="K100" i="5"/>
  <c r="M100" i="5" s="1"/>
  <c r="S100" i="5"/>
  <c r="V12" i="5" s="1"/>
  <c r="L99" i="5"/>
  <c r="F101" i="5"/>
  <c r="K100" i="9"/>
  <c r="M100" i="9" s="1"/>
  <c r="S100" i="9"/>
  <c r="V12" i="9" s="1"/>
  <c r="R101" i="9"/>
  <c r="K100" i="10"/>
  <c r="M100" i="10" s="1"/>
  <c r="R101" i="10"/>
  <c r="S100" i="10"/>
  <c r="V12" i="10" s="1"/>
  <c r="G100" i="5" l="1"/>
  <c r="J100" i="5" s="1"/>
  <c r="N83" i="9"/>
  <c r="O83" i="9"/>
  <c r="P83" i="9" s="1"/>
  <c r="H84" i="9"/>
  <c r="Q84" i="9" s="1"/>
  <c r="C107" i="5"/>
  <c r="T106" i="5"/>
  <c r="I83" i="9"/>
  <c r="I84" i="9" s="1"/>
  <c r="Q88" i="5"/>
  <c r="I88" i="5"/>
  <c r="C112" i="9"/>
  <c r="T111" i="9"/>
  <c r="L100" i="9"/>
  <c r="C107" i="10"/>
  <c r="T106" i="10"/>
  <c r="L100" i="10"/>
  <c r="O67" i="10"/>
  <c r="P67" i="10" s="1"/>
  <c r="N67" i="10"/>
  <c r="H68" i="10"/>
  <c r="Q68" i="10" s="1"/>
  <c r="I67" i="10"/>
  <c r="G100" i="10"/>
  <c r="J100" i="10" s="1"/>
  <c r="R102" i="9"/>
  <c r="K101" i="9"/>
  <c r="M101" i="9" s="1"/>
  <c r="S101" i="9"/>
  <c r="G101" i="9" s="1"/>
  <c r="J101" i="9" s="1"/>
  <c r="F102" i="5"/>
  <c r="F102" i="10"/>
  <c r="R102" i="5"/>
  <c r="S101" i="5"/>
  <c r="G101" i="5" s="1"/>
  <c r="J101" i="5" s="1"/>
  <c r="K101" i="5"/>
  <c r="M101" i="5" s="1"/>
  <c r="R102" i="10"/>
  <c r="S101" i="10"/>
  <c r="G101" i="10" s="1"/>
  <c r="J101" i="10" s="1"/>
  <c r="K101" i="10"/>
  <c r="M101" i="10" s="1"/>
  <c r="F102" i="9"/>
  <c r="L100" i="5"/>
  <c r="L101" i="5" s="1"/>
  <c r="G100" i="9"/>
  <c r="J100" i="9" s="1"/>
  <c r="C108" i="10" l="1"/>
  <c r="T107" i="10"/>
  <c r="T107" i="5"/>
  <c r="C108" i="5"/>
  <c r="H85" i="9"/>
  <c r="Q85" i="9" s="1"/>
  <c r="N84" i="9"/>
  <c r="O84" i="9"/>
  <c r="P84" i="9" s="1"/>
  <c r="N88" i="5"/>
  <c r="H89" i="5"/>
  <c r="Q89" i="5" s="1"/>
  <c r="O88" i="5"/>
  <c r="P88" i="5" s="1"/>
  <c r="C113" i="9"/>
  <c r="T112" i="9"/>
  <c r="I68" i="10"/>
  <c r="L101" i="10"/>
  <c r="L102" i="10" s="1"/>
  <c r="N68" i="10"/>
  <c r="H69" i="10"/>
  <c r="Q69" i="10" s="1"/>
  <c r="O68" i="10"/>
  <c r="P68" i="10" s="1"/>
  <c r="R103" i="10"/>
  <c r="K102" i="10"/>
  <c r="M102" i="10" s="1"/>
  <c r="S102" i="10"/>
  <c r="G102" i="10" s="1"/>
  <c r="J102" i="10" s="1"/>
  <c r="R103" i="9"/>
  <c r="K102" i="9"/>
  <c r="M102" i="9" s="1"/>
  <c r="S102" i="9"/>
  <c r="G102" i="9" s="1"/>
  <c r="J102" i="9" s="1"/>
  <c r="F103" i="10"/>
  <c r="K102" i="5"/>
  <c r="M102" i="5" s="1"/>
  <c r="S102" i="5"/>
  <c r="G102" i="5" s="1"/>
  <c r="J102" i="5" s="1"/>
  <c r="R103" i="5"/>
  <c r="F103" i="9"/>
  <c r="F103" i="5"/>
  <c r="L101" i="9"/>
  <c r="L102" i="9" s="1"/>
  <c r="I69" i="10" l="1"/>
  <c r="T108" i="5"/>
  <c r="C109" i="5"/>
  <c r="H86" i="9"/>
  <c r="N85" i="9"/>
  <c r="O85" i="9"/>
  <c r="P85" i="9" s="1"/>
  <c r="Q86" i="9"/>
  <c r="N89" i="5"/>
  <c r="H90" i="5"/>
  <c r="Q90" i="5" s="1"/>
  <c r="O89" i="5"/>
  <c r="P89" i="5" s="1"/>
  <c r="C109" i="10"/>
  <c r="T108" i="10"/>
  <c r="C114" i="9"/>
  <c r="T113" i="9"/>
  <c r="I85" i="9"/>
  <c r="I86" i="9" s="1"/>
  <c r="I89" i="5"/>
  <c r="H70" i="10"/>
  <c r="I70" i="10" s="1"/>
  <c r="N69" i="10"/>
  <c r="O69" i="10"/>
  <c r="P69" i="10" s="1"/>
  <c r="F104" i="5"/>
  <c r="K103" i="10"/>
  <c r="M103" i="10" s="1"/>
  <c r="R104" i="10"/>
  <c r="S103" i="10"/>
  <c r="G103" i="10" s="1"/>
  <c r="J103" i="10" s="1"/>
  <c r="K103" i="5"/>
  <c r="M103" i="5" s="1"/>
  <c r="S103" i="5"/>
  <c r="G103" i="5" s="1"/>
  <c r="J103" i="5" s="1"/>
  <c r="R104" i="5"/>
  <c r="F104" i="10"/>
  <c r="F104" i="9"/>
  <c r="K103" i="9"/>
  <c r="M103" i="9" s="1"/>
  <c r="R104" i="9"/>
  <c r="S103" i="9"/>
  <c r="G103" i="9" s="1"/>
  <c r="J103" i="9" s="1"/>
  <c r="L102" i="5"/>
  <c r="L103" i="9" l="1"/>
  <c r="L103" i="5"/>
  <c r="O90" i="5"/>
  <c r="P90" i="5" s="1"/>
  <c r="H91" i="5"/>
  <c r="Q91" i="5" s="1"/>
  <c r="N90" i="5"/>
  <c r="I90" i="5"/>
  <c r="I91" i="5" s="1"/>
  <c r="N86" i="9"/>
  <c r="H87" i="9"/>
  <c r="I87" i="9" s="1"/>
  <c r="O86" i="9"/>
  <c r="P86" i="9" s="1"/>
  <c r="C115" i="9"/>
  <c r="T114" i="9"/>
  <c r="C110" i="10"/>
  <c r="T109" i="10"/>
  <c r="T109" i="5"/>
  <c r="C110" i="5"/>
  <c r="Q70" i="10"/>
  <c r="H71" i="10" s="1"/>
  <c r="Q71" i="10" s="1"/>
  <c r="L103" i="10"/>
  <c r="K104" i="10"/>
  <c r="M104" i="10" s="1"/>
  <c r="R105" i="10"/>
  <c r="S104" i="10"/>
  <c r="G104" i="10" s="1"/>
  <c r="J104" i="10" s="1"/>
  <c r="F105" i="9"/>
  <c r="R105" i="5"/>
  <c r="S104" i="5"/>
  <c r="G104" i="5" s="1"/>
  <c r="J104" i="5" s="1"/>
  <c r="K104" i="5"/>
  <c r="M104" i="5" s="1"/>
  <c r="K104" i="9"/>
  <c r="M104" i="9" s="1"/>
  <c r="R105" i="9"/>
  <c r="S104" i="9"/>
  <c r="G104" i="9" s="1"/>
  <c r="J104" i="9" s="1"/>
  <c r="F105" i="10"/>
  <c r="F105" i="5"/>
  <c r="L104" i="9"/>
  <c r="Q87" i="9" l="1"/>
  <c r="O87" i="9"/>
  <c r="P87" i="9" s="1"/>
  <c r="N87" i="9"/>
  <c r="H88" i="9"/>
  <c r="I88" i="9" s="1"/>
  <c r="Q88" i="9"/>
  <c r="T110" i="5"/>
  <c r="C111" i="5"/>
  <c r="C111" i="10"/>
  <c r="T110" i="10"/>
  <c r="N91" i="5"/>
  <c r="H92" i="5"/>
  <c r="Q92" i="5" s="1"/>
  <c r="O91" i="5"/>
  <c r="P91" i="5" s="1"/>
  <c r="L104" i="5"/>
  <c r="C116" i="9"/>
  <c r="T115" i="9"/>
  <c r="N70" i="10"/>
  <c r="O70" i="10"/>
  <c r="P70" i="10" s="1"/>
  <c r="H72" i="10"/>
  <c r="Q72" i="10" s="1"/>
  <c r="O71" i="10"/>
  <c r="P71" i="10" s="1"/>
  <c r="N71" i="10"/>
  <c r="I71" i="10"/>
  <c r="F106" i="5"/>
  <c r="F106" i="10"/>
  <c r="R106" i="10"/>
  <c r="K105" i="10"/>
  <c r="M105" i="10" s="1"/>
  <c r="S105" i="10"/>
  <c r="G105" i="10" s="1"/>
  <c r="J105" i="10" s="1"/>
  <c r="L104" i="10"/>
  <c r="R106" i="9"/>
  <c r="K105" i="9"/>
  <c r="M105" i="9" s="1"/>
  <c r="S105" i="9"/>
  <c r="G105" i="9" s="1"/>
  <c r="J105" i="9" s="1"/>
  <c r="R106" i="5"/>
  <c r="S105" i="5"/>
  <c r="G105" i="5" s="1"/>
  <c r="J105" i="5" s="1"/>
  <c r="K105" i="5"/>
  <c r="M105" i="5" s="1"/>
  <c r="F106" i="9"/>
  <c r="I92" i="5" l="1"/>
  <c r="O88" i="9"/>
  <c r="P88" i="9" s="1"/>
  <c r="N88" i="9"/>
  <c r="H89" i="9"/>
  <c r="I89" i="9" s="1"/>
  <c r="C117" i="9"/>
  <c r="T116" i="9"/>
  <c r="C112" i="10"/>
  <c r="T111" i="10"/>
  <c r="H93" i="5"/>
  <c r="Q93" i="5" s="1"/>
  <c r="O92" i="5"/>
  <c r="P92" i="5" s="1"/>
  <c r="N92" i="5"/>
  <c r="T111" i="5"/>
  <c r="C112" i="5"/>
  <c r="L105" i="10"/>
  <c r="I72" i="10"/>
  <c r="H73" i="10"/>
  <c r="Q73" i="10" s="1"/>
  <c r="N72" i="10"/>
  <c r="O72" i="10"/>
  <c r="P72" i="10" s="1"/>
  <c r="F107" i="9"/>
  <c r="R107" i="10"/>
  <c r="K106" i="10"/>
  <c r="M106" i="10" s="1"/>
  <c r="S106" i="10"/>
  <c r="G106" i="10" s="1"/>
  <c r="J106" i="10" s="1"/>
  <c r="F107" i="5"/>
  <c r="L105" i="9"/>
  <c r="K106" i="5"/>
  <c r="M106" i="5" s="1"/>
  <c r="S106" i="5"/>
  <c r="G106" i="5" s="1"/>
  <c r="J106" i="5" s="1"/>
  <c r="R107" i="5"/>
  <c r="L105" i="5"/>
  <c r="L106" i="5" s="1"/>
  <c r="R107" i="9"/>
  <c r="K106" i="9"/>
  <c r="M106" i="9" s="1"/>
  <c r="S106" i="9"/>
  <c r="G106" i="9" s="1"/>
  <c r="J106" i="9" s="1"/>
  <c r="F107" i="10"/>
  <c r="C113" i="10" l="1"/>
  <c r="T112" i="10"/>
  <c r="T112" i="5"/>
  <c r="C113" i="5"/>
  <c r="C118" i="9"/>
  <c r="T117" i="9"/>
  <c r="L106" i="9"/>
  <c r="H94" i="5"/>
  <c r="Q94" i="5" s="1"/>
  <c r="O93" i="5"/>
  <c r="P93" i="5" s="1"/>
  <c r="N93" i="5"/>
  <c r="Q89" i="9"/>
  <c r="I93" i="5"/>
  <c r="N73" i="10"/>
  <c r="H74" i="10"/>
  <c r="Q74" i="10" s="1"/>
  <c r="O73" i="10"/>
  <c r="P73" i="10" s="1"/>
  <c r="I73" i="10"/>
  <c r="L106" i="10"/>
  <c r="F108" i="9"/>
  <c r="F108" i="10"/>
  <c r="F108" i="5"/>
  <c r="K107" i="10"/>
  <c r="M107" i="10" s="1"/>
  <c r="R108" i="10"/>
  <c r="S107" i="10"/>
  <c r="G107" i="10" s="1"/>
  <c r="J107" i="10" s="1"/>
  <c r="K107" i="9"/>
  <c r="M107" i="9" s="1"/>
  <c r="R108" i="9"/>
  <c r="S107" i="9"/>
  <c r="G107" i="9" s="1"/>
  <c r="J107" i="9" s="1"/>
  <c r="K107" i="5"/>
  <c r="M107" i="5" s="1"/>
  <c r="S107" i="5"/>
  <c r="G107" i="5" s="1"/>
  <c r="J107" i="5" s="1"/>
  <c r="R108" i="5"/>
  <c r="I94" i="5" l="1"/>
  <c r="C119" i="9"/>
  <c r="T118" i="9"/>
  <c r="H90" i="9"/>
  <c r="N89" i="9"/>
  <c r="O89" i="9"/>
  <c r="P89" i="9" s="1"/>
  <c r="T113" i="5"/>
  <c r="C114" i="5"/>
  <c r="N94" i="5"/>
  <c r="H95" i="5"/>
  <c r="I95" i="5" s="1"/>
  <c r="O94" i="5"/>
  <c r="P94" i="5" s="1"/>
  <c r="Q95" i="5"/>
  <c r="C114" i="10"/>
  <c r="T113" i="10"/>
  <c r="N74" i="10"/>
  <c r="O74" i="10"/>
  <c r="P74" i="10" s="1"/>
  <c r="H75" i="10"/>
  <c r="Q75" i="10" s="1"/>
  <c r="I74" i="10"/>
  <c r="F109" i="5"/>
  <c r="K108" i="10"/>
  <c r="M108" i="10" s="1"/>
  <c r="R109" i="10"/>
  <c r="S108" i="10"/>
  <c r="G108" i="10" s="1"/>
  <c r="J108" i="10" s="1"/>
  <c r="R109" i="9"/>
  <c r="K108" i="9"/>
  <c r="M108" i="9" s="1"/>
  <c r="S108" i="9"/>
  <c r="G108" i="9" s="1"/>
  <c r="J108" i="9" s="1"/>
  <c r="F109" i="10"/>
  <c r="L107" i="9"/>
  <c r="F109" i="9"/>
  <c r="R109" i="5"/>
  <c r="S108" i="5"/>
  <c r="G108" i="5" s="1"/>
  <c r="J108" i="5" s="1"/>
  <c r="K108" i="5"/>
  <c r="M108" i="5" s="1"/>
  <c r="L107" i="10"/>
  <c r="L107" i="5"/>
  <c r="T114" i="5" l="1"/>
  <c r="C115" i="5"/>
  <c r="Q90" i="9"/>
  <c r="I90" i="9"/>
  <c r="C115" i="10"/>
  <c r="T114" i="10"/>
  <c r="H96" i="5"/>
  <c r="I96" i="5" s="1"/>
  <c r="O95" i="5"/>
  <c r="P95" i="5" s="1"/>
  <c r="N95" i="5"/>
  <c r="L108" i="9"/>
  <c r="C120" i="9"/>
  <c r="T119" i="9"/>
  <c r="I75" i="10"/>
  <c r="H76" i="10"/>
  <c r="N75" i="10"/>
  <c r="O75" i="10"/>
  <c r="P75" i="10" s="1"/>
  <c r="L108" i="10"/>
  <c r="F110" i="10"/>
  <c r="K109" i="10"/>
  <c r="M109" i="10" s="1"/>
  <c r="R110" i="10"/>
  <c r="S109" i="10"/>
  <c r="G109" i="10" s="1"/>
  <c r="J109" i="10" s="1"/>
  <c r="L108" i="5"/>
  <c r="F110" i="9"/>
  <c r="F110" i="5"/>
  <c r="K109" i="9"/>
  <c r="M109" i="9" s="1"/>
  <c r="R110" i="9"/>
  <c r="S109" i="9"/>
  <c r="G109" i="9" s="1"/>
  <c r="J109" i="9" s="1"/>
  <c r="R110" i="5"/>
  <c r="S109" i="5"/>
  <c r="G109" i="5" s="1"/>
  <c r="J109" i="5" s="1"/>
  <c r="K109" i="5"/>
  <c r="M109" i="5" s="1"/>
  <c r="C116" i="10" l="1"/>
  <c r="T115" i="10"/>
  <c r="T120" i="9"/>
  <c r="C121" i="9"/>
  <c r="O90" i="9"/>
  <c r="P90" i="9" s="1"/>
  <c r="H91" i="9"/>
  <c r="I91" i="9" s="1"/>
  <c r="N90" i="9"/>
  <c r="Q96" i="5"/>
  <c r="T115" i="5"/>
  <c r="C116" i="5"/>
  <c r="I76" i="10"/>
  <c r="Q76" i="10"/>
  <c r="L109" i="10"/>
  <c r="R111" i="9"/>
  <c r="K110" i="9"/>
  <c r="M110" i="9" s="1"/>
  <c r="S110" i="9"/>
  <c r="G110" i="9" s="1"/>
  <c r="J110" i="9" s="1"/>
  <c r="F111" i="10"/>
  <c r="K110" i="5"/>
  <c r="M110" i="5" s="1"/>
  <c r="S110" i="5"/>
  <c r="G110" i="5" s="1"/>
  <c r="J110" i="5" s="1"/>
  <c r="R111" i="5"/>
  <c r="F111" i="9"/>
  <c r="F111" i="5"/>
  <c r="L109" i="5"/>
  <c r="K110" i="10"/>
  <c r="M110" i="10" s="1"/>
  <c r="R111" i="10"/>
  <c r="S110" i="10"/>
  <c r="G110" i="10" s="1"/>
  <c r="J110" i="10" s="1"/>
  <c r="L109" i="9"/>
  <c r="L110" i="9" s="1"/>
  <c r="C122" i="9" l="1"/>
  <c r="T121" i="9"/>
  <c r="H97" i="5"/>
  <c r="N96" i="5"/>
  <c r="O96" i="5"/>
  <c r="P96" i="5" s="1"/>
  <c r="Q91" i="9"/>
  <c r="T116" i="5"/>
  <c r="C117" i="5"/>
  <c r="L110" i="5"/>
  <c r="C117" i="10"/>
  <c r="T116" i="10"/>
  <c r="O76" i="10"/>
  <c r="P76" i="10" s="1"/>
  <c r="N76" i="10"/>
  <c r="H77" i="10"/>
  <c r="I77" i="10" s="1"/>
  <c r="L110" i="10"/>
  <c r="R112" i="10"/>
  <c r="K111" i="10"/>
  <c r="M111" i="10" s="1"/>
  <c r="S111" i="10"/>
  <c r="G111" i="10" s="1"/>
  <c r="J111" i="10" s="1"/>
  <c r="K111" i="5"/>
  <c r="M111" i="5" s="1"/>
  <c r="S111" i="5"/>
  <c r="G111" i="5" s="1"/>
  <c r="J111" i="5" s="1"/>
  <c r="R112" i="5"/>
  <c r="R112" i="9"/>
  <c r="K111" i="9"/>
  <c r="M111" i="9" s="1"/>
  <c r="S111" i="9"/>
  <c r="G111" i="9" s="1"/>
  <c r="J111" i="9" s="1"/>
  <c r="F112" i="9"/>
  <c r="F112" i="5"/>
  <c r="F112" i="10"/>
  <c r="H92" i="9" l="1"/>
  <c r="I92" i="9" s="1"/>
  <c r="N91" i="9"/>
  <c r="O91" i="9"/>
  <c r="P91" i="9" s="1"/>
  <c r="Q92" i="9"/>
  <c r="C118" i="10"/>
  <c r="T117" i="10"/>
  <c r="Q97" i="5"/>
  <c r="I97" i="5"/>
  <c r="T122" i="9"/>
  <c r="C123" i="9"/>
  <c r="C118" i="5"/>
  <c r="T117" i="5"/>
  <c r="Q77" i="10"/>
  <c r="L111" i="10"/>
  <c r="R113" i="10"/>
  <c r="K112" i="10"/>
  <c r="M112" i="10" s="1"/>
  <c r="S112" i="10"/>
  <c r="V13" i="10" s="1"/>
  <c r="S112" i="5"/>
  <c r="V13" i="5" s="1"/>
  <c r="K112" i="5"/>
  <c r="M112" i="5" s="1"/>
  <c r="R113" i="5"/>
  <c r="L111" i="9"/>
  <c r="F113" i="10"/>
  <c r="F113" i="5"/>
  <c r="F113" i="9"/>
  <c r="K112" i="9"/>
  <c r="M112" i="9" s="1"/>
  <c r="R113" i="9"/>
  <c r="S112" i="9"/>
  <c r="V13" i="9" s="1"/>
  <c r="L111" i="5"/>
  <c r="L112" i="5" s="1"/>
  <c r="L112" i="9" l="1"/>
  <c r="G112" i="5"/>
  <c r="J112" i="5" s="1"/>
  <c r="H98" i="5"/>
  <c r="Q98" i="5" s="1"/>
  <c r="O97" i="5"/>
  <c r="P97" i="5" s="1"/>
  <c r="N97" i="5"/>
  <c r="C119" i="10"/>
  <c r="T118" i="10"/>
  <c r="O92" i="9"/>
  <c r="P92" i="9" s="1"/>
  <c r="H93" i="9"/>
  <c r="Q93" i="9" s="1"/>
  <c r="N92" i="9"/>
  <c r="T118" i="5"/>
  <c r="C119" i="5"/>
  <c r="I98" i="5"/>
  <c r="T123" i="9"/>
  <c r="C124" i="9"/>
  <c r="G112" i="9"/>
  <c r="J112" i="9" s="1"/>
  <c r="I93" i="9"/>
  <c r="O77" i="10"/>
  <c r="P77" i="10" s="1"/>
  <c r="N77" i="10"/>
  <c r="H78" i="10"/>
  <c r="I78" i="10" s="1"/>
  <c r="L112" i="10"/>
  <c r="G112" i="10"/>
  <c r="J112" i="10" s="1"/>
  <c r="K113" i="10"/>
  <c r="M113" i="10" s="1"/>
  <c r="R114" i="10"/>
  <c r="S113" i="10"/>
  <c r="G113" i="10" s="1"/>
  <c r="J113" i="10" s="1"/>
  <c r="F114" i="5"/>
  <c r="K113" i="5"/>
  <c r="M113" i="5" s="1"/>
  <c r="R114" i="5"/>
  <c r="S113" i="5"/>
  <c r="G113" i="5" s="1"/>
  <c r="J113" i="5" s="1"/>
  <c r="K113" i="9"/>
  <c r="M113" i="9" s="1"/>
  <c r="R114" i="9"/>
  <c r="S113" i="9"/>
  <c r="G113" i="9" s="1"/>
  <c r="J113" i="9" s="1"/>
  <c r="F114" i="9"/>
  <c r="F114" i="10"/>
  <c r="L113" i="5"/>
  <c r="N93" i="9" l="1"/>
  <c r="O93" i="9"/>
  <c r="P93" i="9" s="1"/>
  <c r="H94" i="9"/>
  <c r="Q94" i="9" s="1"/>
  <c r="I94" i="9"/>
  <c r="C125" i="9"/>
  <c r="T124" i="9"/>
  <c r="T119" i="10"/>
  <c r="C120" i="10"/>
  <c r="L113" i="9"/>
  <c r="T119" i="5"/>
  <c r="C120" i="5"/>
  <c r="H99" i="5"/>
  <c r="Q99" i="5" s="1"/>
  <c r="N98" i="5"/>
  <c r="O98" i="5"/>
  <c r="P98" i="5" s="1"/>
  <c r="Q78" i="10"/>
  <c r="O78" i="10" s="1"/>
  <c r="P78" i="10" s="1"/>
  <c r="R115" i="5"/>
  <c r="K114" i="5"/>
  <c r="M114" i="5" s="1"/>
  <c r="S114" i="5"/>
  <c r="F115" i="9"/>
  <c r="K114" i="10"/>
  <c r="M114" i="10" s="1"/>
  <c r="R115" i="10"/>
  <c r="S114" i="10"/>
  <c r="G114" i="10" s="1"/>
  <c r="J114" i="10" s="1"/>
  <c r="L114" i="5"/>
  <c r="L113" i="10"/>
  <c r="F115" i="10"/>
  <c r="R115" i="9"/>
  <c r="K114" i="9"/>
  <c r="M114" i="9" s="1"/>
  <c r="S114" i="9"/>
  <c r="G114" i="9" s="1"/>
  <c r="J114" i="9" s="1"/>
  <c r="G114" i="5"/>
  <c r="J114" i="5" s="1"/>
  <c r="F115" i="5"/>
  <c r="L114" i="10" l="1"/>
  <c r="C121" i="10"/>
  <c r="T120" i="10"/>
  <c r="N99" i="5"/>
  <c r="O99" i="5"/>
  <c r="P99" i="5" s="1"/>
  <c r="H100" i="5"/>
  <c r="Q100" i="5" s="1"/>
  <c r="C126" i="9"/>
  <c r="T125" i="9"/>
  <c r="C121" i="5"/>
  <c r="T120" i="5"/>
  <c r="H95" i="9"/>
  <c r="I95" i="9" s="1"/>
  <c r="N94" i="9"/>
  <c r="O94" i="9"/>
  <c r="P94" i="9" s="1"/>
  <c r="Q95" i="9"/>
  <c r="I99" i="5"/>
  <c r="I100" i="5" s="1"/>
  <c r="H79" i="10"/>
  <c r="I79" i="10" s="1"/>
  <c r="N78" i="10"/>
  <c r="F116" i="10"/>
  <c r="R116" i="10"/>
  <c r="K115" i="10"/>
  <c r="M115" i="10" s="1"/>
  <c r="S115" i="10"/>
  <c r="G115" i="10" s="1"/>
  <c r="J115" i="10" s="1"/>
  <c r="S115" i="5"/>
  <c r="G115" i="5" s="1"/>
  <c r="J115" i="5" s="1"/>
  <c r="R116" i="5"/>
  <c r="K115" i="5"/>
  <c r="M115" i="5" s="1"/>
  <c r="F116" i="5"/>
  <c r="R116" i="9"/>
  <c r="K115" i="9"/>
  <c r="M115" i="9" s="1"/>
  <c r="S115" i="9"/>
  <c r="G115" i="9" s="1"/>
  <c r="J115" i="9" s="1"/>
  <c r="F116" i="9"/>
  <c r="L114" i="9"/>
  <c r="L115" i="9" s="1"/>
  <c r="C122" i="5" l="1"/>
  <c r="T121" i="5"/>
  <c r="O95" i="9"/>
  <c r="P95" i="9" s="1"/>
  <c r="N95" i="9"/>
  <c r="H96" i="9"/>
  <c r="I96" i="9" s="1"/>
  <c r="C127" i="9"/>
  <c r="T126" i="9"/>
  <c r="N100" i="5"/>
  <c r="O100" i="5"/>
  <c r="P100" i="5" s="1"/>
  <c r="H101" i="5"/>
  <c r="Q101" i="5" s="1"/>
  <c r="C122" i="10"/>
  <c r="T121" i="10"/>
  <c r="Q79" i="10"/>
  <c r="O79" i="10" s="1"/>
  <c r="P79" i="10" s="1"/>
  <c r="L115" i="10"/>
  <c r="R117" i="10"/>
  <c r="K116" i="10"/>
  <c r="M116" i="10" s="1"/>
  <c r="S116" i="10"/>
  <c r="G116" i="10" s="1"/>
  <c r="J116" i="10" s="1"/>
  <c r="F117" i="10"/>
  <c r="F117" i="9"/>
  <c r="F117" i="5"/>
  <c r="K116" i="9"/>
  <c r="M116" i="9" s="1"/>
  <c r="R117" i="9"/>
  <c r="S116" i="9"/>
  <c r="G116" i="9" s="1"/>
  <c r="J116" i="9" s="1"/>
  <c r="S116" i="5"/>
  <c r="G116" i="5" s="1"/>
  <c r="J116" i="5" s="1"/>
  <c r="K116" i="5"/>
  <c r="M116" i="5" s="1"/>
  <c r="R117" i="5"/>
  <c r="L115" i="5"/>
  <c r="T122" i="10" l="1"/>
  <c r="C123" i="10"/>
  <c r="Q96" i="9"/>
  <c r="I101" i="5"/>
  <c r="O101" i="5"/>
  <c r="P101" i="5" s="1"/>
  <c r="N101" i="5"/>
  <c r="H102" i="5"/>
  <c r="Q102" i="5" s="1"/>
  <c r="T127" i="9"/>
  <c r="C128" i="9"/>
  <c r="T122" i="5"/>
  <c r="C123" i="5"/>
  <c r="N79" i="10"/>
  <c r="H80" i="10"/>
  <c r="I80" i="10" s="1"/>
  <c r="L116" i="10"/>
  <c r="K117" i="5"/>
  <c r="M117" i="5" s="1"/>
  <c r="R118" i="5"/>
  <c r="S117" i="5"/>
  <c r="K117" i="9"/>
  <c r="M117" i="9" s="1"/>
  <c r="R118" i="9"/>
  <c r="S117" i="9"/>
  <c r="F118" i="5"/>
  <c r="G117" i="5"/>
  <c r="J117" i="5" s="1"/>
  <c r="F118" i="10"/>
  <c r="L116" i="5"/>
  <c r="K117" i="10"/>
  <c r="M117" i="10" s="1"/>
  <c r="R118" i="10"/>
  <c r="S117" i="10"/>
  <c r="G117" i="10" s="1"/>
  <c r="J117" i="10" s="1"/>
  <c r="L116" i="9"/>
  <c r="F118" i="9"/>
  <c r="G117" i="9"/>
  <c r="J117" i="9" s="1"/>
  <c r="L117" i="5" l="1"/>
  <c r="H103" i="5"/>
  <c r="Q103" i="5" s="1"/>
  <c r="N102" i="5"/>
  <c r="O102" i="5"/>
  <c r="P102" i="5" s="1"/>
  <c r="N96" i="9"/>
  <c r="H97" i="9"/>
  <c r="I97" i="9" s="1"/>
  <c r="O96" i="9"/>
  <c r="P96" i="9" s="1"/>
  <c r="C124" i="10"/>
  <c r="T123" i="10"/>
  <c r="T123" i="5"/>
  <c r="C124" i="5"/>
  <c r="C129" i="9"/>
  <c r="T128" i="9"/>
  <c r="I102" i="5"/>
  <c r="I103" i="5" s="1"/>
  <c r="Q80" i="10"/>
  <c r="N80" i="10" s="1"/>
  <c r="F119" i="9"/>
  <c r="K118" i="10"/>
  <c r="M118" i="10" s="1"/>
  <c r="R119" i="10"/>
  <c r="S118" i="10"/>
  <c r="G118" i="10" s="1"/>
  <c r="J118" i="10" s="1"/>
  <c r="F119" i="10"/>
  <c r="R119" i="9"/>
  <c r="K118" i="9"/>
  <c r="M118" i="9" s="1"/>
  <c r="S118" i="9"/>
  <c r="G118" i="9" s="1"/>
  <c r="J118" i="9" s="1"/>
  <c r="R119" i="5"/>
  <c r="K118" i="5"/>
  <c r="M118" i="5" s="1"/>
  <c r="S118" i="5"/>
  <c r="G118" i="5" s="1"/>
  <c r="J118" i="5" s="1"/>
  <c r="F119" i="5"/>
  <c r="L117" i="10"/>
  <c r="L117" i="9"/>
  <c r="T124" i="5" l="1"/>
  <c r="C125" i="5"/>
  <c r="C125" i="10"/>
  <c r="T124" i="10"/>
  <c r="Q97" i="9"/>
  <c r="L118" i="5"/>
  <c r="C130" i="9"/>
  <c r="T129" i="9"/>
  <c r="O103" i="5"/>
  <c r="P103" i="5" s="1"/>
  <c r="N103" i="5"/>
  <c r="H104" i="5"/>
  <c r="Q104" i="5" s="1"/>
  <c r="O80" i="10"/>
  <c r="P80" i="10" s="1"/>
  <c r="H81" i="10"/>
  <c r="I81" i="10" s="1"/>
  <c r="L118" i="10"/>
  <c r="F120" i="5"/>
  <c r="F120" i="9"/>
  <c r="F120" i="10"/>
  <c r="S119" i="5"/>
  <c r="G119" i="5" s="1"/>
  <c r="J119" i="5" s="1"/>
  <c r="R120" i="5"/>
  <c r="K119" i="5"/>
  <c r="M119" i="5" s="1"/>
  <c r="R120" i="9"/>
  <c r="K119" i="9"/>
  <c r="M119" i="9" s="1"/>
  <c r="S119" i="9"/>
  <c r="G119" i="9" s="1"/>
  <c r="J119" i="9" s="1"/>
  <c r="R120" i="10"/>
  <c r="K119" i="10"/>
  <c r="M119" i="10" s="1"/>
  <c r="S119" i="10"/>
  <c r="G119" i="10" s="1"/>
  <c r="J119" i="10" s="1"/>
  <c r="L118" i="9"/>
  <c r="N104" i="5" l="1"/>
  <c r="H105" i="5"/>
  <c r="Q105" i="5" s="1"/>
  <c r="O104" i="5"/>
  <c r="P104" i="5" s="1"/>
  <c r="T125" i="10"/>
  <c r="C126" i="10"/>
  <c r="C126" i="5"/>
  <c r="T125" i="5"/>
  <c r="H98" i="9"/>
  <c r="I98" i="9" s="1"/>
  <c r="N97" i="9"/>
  <c r="O97" i="9"/>
  <c r="P97" i="9" s="1"/>
  <c r="T130" i="9"/>
  <c r="C131" i="9"/>
  <c r="I104" i="5"/>
  <c r="I105" i="5" s="1"/>
  <c r="Q81" i="10"/>
  <c r="H82" i="10" s="1"/>
  <c r="I82" i="10" s="1"/>
  <c r="F121" i="10"/>
  <c r="L119" i="9"/>
  <c r="L119" i="10"/>
  <c r="F121" i="5"/>
  <c r="K120" i="10"/>
  <c r="M120" i="10" s="1"/>
  <c r="R121" i="10"/>
  <c r="S120" i="10"/>
  <c r="G120" i="10" s="1"/>
  <c r="J120" i="10" s="1"/>
  <c r="K120" i="9"/>
  <c r="M120" i="9" s="1"/>
  <c r="R121" i="9"/>
  <c r="S120" i="9"/>
  <c r="G120" i="9" s="1"/>
  <c r="J120" i="9" s="1"/>
  <c r="S120" i="5"/>
  <c r="G120" i="5" s="1"/>
  <c r="J120" i="5" s="1"/>
  <c r="K120" i="5"/>
  <c r="M120" i="5" s="1"/>
  <c r="R121" i="5"/>
  <c r="F121" i="9"/>
  <c r="L119" i="5"/>
  <c r="L120" i="5" s="1"/>
  <c r="T131" i="9" l="1"/>
  <c r="C132" i="9"/>
  <c r="T126" i="10"/>
  <c r="C127" i="10"/>
  <c r="T126" i="5"/>
  <c r="C127" i="5"/>
  <c r="I106" i="5"/>
  <c r="Q98" i="9"/>
  <c r="O105" i="5"/>
  <c r="P105" i="5" s="1"/>
  <c r="H106" i="5"/>
  <c r="Q106" i="5" s="1"/>
  <c r="N105" i="5"/>
  <c r="O81" i="10"/>
  <c r="P81" i="10" s="1"/>
  <c r="N81" i="10"/>
  <c r="Q82" i="10"/>
  <c r="K121" i="9"/>
  <c r="M121" i="9" s="1"/>
  <c r="R122" i="9"/>
  <c r="S121" i="9"/>
  <c r="F122" i="10"/>
  <c r="F122" i="9"/>
  <c r="G121" i="9"/>
  <c r="J121" i="9" s="1"/>
  <c r="K121" i="10"/>
  <c r="M121" i="10" s="1"/>
  <c r="R122" i="10"/>
  <c r="S121" i="10"/>
  <c r="G121" i="10" s="1"/>
  <c r="J121" i="10" s="1"/>
  <c r="L120" i="9"/>
  <c r="L121" i="9" s="1"/>
  <c r="K121" i="5"/>
  <c r="M121" i="5" s="1"/>
  <c r="R122" i="5"/>
  <c r="S121" i="5"/>
  <c r="G121" i="5" s="1"/>
  <c r="J121" i="5" s="1"/>
  <c r="F122" i="5"/>
  <c r="L120" i="10"/>
  <c r="H99" i="9" l="1"/>
  <c r="I99" i="9" s="1"/>
  <c r="N98" i="9"/>
  <c r="O98" i="9"/>
  <c r="P98" i="9" s="1"/>
  <c r="Q99" i="9"/>
  <c r="T127" i="5"/>
  <c r="C128" i="5"/>
  <c r="C128" i="10"/>
  <c r="T127" i="10"/>
  <c r="L121" i="5"/>
  <c r="H107" i="5"/>
  <c r="I107" i="5" s="1"/>
  <c r="N106" i="5"/>
  <c r="O106" i="5"/>
  <c r="P106" i="5" s="1"/>
  <c r="Q107" i="5"/>
  <c r="C133" i="9"/>
  <c r="T132" i="9"/>
  <c r="N82" i="10"/>
  <c r="H83" i="10"/>
  <c r="I83" i="10" s="1"/>
  <c r="O82" i="10"/>
  <c r="P82" i="10" s="1"/>
  <c r="F123" i="5"/>
  <c r="K122" i="10"/>
  <c r="M122" i="10" s="1"/>
  <c r="R123" i="10"/>
  <c r="S122" i="10"/>
  <c r="G122" i="10" s="1"/>
  <c r="J122" i="10" s="1"/>
  <c r="L121" i="10"/>
  <c r="F123" i="10"/>
  <c r="F123" i="9"/>
  <c r="R123" i="9"/>
  <c r="K122" i="9"/>
  <c r="M122" i="9" s="1"/>
  <c r="S122" i="9"/>
  <c r="G122" i="9" s="1"/>
  <c r="J122" i="9" s="1"/>
  <c r="R123" i="5"/>
  <c r="S122" i="5"/>
  <c r="G122" i="5" s="1"/>
  <c r="J122" i="5" s="1"/>
  <c r="K122" i="5"/>
  <c r="M122" i="5" s="1"/>
  <c r="O99" i="9" l="1"/>
  <c r="P99" i="9" s="1"/>
  <c r="H100" i="9"/>
  <c r="Q100" i="9" s="1"/>
  <c r="N99" i="9"/>
  <c r="C134" i="9"/>
  <c r="T133" i="9"/>
  <c r="H108" i="5"/>
  <c r="I108" i="5" s="1"/>
  <c r="N107" i="5"/>
  <c r="O107" i="5"/>
  <c r="P107" i="5" s="1"/>
  <c r="C129" i="10"/>
  <c r="T128" i="10"/>
  <c r="C129" i="5"/>
  <c r="T128" i="5"/>
  <c r="I100" i="9"/>
  <c r="Q83" i="10"/>
  <c r="L122" i="10"/>
  <c r="F124" i="9"/>
  <c r="F124" i="5"/>
  <c r="S123" i="5"/>
  <c r="G123" i="5" s="1"/>
  <c r="J123" i="5" s="1"/>
  <c r="R124" i="5"/>
  <c r="K123" i="5"/>
  <c r="M123" i="5" s="1"/>
  <c r="L122" i="5"/>
  <c r="L123" i="5" s="1"/>
  <c r="L122" i="9"/>
  <c r="L123" i="9" s="1"/>
  <c r="R124" i="9"/>
  <c r="K123" i="9"/>
  <c r="M123" i="9" s="1"/>
  <c r="S123" i="9"/>
  <c r="G123" i="9" s="1"/>
  <c r="J123" i="9" s="1"/>
  <c r="F124" i="10"/>
  <c r="K123" i="10"/>
  <c r="M123" i="10" s="1"/>
  <c r="R124" i="10"/>
  <c r="S123" i="10"/>
  <c r="G123" i="10" s="1"/>
  <c r="J123" i="10" s="1"/>
  <c r="O100" i="9" l="1"/>
  <c r="P100" i="9" s="1"/>
  <c r="H101" i="9"/>
  <c r="I101" i="9" s="1"/>
  <c r="N100" i="9"/>
  <c r="C130" i="5"/>
  <c r="T129" i="5"/>
  <c r="C135" i="9"/>
  <c r="T134" i="9"/>
  <c r="C130" i="10"/>
  <c r="T129" i="10"/>
  <c r="Q108" i="5"/>
  <c r="N83" i="10"/>
  <c r="H84" i="10"/>
  <c r="I84" i="10" s="1"/>
  <c r="O83" i="10"/>
  <c r="P83" i="10" s="1"/>
  <c r="R125" i="9"/>
  <c r="K124" i="9"/>
  <c r="M124" i="9" s="1"/>
  <c r="S124" i="9"/>
  <c r="G124" i="9" s="1"/>
  <c r="R125" i="5"/>
  <c r="S124" i="5"/>
  <c r="K124" i="5"/>
  <c r="M124" i="5" s="1"/>
  <c r="F125" i="9"/>
  <c r="F125" i="5"/>
  <c r="G124" i="5"/>
  <c r="L124" i="9"/>
  <c r="F125" i="10"/>
  <c r="R125" i="10"/>
  <c r="K124" i="10"/>
  <c r="M124" i="10" s="1"/>
  <c r="S124" i="10"/>
  <c r="L123" i="10"/>
  <c r="T130" i="5" l="1"/>
  <c r="C131" i="5"/>
  <c r="L124" i="5"/>
  <c r="O108" i="5"/>
  <c r="P108" i="5" s="1"/>
  <c r="N108" i="5"/>
  <c r="H109" i="5"/>
  <c r="I109" i="5" s="1"/>
  <c r="Q109" i="5"/>
  <c r="Q101" i="9"/>
  <c r="T135" i="9"/>
  <c r="C136" i="9"/>
  <c r="T130" i="10"/>
  <c r="C131" i="10"/>
  <c r="Q84" i="10"/>
  <c r="V14" i="10"/>
  <c r="AD41" i="10"/>
  <c r="V14" i="5"/>
  <c r="AD41" i="5"/>
  <c r="M21" i="3" s="1"/>
  <c r="K125" i="9"/>
  <c r="M125" i="9" s="1"/>
  <c r="R126" i="9"/>
  <c r="S125" i="9"/>
  <c r="AE41" i="9"/>
  <c r="R29" i="8" s="1"/>
  <c r="J124" i="9"/>
  <c r="AF41" i="9" s="1"/>
  <c r="W29" i="8" s="1"/>
  <c r="F126" i="10"/>
  <c r="F126" i="5"/>
  <c r="G125" i="5"/>
  <c r="J125" i="5" s="1"/>
  <c r="G124" i="10"/>
  <c r="S125" i="5"/>
  <c r="K125" i="5"/>
  <c r="M125" i="5" s="1"/>
  <c r="R126" i="5"/>
  <c r="K125" i="10"/>
  <c r="M125" i="10" s="1"/>
  <c r="R126" i="10"/>
  <c r="S125" i="10"/>
  <c r="G125" i="10" s="1"/>
  <c r="J125" i="10" s="1"/>
  <c r="AE41" i="5"/>
  <c r="M6" i="3" s="1"/>
  <c r="J124" i="5"/>
  <c r="AF41" i="5" s="1"/>
  <c r="O6" i="3" s="1"/>
  <c r="F126" i="9"/>
  <c r="G125" i="9"/>
  <c r="J125" i="9" s="1"/>
  <c r="V14" i="9"/>
  <c r="AD41" i="9"/>
  <c r="L124" i="10"/>
  <c r="O109" i="5" l="1"/>
  <c r="P109" i="5" s="1"/>
  <c r="N109" i="5"/>
  <c r="H110" i="5"/>
  <c r="I110" i="5" s="1"/>
  <c r="C132" i="10"/>
  <c r="T131" i="10"/>
  <c r="C137" i="9"/>
  <c r="T136" i="9"/>
  <c r="T131" i="5"/>
  <c r="C132" i="5"/>
  <c r="H102" i="9"/>
  <c r="N101" i="9"/>
  <c r="O101" i="9"/>
  <c r="P101" i="9" s="1"/>
  <c r="O84" i="10"/>
  <c r="P84" i="10" s="1"/>
  <c r="H85" i="10"/>
  <c r="N84" i="10"/>
  <c r="L125" i="10"/>
  <c r="R127" i="5"/>
  <c r="K126" i="5"/>
  <c r="M126" i="5" s="1"/>
  <c r="S126" i="5"/>
  <c r="F127" i="10"/>
  <c r="AE41" i="10"/>
  <c r="J124" i="10"/>
  <c r="AF41" i="10" s="1"/>
  <c r="K126" i="9"/>
  <c r="M126" i="9" s="1"/>
  <c r="S126" i="9"/>
  <c r="G126" i="9" s="1"/>
  <c r="J126" i="9" s="1"/>
  <c r="R127" i="9"/>
  <c r="F127" i="9"/>
  <c r="K126" i="10"/>
  <c r="M126" i="10" s="1"/>
  <c r="R127" i="10"/>
  <c r="S126" i="10"/>
  <c r="G126" i="10" s="1"/>
  <c r="J126" i="10" s="1"/>
  <c r="F127" i="5"/>
  <c r="G126" i="5"/>
  <c r="J126" i="5" s="1"/>
  <c r="L125" i="5"/>
  <c r="L126" i="5" s="1"/>
  <c r="L125" i="9"/>
  <c r="C138" i="9" l="1"/>
  <c r="T137" i="9"/>
  <c r="C133" i="10"/>
  <c r="T132" i="10"/>
  <c r="Q110" i="5"/>
  <c r="Q102" i="9"/>
  <c r="I102" i="9"/>
  <c r="T132" i="5"/>
  <c r="C133" i="5"/>
  <c r="L126" i="9"/>
  <c r="Q85" i="10"/>
  <c r="I85" i="10"/>
  <c r="L126" i="10"/>
  <c r="S127" i="5"/>
  <c r="G127" i="5" s="1"/>
  <c r="J127" i="5" s="1"/>
  <c r="K127" i="5"/>
  <c r="M127" i="5" s="1"/>
  <c r="R128" i="5"/>
  <c r="R128" i="10"/>
  <c r="K127" i="10"/>
  <c r="M127" i="10" s="1"/>
  <c r="S127" i="10"/>
  <c r="G127" i="10" s="1"/>
  <c r="J127" i="10" s="1"/>
  <c r="R128" i="9"/>
  <c r="K127" i="9"/>
  <c r="M127" i="9" s="1"/>
  <c r="S127" i="9"/>
  <c r="G127" i="9" s="1"/>
  <c r="J127" i="9" s="1"/>
  <c r="F128" i="9"/>
  <c r="F128" i="5"/>
  <c r="F128" i="10"/>
  <c r="T133" i="10" l="1"/>
  <c r="C134" i="10"/>
  <c r="O102" i="9"/>
  <c r="P102" i="9" s="1"/>
  <c r="H103" i="9"/>
  <c r="Q103" i="9" s="1"/>
  <c r="N102" i="9"/>
  <c r="N110" i="5"/>
  <c r="Q111" i="5"/>
  <c r="O110" i="5"/>
  <c r="P110" i="5" s="1"/>
  <c r="H111" i="5"/>
  <c r="I111" i="5" s="1"/>
  <c r="L127" i="9"/>
  <c r="C134" i="5"/>
  <c r="T133" i="5"/>
  <c r="T138" i="9"/>
  <c r="C139" i="9"/>
  <c r="O85" i="10"/>
  <c r="P85" i="10" s="1"/>
  <c r="N85" i="10"/>
  <c r="H86" i="10"/>
  <c r="Q86" i="10" s="1"/>
  <c r="L127" i="10"/>
  <c r="F129" i="10"/>
  <c r="F129" i="9"/>
  <c r="F129" i="5"/>
  <c r="R129" i="9"/>
  <c r="K128" i="9"/>
  <c r="M128" i="9" s="1"/>
  <c r="S128" i="9"/>
  <c r="G128" i="9" s="1"/>
  <c r="J128" i="9" s="1"/>
  <c r="R129" i="5"/>
  <c r="S128" i="5"/>
  <c r="G128" i="5" s="1"/>
  <c r="J128" i="5" s="1"/>
  <c r="K128" i="5"/>
  <c r="M128" i="5" s="1"/>
  <c r="R129" i="10"/>
  <c r="K128" i="10"/>
  <c r="M128" i="10" s="1"/>
  <c r="S128" i="10"/>
  <c r="G128" i="10" s="1"/>
  <c r="J128" i="10" s="1"/>
  <c r="L127" i="5"/>
  <c r="L128" i="9" l="1"/>
  <c r="H112" i="5"/>
  <c r="I112" i="5" s="1"/>
  <c r="Q112" i="5"/>
  <c r="N111" i="5"/>
  <c r="O111" i="5"/>
  <c r="P111" i="5" s="1"/>
  <c r="T139" i="9"/>
  <c r="C140" i="9"/>
  <c r="O103" i="9"/>
  <c r="P103" i="9" s="1"/>
  <c r="H104" i="9"/>
  <c r="Q104" i="9" s="1"/>
  <c r="N103" i="9"/>
  <c r="T134" i="5"/>
  <c r="C135" i="5"/>
  <c r="T134" i="10"/>
  <c r="C135" i="10"/>
  <c r="L128" i="5"/>
  <c r="L129" i="5" s="1"/>
  <c r="I103" i="9"/>
  <c r="H87" i="10"/>
  <c r="Q87" i="10" s="1"/>
  <c r="N86" i="10"/>
  <c r="O86" i="10"/>
  <c r="P86" i="10" s="1"/>
  <c r="I86" i="10"/>
  <c r="K129" i="9"/>
  <c r="M129" i="9" s="1"/>
  <c r="R130" i="9"/>
  <c r="S129" i="9"/>
  <c r="G129" i="9" s="1"/>
  <c r="J129" i="9" s="1"/>
  <c r="L128" i="10"/>
  <c r="F130" i="9"/>
  <c r="K129" i="10"/>
  <c r="M129" i="10" s="1"/>
  <c r="R130" i="10"/>
  <c r="S129" i="10"/>
  <c r="G129" i="10" s="1"/>
  <c r="J129" i="10" s="1"/>
  <c r="F130" i="5"/>
  <c r="F130" i="10"/>
  <c r="S129" i="5"/>
  <c r="G129" i="5" s="1"/>
  <c r="J129" i="5" s="1"/>
  <c r="R130" i="5"/>
  <c r="K129" i="5"/>
  <c r="M129" i="5" s="1"/>
  <c r="C136" i="10" l="1"/>
  <c r="T135" i="10"/>
  <c r="I104" i="9"/>
  <c r="T135" i="5"/>
  <c r="C136" i="5"/>
  <c r="C141" i="9"/>
  <c r="T140" i="9"/>
  <c r="L129" i="9"/>
  <c r="L130" i="9" s="1"/>
  <c r="N112" i="5"/>
  <c r="H113" i="5"/>
  <c r="Q113" i="5" s="1"/>
  <c r="O112" i="5"/>
  <c r="P112" i="5" s="1"/>
  <c r="H105" i="9"/>
  <c r="Q105" i="9" s="1"/>
  <c r="N104" i="9"/>
  <c r="O104" i="9"/>
  <c r="P104" i="9" s="1"/>
  <c r="H88" i="10"/>
  <c r="Q88" i="10" s="1"/>
  <c r="N87" i="10"/>
  <c r="O87" i="10"/>
  <c r="P87" i="10" s="1"/>
  <c r="I87" i="10"/>
  <c r="L129" i="10"/>
  <c r="S130" i="5"/>
  <c r="G130" i="5" s="1"/>
  <c r="J130" i="5" s="1"/>
  <c r="K130" i="5"/>
  <c r="M130" i="5" s="1"/>
  <c r="R131" i="5"/>
  <c r="F131" i="5"/>
  <c r="K130" i="9"/>
  <c r="M130" i="9" s="1"/>
  <c r="S130" i="9"/>
  <c r="G130" i="9" s="1"/>
  <c r="J130" i="9" s="1"/>
  <c r="R131" i="9"/>
  <c r="F131" i="10"/>
  <c r="K130" i="10"/>
  <c r="M130" i="10" s="1"/>
  <c r="R131" i="10"/>
  <c r="S130" i="10"/>
  <c r="G130" i="10" s="1"/>
  <c r="J130" i="10" s="1"/>
  <c r="F131" i="9"/>
  <c r="O105" i="9" l="1"/>
  <c r="P105" i="9" s="1"/>
  <c r="N105" i="9"/>
  <c r="H106" i="9"/>
  <c r="Q106" i="9" s="1"/>
  <c r="N113" i="5"/>
  <c r="H114" i="5"/>
  <c r="O113" i="5"/>
  <c r="P113" i="5" s="1"/>
  <c r="Q114" i="5"/>
  <c r="L130" i="5"/>
  <c r="C137" i="5"/>
  <c r="T136" i="5"/>
  <c r="C142" i="9"/>
  <c r="T141" i="9"/>
  <c r="I105" i="9"/>
  <c r="I106" i="9" s="1"/>
  <c r="I113" i="5"/>
  <c r="C137" i="10"/>
  <c r="T136" i="10"/>
  <c r="O88" i="10"/>
  <c r="P88" i="10" s="1"/>
  <c r="H89" i="10"/>
  <c r="Q89" i="10" s="1"/>
  <c r="N88" i="10"/>
  <c r="I88" i="10"/>
  <c r="L130" i="10"/>
  <c r="K131" i="5"/>
  <c r="M131" i="5" s="1"/>
  <c r="S131" i="5"/>
  <c r="G131" i="5" s="1"/>
  <c r="J131" i="5" s="1"/>
  <c r="R132" i="5"/>
  <c r="R132" i="9"/>
  <c r="K131" i="9"/>
  <c r="M131" i="9" s="1"/>
  <c r="S131" i="9"/>
  <c r="G131" i="9" s="1"/>
  <c r="J131" i="9" s="1"/>
  <c r="F132" i="5"/>
  <c r="R132" i="10"/>
  <c r="K131" i="10"/>
  <c r="M131" i="10" s="1"/>
  <c r="S131" i="10"/>
  <c r="G131" i="10" s="1"/>
  <c r="J131" i="10" s="1"/>
  <c r="F132" i="9"/>
  <c r="F132" i="10"/>
  <c r="I114" i="5" l="1"/>
  <c r="O114" i="5"/>
  <c r="P114" i="5" s="1"/>
  <c r="H115" i="5"/>
  <c r="Q115" i="5" s="1"/>
  <c r="N114" i="5"/>
  <c r="C138" i="10"/>
  <c r="T137" i="10"/>
  <c r="I115" i="5"/>
  <c r="C138" i="5"/>
  <c r="T137" i="5"/>
  <c r="C143" i="9"/>
  <c r="T142" i="9"/>
  <c r="H107" i="9"/>
  <c r="Q107" i="9" s="1"/>
  <c r="N106" i="9"/>
  <c r="O106" i="9"/>
  <c r="P106" i="9" s="1"/>
  <c r="L131" i="9"/>
  <c r="L131" i="10"/>
  <c r="O89" i="10"/>
  <c r="P89" i="10" s="1"/>
  <c r="N89" i="10"/>
  <c r="H90" i="10"/>
  <c r="Q90" i="10" s="1"/>
  <c r="I89" i="10"/>
  <c r="F133" i="9"/>
  <c r="R133" i="10"/>
  <c r="K132" i="10"/>
  <c r="M132" i="10" s="1"/>
  <c r="S132" i="10"/>
  <c r="G132" i="10" s="1"/>
  <c r="J132" i="10" s="1"/>
  <c r="F133" i="10"/>
  <c r="F133" i="5"/>
  <c r="R133" i="5"/>
  <c r="S132" i="5"/>
  <c r="G132" i="5" s="1"/>
  <c r="J132" i="5" s="1"/>
  <c r="K132" i="5"/>
  <c r="M132" i="5" s="1"/>
  <c r="L131" i="5"/>
  <c r="L132" i="5" s="1"/>
  <c r="K132" i="9"/>
  <c r="M132" i="9" s="1"/>
  <c r="R133" i="9"/>
  <c r="S132" i="9"/>
  <c r="G132" i="9" s="1"/>
  <c r="J132" i="9" s="1"/>
  <c r="T138" i="10" l="1"/>
  <c r="C139" i="10"/>
  <c r="H108" i="9"/>
  <c r="Q108" i="9" s="1"/>
  <c r="O107" i="9"/>
  <c r="P107" i="9" s="1"/>
  <c r="N107" i="9"/>
  <c r="T143" i="9"/>
  <c r="C144" i="9"/>
  <c r="N115" i="5"/>
  <c r="H116" i="5"/>
  <c r="Q116" i="5" s="1"/>
  <c r="O115" i="5"/>
  <c r="P115" i="5" s="1"/>
  <c r="T138" i="5"/>
  <c r="C139" i="5"/>
  <c r="I116" i="5"/>
  <c r="I107" i="9"/>
  <c r="I108" i="9" s="1"/>
  <c r="H91" i="10"/>
  <c r="Q91" i="10" s="1"/>
  <c r="O90" i="10"/>
  <c r="P90" i="10" s="1"/>
  <c r="N90" i="10"/>
  <c r="I90" i="10"/>
  <c r="L132" i="10"/>
  <c r="F134" i="9"/>
  <c r="L132" i="9"/>
  <c r="S133" i="5"/>
  <c r="G133" i="5" s="1"/>
  <c r="J133" i="5" s="1"/>
  <c r="R134" i="5"/>
  <c r="K133" i="5"/>
  <c r="M133" i="5" s="1"/>
  <c r="R134" i="9"/>
  <c r="K133" i="9"/>
  <c r="M133" i="9" s="1"/>
  <c r="S133" i="9"/>
  <c r="G133" i="9" s="1"/>
  <c r="J133" i="9" s="1"/>
  <c r="R134" i="10"/>
  <c r="K133" i="10"/>
  <c r="M133" i="10" s="1"/>
  <c r="S133" i="10"/>
  <c r="G133" i="10" s="1"/>
  <c r="J133" i="10" s="1"/>
  <c r="F134" i="10"/>
  <c r="F134" i="5"/>
  <c r="L133" i="5" l="1"/>
  <c r="C145" i="9"/>
  <c r="T144" i="9"/>
  <c r="N108" i="9"/>
  <c r="O108" i="9"/>
  <c r="P108" i="9" s="1"/>
  <c r="H109" i="9"/>
  <c r="Q109" i="9" s="1"/>
  <c r="I109" i="9"/>
  <c r="N116" i="5"/>
  <c r="O116" i="5"/>
  <c r="P116" i="5" s="1"/>
  <c r="H117" i="5"/>
  <c r="I117" i="5" s="1"/>
  <c r="C140" i="10"/>
  <c r="T139" i="10"/>
  <c r="T139" i="5"/>
  <c r="C140" i="5"/>
  <c r="N91" i="10"/>
  <c r="O91" i="10"/>
  <c r="P91" i="10" s="1"/>
  <c r="H92" i="10"/>
  <c r="I91" i="10"/>
  <c r="L133" i="10"/>
  <c r="F135" i="10"/>
  <c r="S134" i="5"/>
  <c r="G134" i="5" s="1"/>
  <c r="J134" i="5" s="1"/>
  <c r="K134" i="5"/>
  <c r="M134" i="5" s="1"/>
  <c r="R135" i="5"/>
  <c r="R135" i="10"/>
  <c r="K134" i="10"/>
  <c r="M134" i="10" s="1"/>
  <c r="S134" i="10"/>
  <c r="G134" i="10" s="1"/>
  <c r="J134" i="10" s="1"/>
  <c r="F135" i="9"/>
  <c r="F135" i="5"/>
  <c r="K134" i="9"/>
  <c r="M134" i="9" s="1"/>
  <c r="R135" i="9"/>
  <c r="S134" i="9"/>
  <c r="G134" i="9" s="1"/>
  <c r="J134" i="9" s="1"/>
  <c r="L133" i="9"/>
  <c r="T140" i="5" l="1"/>
  <c r="C141" i="5"/>
  <c r="C141" i="10"/>
  <c r="T140" i="10"/>
  <c r="O109" i="9"/>
  <c r="P109" i="9" s="1"/>
  <c r="N109" i="9"/>
  <c r="H110" i="9"/>
  <c r="Q110" i="9" s="1"/>
  <c r="Q117" i="5"/>
  <c r="C146" i="9"/>
  <c r="T145" i="9"/>
  <c r="I92" i="10"/>
  <c r="Q92" i="10"/>
  <c r="F136" i="10"/>
  <c r="K135" i="9"/>
  <c r="M135" i="9" s="1"/>
  <c r="R136" i="9"/>
  <c r="S135" i="9"/>
  <c r="G135" i="9" s="1"/>
  <c r="J135" i="9" s="1"/>
  <c r="F136" i="9"/>
  <c r="F136" i="5"/>
  <c r="K135" i="5"/>
  <c r="M135" i="5" s="1"/>
  <c r="S135" i="5"/>
  <c r="G135" i="5" s="1"/>
  <c r="J135" i="5" s="1"/>
  <c r="R136" i="5"/>
  <c r="K135" i="10"/>
  <c r="M135" i="10" s="1"/>
  <c r="S135" i="10"/>
  <c r="G135" i="10" s="1"/>
  <c r="J135" i="10" s="1"/>
  <c r="R136" i="10"/>
  <c r="L134" i="9"/>
  <c r="L134" i="10"/>
  <c r="L134" i="5"/>
  <c r="L135" i="9" l="1"/>
  <c r="C142" i="5"/>
  <c r="T141" i="5"/>
  <c r="L135" i="5"/>
  <c r="T146" i="9"/>
  <c r="C147" i="9"/>
  <c r="N110" i="9"/>
  <c r="O110" i="9"/>
  <c r="P110" i="9" s="1"/>
  <c r="H111" i="9"/>
  <c r="Q111" i="9" s="1"/>
  <c r="T141" i="10"/>
  <c r="C142" i="10"/>
  <c r="L135" i="10"/>
  <c r="L136" i="10" s="1"/>
  <c r="O117" i="5"/>
  <c r="P117" i="5" s="1"/>
  <c r="N117" i="5"/>
  <c r="H118" i="5"/>
  <c r="I118" i="5" s="1"/>
  <c r="Q118" i="5"/>
  <c r="I110" i="9"/>
  <c r="O92" i="10"/>
  <c r="P92" i="10" s="1"/>
  <c r="N92" i="10"/>
  <c r="H93" i="10"/>
  <c r="I93" i="10" s="1"/>
  <c r="R137" i="5"/>
  <c r="S136" i="5"/>
  <c r="V15" i="5" s="1"/>
  <c r="K136" i="5"/>
  <c r="M136" i="5" s="1"/>
  <c r="F137" i="5"/>
  <c r="F137" i="10"/>
  <c r="K136" i="10"/>
  <c r="M136" i="10" s="1"/>
  <c r="R137" i="10"/>
  <c r="S136" i="10"/>
  <c r="V15" i="10" s="1"/>
  <c r="F137" i="9"/>
  <c r="K136" i="9"/>
  <c r="M136" i="9" s="1"/>
  <c r="R137" i="9"/>
  <c r="S136" i="9"/>
  <c r="V15" i="9" s="1"/>
  <c r="L136" i="5" l="1"/>
  <c r="I111" i="9"/>
  <c r="T147" i="9"/>
  <c r="C148" i="9"/>
  <c r="N111" i="9"/>
  <c r="O111" i="9"/>
  <c r="P111" i="9" s="1"/>
  <c r="H112" i="9"/>
  <c r="Q112" i="9" s="1"/>
  <c r="L136" i="9"/>
  <c r="L137" i="9" s="1"/>
  <c r="T142" i="10"/>
  <c r="C143" i="10"/>
  <c r="N118" i="5"/>
  <c r="O118" i="5"/>
  <c r="P118" i="5" s="1"/>
  <c r="H119" i="5"/>
  <c r="I119" i="5" s="1"/>
  <c r="Q93" i="10"/>
  <c r="O93" i="10" s="1"/>
  <c r="P93" i="10" s="1"/>
  <c r="T142" i="5"/>
  <c r="C143" i="5"/>
  <c r="S137" i="5"/>
  <c r="G137" i="5" s="1"/>
  <c r="J137" i="5" s="1"/>
  <c r="R138" i="5"/>
  <c r="K137" i="5"/>
  <c r="M137" i="5" s="1"/>
  <c r="R138" i="10"/>
  <c r="K137" i="10"/>
  <c r="M137" i="10" s="1"/>
  <c r="S137" i="10"/>
  <c r="G137" i="10" s="1"/>
  <c r="J137" i="10" s="1"/>
  <c r="F138" i="5"/>
  <c r="F138" i="9"/>
  <c r="G136" i="9"/>
  <c r="J136" i="9" s="1"/>
  <c r="G136" i="10"/>
  <c r="J136" i="10" s="1"/>
  <c r="R138" i="9"/>
  <c r="K137" i="9"/>
  <c r="M137" i="9" s="1"/>
  <c r="S137" i="9"/>
  <c r="G137" i="9" s="1"/>
  <c r="J137" i="9" s="1"/>
  <c r="F138" i="10"/>
  <c r="G136" i="5"/>
  <c r="J136" i="5" s="1"/>
  <c r="H113" i="9" l="1"/>
  <c r="O112" i="9"/>
  <c r="P112" i="9" s="1"/>
  <c r="N112" i="9"/>
  <c r="Q119" i="5"/>
  <c r="N93" i="10"/>
  <c r="H94" i="10"/>
  <c r="Q94" i="10" s="1"/>
  <c r="O94" i="10" s="1"/>
  <c r="P94" i="10" s="1"/>
  <c r="C144" i="10"/>
  <c r="T143" i="10"/>
  <c r="L137" i="5"/>
  <c r="C149" i="9"/>
  <c r="T148" i="9"/>
  <c r="T143" i="5"/>
  <c r="C144" i="5"/>
  <c r="I112" i="9"/>
  <c r="L137" i="10"/>
  <c r="R139" i="9"/>
  <c r="K138" i="9"/>
  <c r="M138" i="9" s="1"/>
  <c r="S138" i="9"/>
  <c r="G138" i="9" s="1"/>
  <c r="J138" i="9" s="1"/>
  <c r="R139" i="10"/>
  <c r="K138" i="10"/>
  <c r="M138" i="10" s="1"/>
  <c r="S138" i="10"/>
  <c r="G138" i="10" s="1"/>
  <c r="J138" i="10" s="1"/>
  <c r="S138" i="5"/>
  <c r="G138" i="5" s="1"/>
  <c r="J138" i="5" s="1"/>
  <c r="K138" i="5"/>
  <c r="M138" i="5" s="1"/>
  <c r="R139" i="5"/>
  <c r="F139" i="5"/>
  <c r="F139" i="9"/>
  <c r="F139" i="10"/>
  <c r="L138" i="9"/>
  <c r="N94" i="10" l="1"/>
  <c r="I113" i="9"/>
  <c r="C145" i="10"/>
  <c r="T144" i="10"/>
  <c r="O119" i="5"/>
  <c r="P119" i="5" s="1"/>
  <c r="H120" i="5"/>
  <c r="N119" i="5"/>
  <c r="C145" i="5"/>
  <c r="T144" i="5"/>
  <c r="Q113" i="9"/>
  <c r="L138" i="5"/>
  <c r="I94" i="10"/>
  <c r="C150" i="9"/>
  <c r="T149" i="9"/>
  <c r="H95" i="10"/>
  <c r="Q95" i="10" s="1"/>
  <c r="H96" i="10" s="1"/>
  <c r="Q96" i="10" s="1"/>
  <c r="L138" i="10"/>
  <c r="K139" i="10"/>
  <c r="M139" i="10" s="1"/>
  <c r="R140" i="10"/>
  <c r="S139" i="10"/>
  <c r="G139" i="10" s="1"/>
  <c r="J139" i="10" s="1"/>
  <c r="R140" i="5"/>
  <c r="S139" i="5"/>
  <c r="K139" i="5"/>
  <c r="M139" i="5" s="1"/>
  <c r="K139" i="9"/>
  <c r="M139" i="9" s="1"/>
  <c r="R140" i="9"/>
  <c r="S139" i="9"/>
  <c r="G139" i="9" s="1"/>
  <c r="J139" i="9" s="1"/>
  <c r="F140" i="10"/>
  <c r="F140" i="9"/>
  <c r="G139" i="5"/>
  <c r="J139" i="5" s="1"/>
  <c r="F140" i="5"/>
  <c r="I95" i="10" l="1"/>
  <c r="L139" i="9"/>
  <c r="L139" i="5"/>
  <c r="O95" i="10"/>
  <c r="P95" i="10" s="1"/>
  <c r="C146" i="5"/>
  <c r="T145" i="5"/>
  <c r="Q120" i="5"/>
  <c r="I120" i="5"/>
  <c r="C151" i="9"/>
  <c r="T150" i="9"/>
  <c r="L139" i="10"/>
  <c r="N95" i="10"/>
  <c r="O113" i="9"/>
  <c r="P113" i="9" s="1"/>
  <c r="H114" i="9"/>
  <c r="N113" i="9"/>
  <c r="C146" i="10"/>
  <c r="T145" i="10"/>
  <c r="H97" i="10"/>
  <c r="Q97" i="10" s="1"/>
  <c r="N96" i="10"/>
  <c r="O96" i="10"/>
  <c r="P96" i="10" s="1"/>
  <c r="I96" i="10"/>
  <c r="S140" i="5"/>
  <c r="G140" i="5" s="1"/>
  <c r="J140" i="5" s="1"/>
  <c r="K140" i="5"/>
  <c r="M140" i="5" s="1"/>
  <c r="R141" i="5"/>
  <c r="F141" i="10"/>
  <c r="K140" i="9"/>
  <c r="M140" i="9" s="1"/>
  <c r="S140" i="9"/>
  <c r="G140" i="9" s="1"/>
  <c r="J140" i="9" s="1"/>
  <c r="R141" i="9"/>
  <c r="F141" i="5"/>
  <c r="K140" i="10"/>
  <c r="M140" i="10" s="1"/>
  <c r="R141" i="10"/>
  <c r="S140" i="10"/>
  <c r="G140" i="10" s="1"/>
  <c r="J140" i="10" s="1"/>
  <c r="F141" i="9"/>
  <c r="L140" i="5" l="1"/>
  <c r="T146" i="10"/>
  <c r="C147" i="10"/>
  <c r="N120" i="5"/>
  <c r="H121" i="5"/>
  <c r="Q121" i="5" s="1"/>
  <c r="O120" i="5"/>
  <c r="P120" i="5" s="1"/>
  <c r="I121" i="5"/>
  <c r="Q114" i="9"/>
  <c r="I114" i="9"/>
  <c r="L140" i="9"/>
  <c r="T151" i="9"/>
  <c r="C152" i="9"/>
  <c r="T146" i="5"/>
  <c r="C147" i="5"/>
  <c r="N97" i="10"/>
  <c r="O97" i="10"/>
  <c r="P97" i="10" s="1"/>
  <c r="H98" i="10"/>
  <c r="I97" i="10"/>
  <c r="L140" i="10"/>
  <c r="R142" i="9"/>
  <c r="S141" i="9"/>
  <c r="G141" i="9" s="1"/>
  <c r="J141" i="9" s="1"/>
  <c r="K141" i="9"/>
  <c r="M141" i="9" s="1"/>
  <c r="F142" i="5"/>
  <c r="F142" i="9"/>
  <c r="K141" i="5"/>
  <c r="M141" i="5" s="1"/>
  <c r="S141" i="5"/>
  <c r="G141" i="5" s="1"/>
  <c r="J141" i="5" s="1"/>
  <c r="R142" i="5"/>
  <c r="L141" i="5"/>
  <c r="R142" i="10"/>
  <c r="K141" i="10"/>
  <c r="M141" i="10" s="1"/>
  <c r="S141" i="10"/>
  <c r="G141" i="10" s="1"/>
  <c r="J141" i="10" s="1"/>
  <c r="F142" i="10"/>
  <c r="L141" i="9"/>
  <c r="N121" i="5" l="1"/>
  <c r="H122" i="5"/>
  <c r="Q122" i="5" s="1"/>
  <c r="O121" i="5"/>
  <c r="P121" i="5" s="1"/>
  <c r="T147" i="5"/>
  <c r="C148" i="5"/>
  <c r="O114" i="9"/>
  <c r="P114" i="9" s="1"/>
  <c r="H115" i="9"/>
  <c r="Q115" i="9" s="1"/>
  <c r="N114" i="9"/>
  <c r="C148" i="10"/>
  <c r="T147" i="10"/>
  <c r="I122" i="5"/>
  <c r="C153" i="9"/>
  <c r="T152" i="9"/>
  <c r="I98" i="10"/>
  <c r="Q98" i="10"/>
  <c r="F143" i="5"/>
  <c r="R143" i="9"/>
  <c r="K142" i="9"/>
  <c r="M142" i="9" s="1"/>
  <c r="S142" i="9"/>
  <c r="G142" i="9" s="1"/>
  <c r="J142" i="9" s="1"/>
  <c r="F143" i="10"/>
  <c r="L141" i="10"/>
  <c r="R143" i="10"/>
  <c r="S142" i="10"/>
  <c r="G142" i="10" s="1"/>
  <c r="J142" i="10" s="1"/>
  <c r="K142" i="10"/>
  <c r="M142" i="10" s="1"/>
  <c r="R143" i="5"/>
  <c r="K142" i="5"/>
  <c r="M142" i="5" s="1"/>
  <c r="S142" i="5"/>
  <c r="G142" i="5" s="1"/>
  <c r="J142" i="5" s="1"/>
  <c r="F143" i="9"/>
  <c r="L142" i="5" l="1"/>
  <c r="N115" i="9"/>
  <c r="O115" i="9"/>
  <c r="P115" i="9" s="1"/>
  <c r="H116" i="9"/>
  <c r="Q116" i="9" s="1"/>
  <c r="T148" i="5"/>
  <c r="C149" i="5"/>
  <c r="C154" i="9"/>
  <c r="T153" i="9"/>
  <c r="L142" i="9"/>
  <c r="O122" i="5"/>
  <c r="P122" i="5" s="1"/>
  <c r="H123" i="5"/>
  <c r="Q123" i="5" s="1"/>
  <c r="N122" i="5"/>
  <c r="I123" i="5"/>
  <c r="C149" i="10"/>
  <c r="T148" i="10"/>
  <c r="I115" i="9"/>
  <c r="I116" i="9" s="1"/>
  <c r="H99" i="10"/>
  <c r="Q99" i="10" s="1"/>
  <c r="O98" i="10"/>
  <c r="P98" i="10" s="1"/>
  <c r="N98" i="10"/>
  <c r="F144" i="5"/>
  <c r="F144" i="9"/>
  <c r="G143" i="9"/>
  <c r="J143" i="9" s="1"/>
  <c r="F144" i="10"/>
  <c r="L142" i="10"/>
  <c r="S143" i="5"/>
  <c r="G143" i="5" s="1"/>
  <c r="J143" i="5" s="1"/>
  <c r="R144" i="5"/>
  <c r="K143" i="5"/>
  <c r="M143" i="5" s="1"/>
  <c r="K143" i="10"/>
  <c r="M143" i="10" s="1"/>
  <c r="R144" i="10"/>
  <c r="S143" i="10"/>
  <c r="G143" i="10" s="1"/>
  <c r="J143" i="10" s="1"/>
  <c r="K143" i="9"/>
  <c r="M143" i="9" s="1"/>
  <c r="R144" i="9"/>
  <c r="S143" i="9"/>
  <c r="L143" i="9" l="1"/>
  <c r="H124" i="5"/>
  <c r="Q124" i="5"/>
  <c r="N123" i="5"/>
  <c r="O123" i="5"/>
  <c r="P123" i="5" s="1"/>
  <c r="C150" i="5"/>
  <c r="T149" i="5"/>
  <c r="I117" i="9"/>
  <c r="T149" i="10"/>
  <c r="C150" i="10"/>
  <c r="H117" i="9"/>
  <c r="O116" i="9"/>
  <c r="P116" i="9" s="1"/>
  <c r="Q117" i="9"/>
  <c r="N116" i="9"/>
  <c r="T154" i="9"/>
  <c r="C155" i="9"/>
  <c r="I124" i="5"/>
  <c r="L143" i="10"/>
  <c r="I99" i="10"/>
  <c r="H100" i="10"/>
  <c r="Q100" i="10" s="1"/>
  <c r="O99" i="10"/>
  <c r="P99" i="10" s="1"/>
  <c r="N99" i="10"/>
  <c r="R145" i="9"/>
  <c r="S144" i="9"/>
  <c r="G144" i="9" s="1"/>
  <c r="J144" i="9" s="1"/>
  <c r="K144" i="9"/>
  <c r="M144" i="9" s="1"/>
  <c r="F145" i="5"/>
  <c r="K144" i="10"/>
  <c r="M144" i="10" s="1"/>
  <c r="R145" i="10"/>
  <c r="S144" i="10"/>
  <c r="G144" i="10" s="1"/>
  <c r="J144" i="10" s="1"/>
  <c r="F145" i="10"/>
  <c r="S144" i="5"/>
  <c r="G144" i="5" s="1"/>
  <c r="J144" i="5" s="1"/>
  <c r="K144" i="5"/>
  <c r="M144" i="5" s="1"/>
  <c r="R145" i="5"/>
  <c r="F145" i="9"/>
  <c r="L144" i="9"/>
  <c r="L143" i="5"/>
  <c r="T150" i="5" l="1"/>
  <c r="C151" i="5"/>
  <c r="T155" i="9"/>
  <c r="C156" i="9"/>
  <c r="O117" i="9"/>
  <c r="P117" i="9" s="1"/>
  <c r="N117" i="9"/>
  <c r="H118" i="9"/>
  <c r="I118" i="9" s="1"/>
  <c r="O124" i="5"/>
  <c r="P124" i="5" s="1"/>
  <c r="N124" i="5"/>
  <c r="H125" i="5"/>
  <c r="I125" i="5" s="1"/>
  <c r="Q125" i="5"/>
  <c r="T150" i="10"/>
  <c r="C151" i="10"/>
  <c r="L144" i="10"/>
  <c r="O100" i="10"/>
  <c r="P100" i="10" s="1"/>
  <c r="N100" i="10"/>
  <c r="H101" i="10"/>
  <c r="Q101" i="10" s="1"/>
  <c r="I100" i="10"/>
  <c r="K145" i="5"/>
  <c r="M145" i="5" s="1"/>
  <c r="S145" i="5"/>
  <c r="R146" i="5"/>
  <c r="L144" i="5"/>
  <c r="F146" i="10"/>
  <c r="K145" i="9"/>
  <c r="M145" i="9" s="1"/>
  <c r="R146" i="9"/>
  <c r="S145" i="9"/>
  <c r="G145" i="9" s="1"/>
  <c r="J145" i="9" s="1"/>
  <c r="F146" i="9"/>
  <c r="K145" i="10"/>
  <c r="M145" i="10" s="1"/>
  <c r="S145" i="10"/>
  <c r="G145" i="10" s="1"/>
  <c r="J145" i="10" s="1"/>
  <c r="R146" i="10"/>
  <c r="G145" i="5"/>
  <c r="J145" i="5" s="1"/>
  <c r="F146" i="5"/>
  <c r="L145" i="9" l="1"/>
  <c r="Q118" i="9"/>
  <c r="C157" i="9"/>
  <c r="T156" i="9"/>
  <c r="T151" i="5"/>
  <c r="C152" i="5"/>
  <c r="C152" i="10"/>
  <c r="T151" i="10"/>
  <c r="O125" i="5"/>
  <c r="P125" i="5" s="1"/>
  <c r="H126" i="5"/>
  <c r="I126" i="5" s="1"/>
  <c r="N125" i="5"/>
  <c r="Q126" i="5"/>
  <c r="N101" i="10"/>
  <c r="O101" i="10"/>
  <c r="P101" i="10" s="1"/>
  <c r="H102" i="10"/>
  <c r="Q102" i="10" s="1"/>
  <c r="I101" i="10"/>
  <c r="L145" i="10"/>
  <c r="F147" i="10"/>
  <c r="F147" i="5"/>
  <c r="K146" i="10"/>
  <c r="M146" i="10" s="1"/>
  <c r="R147" i="10"/>
  <c r="S146" i="10"/>
  <c r="G146" i="10" s="1"/>
  <c r="J146" i="10" s="1"/>
  <c r="F147" i="9"/>
  <c r="R147" i="5"/>
  <c r="K146" i="5"/>
  <c r="M146" i="5" s="1"/>
  <c r="S146" i="5"/>
  <c r="G146" i="5" s="1"/>
  <c r="J146" i="5" s="1"/>
  <c r="K146" i="9"/>
  <c r="M146" i="9" s="1"/>
  <c r="R147" i="9"/>
  <c r="S146" i="9"/>
  <c r="G146" i="9" s="1"/>
  <c r="J146" i="9" s="1"/>
  <c r="L146" i="9"/>
  <c r="L145" i="5"/>
  <c r="C153" i="5" l="1"/>
  <c r="T152" i="5"/>
  <c r="L146" i="5"/>
  <c r="N126" i="5"/>
  <c r="O126" i="5"/>
  <c r="P126" i="5" s="1"/>
  <c r="H127" i="5"/>
  <c r="I127" i="5" s="1"/>
  <c r="C158" i="9"/>
  <c r="T157" i="9"/>
  <c r="C153" i="10"/>
  <c r="T152" i="10"/>
  <c r="H119" i="9"/>
  <c r="I119" i="9" s="1"/>
  <c r="Q119" i="9"/>
  <c r="O118" i="9"/>
  <c r="P118" i="9" s="1"/>
  <c r="N118" i="9"/>
  <c r="H103" i="10"/>
  <c r="O102" i="10"/>
  <c r="P102" i="10" s="1"/>
  <c r="N102" i="10"/>
  <c r="I102" i="10"/>
  <c r="F148" i="5"/>
  <c r="F148" i="9"/>
  <c r="L146" i="10"/>
  <c r="F148" i="10"/>
  <c r="K147" i="9"/>
  <c r="M147" i="9" s="1"/>
  <c r="R148" i="9"/>
  <c r="S147" i="9"/>
  <c r="G147" i="9" s="1"/>
  <c r="J147" i="9" s="1"/>
  <c r="S147" i="5"/>
  <c r="G147" i="5" s="1"/>
  <c r="J147" i="5" s="1"/>
  <c r="R148" i="5"/>
  <c r="K147" i="5"/>
  <c r="M147" i="5" s="1"/>
  <c r="K147" i="10"/>
  <c r="M147" i="10" s="1"/>
  <c r="R148" i="10"/>
  <c r="S147" i="10"/>
  <c r="G147" i="10" s="1"/>
  <c r="J147" i="10" s="1"/>
  <c r="L147" i="5" l="1"/>
  <c r="Q127" i="5"/>
  <c r="H120" i="9"/>
  <c r="I120" i="9" s="1"/>
  <c r="Q120" i="9"/>
  <c r="O119" i="9"/>
  <c r="P119" i="9" s="1"/>
  <c r="N119" i="9"/>
  <c r="C154" i="10"/>
  <c r="T153" i="10"/>
  <c r="C159" i="9"/>
  <c r="T158" i="9"/>
  <c r="C154" i="5"/>
  <c r="T153" i="5"/>
  <c r="I103" i="10"/>
  <c r="Q103" i="10"/>
  <c r="K148" i="10"/>
  <c r="M148" i="10" s="1"/>
  <c r="R149" i="10"/>
  <c r="S148" i="10"/>
  <c r="V16" i="10" s="1"/>
  <c r="F149" i="10"/>
  <c r="F149" i="5"/>
  <c r="S148" i="5"/>
  <c r="V16" i="5" s="1"/>
  <c r="R149" i="5"/>
  <c r="K148" i="5"/>
  <c r="M148" i="5" s="1"/>
  <c r="L147" i="9"/>
  <c r="R149" i="9"/>
  <c r="K148" i="9"/>
  <c r="M148" i="9" s="1"/>
  <c r="S148" i="9"/>
  <c r="V16" i="9" s="1"/>
  <c r="F149" i="9"/>
  <c r="G148" i="9"/>
  <c r="J148" i="9" s="1"/>
  <c r="L147" i="10"/>
  <c r="L148" i="5" l="1"/>
  <c r="T159" i="9"/>
  <c r="C160" i="9"/>
  <c r="N120" i="9"/>
  <c r="H121" i="9"/>
  <c r="Q121" i="9" s="1"/>
  <c r="O120" i="9"/>
  <c r="P120" i="9" s="1"/>
  <c r="T154" i="5"/>
  <c r="C155" i="5"/>
  <c r="T154" i="10"/>
  <c r="C155" i="10"/>
  <c r="H128" i="5"/>
  <c r="I128" i="5" s="1"/>
  <c r="N127" i="5"/>
  <c r="O127" i="5"/>
  <c r="P127" i="5" s="1"/>
  <c r="Q128" i="5"/>
  <c r="O103" i="10"/>
  <c r="P103" i="10" s="1"/>
  <c r="N103" i="10"/>
  <c r="H104" i="10"/>
  <c r="I104" i="10" s="1"/>
  <c r="G148" i="10"/>
  <c r="J148" i="10" s="1"/>
  <c r="R150" i="10"/>
  <c r="K149" i="10"/>
  <c r="M149" i="10" s="1"/>
  <c r="S149" i="10"/>
  <c r="G149" i="10" s="1"/>
  <c r="J149" i="10" s="1"/>
  <c r="G148" i="5"/>
  <c r="J148" i="5" s="1"/>
  <c r="F150" i="9"/>
  <c r="F150" i="5"/>
  <c r="L148" i="10"/>
  <c r="L148" i="9"/>
  <c r="S149" i="5"/>
  <c r="G149" i="5" s="1"/>
  <c r="J149" i="5" s="1"/>
  <c r="R150" i="5"/>
  <c r="K149" i="5"/>
  <c r="M149" i="5" s="1"/>
  <c r="R150" i="9"/>
  <c r="K149" i="9"/>
  <c r="M149" i="9" s="1"/>
  <c r="S149" i="9"/>
  <c r="G149" i="9" s="1"/>
  <c r="J149" i="9" s="1"/>
  <c r="F150" i="10"/>
  <c r="N121" i="9" l="1"/>
  <c r="O121" i="9"/>
  <c r="P121" i="9" s="1"/>
  <c r="H122" i="9"/>
  <c r="Q122" i="9" s="1"/>
  <c r="N128" i="5"/>
  <c r="O128" i="5"/>
  <c r="P128" i="5" s="1"/>
  <c r="H129" i="5"/>
  <c r="I129" i="5" s="1"/>
  <c r="C156" i="10"/>
  <c r="T155" i="10"/>
  <c r="C161" i="9"/>
  <c r="T160" i="9"/>
  <c r="T155" i="5"/>
  <c r="C156" i="5"/>
  <c r="I121" i="9"/>
  <c r="I122" i="9" s="1"/>
  <c r="Q104" i="10"/>
  <c r="L149" i="10"/>
  <c r="S150" i="5"/>
  <c r="G150" i="5" s="1"/>
  <c r="J150" i="5" s="1"/>
  <c r="K150" i="5"/>
  <c r="M150" i="5" s="1"/>
  <c r="R151" i="5"/>
  <c r="F151" i="9"/>
  <c r="F151" i="10"/>
  <c r="R151" i="10"/>
  <c r="K150" i="10"/>
  <c r="M150" i="10" s="1"/>
  <c r="S150" i="10"/>
  <c r="G150" i="10" s="1"/>
  <c r="J150" i="10" s="1"/>
  <c r="K150" i="9"/>
  <c r="M150" i="9" s="1"/>
  <c r="R151" i="9"/>
  <c r="S150" i="9"/>
  <c r="G150" i="9" s="1"/>
  <c r="J150" i="9" s="1"/>
  <c r="F151" i="5"/>
  <c r="L149" i="9"/>
  <c r="L149" i="5"/>
  <c r="L150" i="5" s="1"/>
  <c r="L150" i="9" l="1"/>
  <c r="C157" i="10"/>
  <c r="T156" i="10"/>
  <c r="Q129" i="5"/>
  <c r="H123" i="9"/>
  <c r="I123" i="9" s="1"/>
  <c r="N122" i="9"/>
  <c r="O122" i="9"/>
  <c r="P122" i="9" s="1"/>
  <c r="Q123" i="9"/>
  <c r="T156" i="5"/>
  <c r="C157" i="5"/>
  <c r="C162" i="9"/>
  <c r="T161" i="9"/>
  <c r="N104" i="10"/>
  <c r="O104" i="10"/>
  <c r="P104" i="10" s="1"/>
  <c r="H105" i="10"/>
  <c r="I105" i="10" s="1"/>
  <c r="F152" i="5"/>
  <c r="K151" i="5"/>
  <c r="M151" i="5" s="1"/>
  <c r="S151" i="5"/>
  <c r="G151" i="5" s="1"/>
  <c r="J151" i="5" s="1"/>
  <c r="R152" i="5"/>
  <c r="L150" i="10"/>
  <c r="K151" i="9"/>
  <c r="M151" i="9" s="1"/>
  <c r="R152" i="9"/>
  <c r="S151" i="9"/>
  <c r="G151" i="9" s="1"/>
  <c r="J151" i="9" s="1"/>
  <c r="K151" i="10"/>
  <c r="M151" i="10" s="1"/>
  <c r="R152" i="10"/>
  <c r="S151" i="10"/>
  <c r="G151" i="10" s="1"/>
  <c r="J151" i="10" s="1"/>
  <c r="F152" i="10"/>
  <c r="F152" i="9"/>
  <c r="L151" i="9" l="1"/>
  <c r="O129" i="5"/>
  <c r="P129" i="5" s="1"/>
  <c r="H130" i="5"/>
  <c r="N129" i="5"/>
  <c r="N123" i="9"/>
  <c r="O123" i="9"/>
  <c r="P123" i="9" s="1"/>
  <c r="H124" i="9"/>
  <c r="I124" i="9" s="1"/>
  <c r="T162" i="9"/>
  <c r="C163" i="9"/>
  <c r="C158" i="5"/>
  <c r="T157" i="5"/>
  <c r="T157" i="10"/>
  <c r="C158" i="10"/>
  <c r="Q105" i="10"/>
  <c r="L151" i="10"/>
  <c r="F153" i="5"/>
  <c r="F153" i="9"/>
  <c r="K152" i="10"/>
  <c r="M152" i="10" s="1"/>
  <c r="R153" i="10"/>
  <c r="S152" i="10"/>
  <c r="G152" i="10" s="1"/>
  <c r="J152" i="10" s="1"/>
  <c r="R153" i="5"/>
  <c r="S152" i="5"/>
  <c r="G152" i="5" s="1"/>
  <c r="J152" i="5" s="1"/>
  <c r="K152" i="5"/>
  <c r="M152" i="5" s="1"/>
  <c r="F153" i="10"/>
  <c r="R153" i="9"/>
  <c r="K152" i="9"/>
  <c r="M152" i="9" s="1"/>
  <c r="S152" i="9"/>
  <c r="G152" i="9" s="1"/>
  <c r="J152" i="9" s="1"/>
  <c r="L151" i="5"/>
  <c r="Q124" i="9" l="1"/>
  <c r="T158" i="10"/>
  <c r="C159" i="10"/>
  <c r="L152" i="5"/>
  <c r="T158" i="5"/>
  <c r="C159" i="5"/>
  <c r="Q130" i="5"/>
  <c r="I130" i="5"/>
  <c r="N124" i="9"/>
  <c r="O124" i="9"/>
  <c r="P124" i="9" s="1"/>
  <c r="H125" i="9"/>
  <c r="I125" i="9" s="1"/>
  <c r="T163" i="9"/>
  <c r="C164" i="9"/>
  <c r="N105" i="10"/>
  <c r="O105" i="10"/>
  <c r="P105" i="10" s="1"/>
  <c r="H106" i="10"/>
  <c r="I106" i="10" s="1"/>
  <c r="L152" i="10"/>
  <c r="S153" i="5"/>
  <c r="R154" i="5"/>
  <c r="K153" i="5"/>
  <c r="M153" i="5" s="1"/>
  <c r="R154" i="9"/>
  <c r="K153" i="9"/>
  <c r="M153" i="9" s="1"/>
  <c r="S153" i="9"/>
  <c r="G153" i="9" s="1"/>
  <c r="J153" i="9" s="1"/>
  <c r="F154" i="9"/>
  <c r="L152" i="9"/>
  <c r="F154" i="10"/>
  <c r="G153" i="5"/>
  <c r="J153" i="5" s="1"/>
  <c r="F154" i="5"/>
  <c r="R154" i="10"/>
  <c r="K153" i="10"/>
  <c r="M153" i="10" s="1"/>
  <c r="S153" i="10"/>
  <c r="G153" i="10" s="1"/>
  <c r="J153" i="10" s="1"/>
  <c r="L153" i="5" l="1"/>
  <c r="T159" i="5"/>
  <c r="C160" i="5"/>
  <c r="C160" i="10"/>
  <c r="T159" i="10"/>
  <c r="H131" i="5"/>
  <c r="Q131" i="5" s="1"/>
  <c r="N130" i="5"/>
  <c r="O130" i="5"/>
  <c r="P130" i="5" s="1"/>
  <c r="C165" i="9"/>
  <c r="T164" i="9"/>
  <c r="L153" i="9"/>
  <c r="Q125" i="9"/>
  <c r="Q106" i="10"/>
  <c r="L153" i="10"/>
  <c r="F155" i="5"/>
  <c r="G154" i="5"/>
  <c r="J154" i="5" s="1"/>
  <c r="F155" i="9"/>
  <c r="S154" i="5"/>
  <c r="K154" i="5"/>
  <c r="M154" i="5" s="1"/>
  <c r="R155" i="5"/>
  <c r="R155" i="10"/>
  <c r="K154" i="10"/>
  <c r="M154" i="10" s="1"/>
  <c r="S154" i="10"/>
  <c r="G154" i="10" s="1"/>
  <c r="J154" i="10" s="1"/>
  <c r="F155" i="10"/>
  <c r="K154" i="9"/>
  <c r="M154" i="9" s="1"/>
  <c r="R155" i="9"/>
  <c r="S154" i="9"/>
  <c r="G154" i="9" s="1"/>
  <c r="J154" i="9" s="1"/>
  <c r="L154" i="9" l="1"/>
  <c r="H132" i="5"/>
  <c r="Q132" i="5" s="1"/>
  <c r="N131" i="5"/>
  <c r="O131" i="5"/>
  <c r="P131" i="5" s="1"/>
  <c r="I131" i="5"/>
  <c r="I132" i="5" s="1"/>
  <c r="C161" i="10"/>
  <c r="T160" i="10"/>
  <c r="C161" i="5"/>
  <c r="T160" i="5"/>
  <c r="N125" i="9"/>
  <c r="H126" i="9"/>
  <c r="I126" i="9" s="1"/>
  <c r="O125" i="9"/>
  <c r="P125" i="9" s="1"/>
  <c r="C166" i="9"/>
  <c r="T165" i="9"/>
  <c r="N106" i="10"/>
  <c r="O106" i="10"/>
  <c r="P106" i="10" s="1"/>
  <c r="H107" i="10"/>
  <c r="I107" i="10" s="1"/>
  <c r="L154" i="10"/>
  <c r="F156" i="9"/>
  <c r="L154" i="5"/>
  <c r="K155" i="10"/>
  <c r="M155" i="10" s="1"/>
  <c r="S155" i="10"/>
  <c r="G155" i="10" s="1"/>
  <c r="J155" i="10" s="1"/>
  <c r="R156" i="10"/>
  <c r="K155" i="9"/>
  <c r="M155" i="9" s="1"/>
  <c r="R156" i="9"/>
  <c r="S155" i="9"/>
  <c r="G155" i="9" s="1"/>
  <c r="J155" i="9" s="1"/>
  <c r="F156" i="10"/>
  <c r="K155" i="5"/>
  <c r="M155" i="5" s="1"/>
  <c r="S155" i="5"/>
  <c r="R156" i="5"/>
  <c r="F156" i="5"/>
  <c r="G155" i="5"/>
  <c r="J155" i="5" s="1"/>
  <c r="C162" i="10" l="1"/>
  <c r="T161" i="10"/>
  <c r="C162" i="5"/>
  <c r="T161" i="5"/>
  <c r="L155" i="5"/>
  <c r="C167" i="9"/>
  <c r="T166" i="9"/>
  <c r="I133" i="5"/>
  <c r="Q126" i="9"/>
  <c r="N132" i="5"/>
  <c r="O132" i="5"/>
  <c r="P132" i="5" s="1"/>
  <c r="H133" i="5"/>
  <c r="Q133" i="5" s="1"/>
  <c r="Q107" i="10"/>
  <c r="F157" i="5"/>
  <c r="R157" i="9"/>
  <c r="K156" i="9"/>
  <c r="M156" i="9" s="1"/>
  <c r="S156" i="9"/>
  <c r="G156" i="9" s="1"/>
  <c r="J156" i="9" s="1"/>
  <c r="R157" i="5"/>
  <c r="S156" i="5"/>
  <c r="G156" i="5" s="1"/>
  <c r="J156" i="5" s="1"/>
  <c r="K156" i="5"/>
  <c r="M156" i="5" s="1"/>
  <c r="F157" i="9"/>
  <c r="L155" i="9"/>
  <c r="F157" i="10"/>
  <c r="R157" i="10"/>
  <c r="K156" i="10"/>
  <c r="M156" i="10" s="1"/>
  <c r="S156" i="10"/>
  <c r="G156" i="10" s="1"/>
  <c r="J156" i="10" s="1"/>
  <c r="L155" i="10"/>
  <c r="L156" i="9" l="1"/>
  <c r="O133" i="5"/>
  <c r="P133" i="5" s="1"/>
  <c r="H134" i="5"/>
  <c r="N133" i="5"/>
  <c r="Q134" i="5"/>
  <c r="I134" i="5"/>
  <c r="C163" i="5"/>
  <c r="T162" i="5"/>
  <c r="T167" i="9"/>
  <c r="C168" i="9"/>
  <c r="O126" i="9"/>
  <c r="P126" i="9" s="1"/>
  <c r="N126" i="9"/>
  <c r="H127" i="9"/>
  <c r="I127" i="9" s="1"/>
  <c r="T162" i="10"/>
  <c r="C163" i="10"/>
  <c r="H108" i="10"/>
  <c r="I108" i="10" s="1"/>
  <c r="O107" i="10"/>
  <c r="P107" i="10" s="1"/>
  <c r="N107" i="10"/>
  <c r="L156" i="10"/>
  <c r="F158" i="5"/>
  <c r="F158" i="9"/>
  <c r="L156" i="5"/>
  <c r="R158" i="10"/>
  <c r="K157" i="10"/>
  <c r="M157" i="10" s="1"/>
  <c r="S157" i="10"/>
  <c r="G157" i="10" s="1"/>
  <c r="J157" i="10" s="1"/>
  <c r="S157" i="5"/>
  <c r="G157" i="5" s="1"/>
  <c r="J157" i="5" s="1"/>
  <c r="R158" i="5"/>
  <c r="K157" i="5"/>
  <c r="M157" i="5" s="1"/>
  <c r="R158" i="9"/>
  <c r="K157" i="9"/>
  <c r="M157" i="9" s="1"/>
  <c r="S157" i="9"/>
  <c r="G157" i="9" s="1"/>
  <c r="J157" i="9" s="1"/>
  <c r="F158" i="10"/>
  <c r="Q127" i="9" l="1"/>
  <c r="C169" i="9"/>
  <c r="T168" i="9"/>
  <c r="T163" i="5"/>
  <c r="C164" i="5"/>
  <c r="O127" i="9"/>
  <c r="P127" i="9" s="1"/>
  <c r="H128" i="9"/>
  <c r="I128" i="9" s="1"/>
  <c r="N127" i="9"/>
  <c r="H135" i="5"/>
  <c r="Q135" i="5" s="1"/>
  <c r="N134" i="5"/>
  <c r="O134" i="5"/>
  <c r="P134" i="5" s="1"/>
  <c r="C164" i="10"/>
  <c r="T163" i="10"/>
  <c r="I135" i="5"/>
  <c r="L157" i="9"/>
  <c r="Q108" i="10"/>
  <c r="F159" i="10"/>
  <c r="R159" i="9"/>
  <c r="K158" i="9"/>
  <c r="M158" i="9" s="1"/>
  <c r="S158" i="9"/>
  <c r="G158" i="9" s="1"/>
  <c r="J158" i="9" s="1"/>
  <c r="F159" i="5"/>
  <c r="F159" i="9"/>
  <c r="L157" i="10"/>
  <c r="L157" i="5"/>
  <c r="S158" i="5"/>
  <c r="G158" i="5" s="1"/>
  <c r="J158" i="5" s="1"/>
  <c r="K158" i="5"/>
  <c r="M158" i="5" s="1"/>
  <c r="R159" i="5"/>
  <c r="R159" i="10"/>
  <c r="K158" i="10"/>
  <c r="M158" i="10" s="1"/>
  <c r="S158" i="10"/>
  <c r="G158" i="10" s="1"/>
  <c r="J158" i="10" s="1"/>
  <c r="L158" i="9" l="1"/>
  <c r="L158" i="5"/>
  <c r="Q128" i="9"/>
  <c r="O128" i="9"/>
  <c r="P128" i="9" s="1"/>
  <c r="N128" i="9"/>
  <c r="H129" i="9"/>
  <c r="I129" i="9" s="1"/>
  <c r="C165" i="10"/>
  <c r="T164" i="10"/>
  <c r="T164" i="5"/>
  <c r="C165" i="5"/>
  <c r="H136" i="5"/>
  <c r="Q136" i="5" s="1"/>
  <c r="O135" i="5"/>
  <c r="P135" i="5" s="1"/>
  <c r="N135" i="5"/>
  <c r="T169" i="9"/>
  <c r="C170" i="9"/>
  <c r="H109" i="10"/>
  <c r="I109" i="10" s="1"/>
  <c r="O108" i="10"/>
  <c r="P108" i="10" s="1"/>
  <c r="N108" i="10"/>
  <c r="K159" i="10"/>
  <c r="M159" i="10" s="1"/>
  <c r="R160" i="10"/>
  <c r="S159" i="10"/>
  <c r="G159" i="10" s="1"/>
  <c r="J159" i="10" s="1"/>
  <c r="F160" i="10"/>
  <c r="F160" i="9"/>
  <c r="F160" i="5"/>
  <c r="K159" i="9"/>
  <c r="M159" i="9" s="1"/>
  <c r="R160" i="9"/>
  <c r="S159" i="9"/>
  <c r="G159" i="9" s="1"/>
  <c r="J159" i="9" s="1"/>
  <c r="K159" i="5"/>
  <c r="M159" i="5" s="1"/>
  <c r="S159" i="5"/>
  <c r="G159" i="5" s="1"/>
  <c r="J159" i="5" s="1"/>
  <c r="R160" i="5"/>
  <c r="L158" i="10"/>
  <c r="L159" i="9" l="1"/>
  <c r="C171" i="9"/>
  <c r="T170" i="9"/>
  <c r="T165" i="10"/>
  <c r="C166" i="10"/>
  <c r="Q129" i="9"/>
  <c r="O136" i="5"/>
  <c r="P136" i="5" s="1"/>
  <c r="N136" i="5"/>
  <c r="H137" i="5"/>
  <c r="Q137" i="5" s="1"/>
  <c r="C166" i="5"/>
  <c r="T165" i="5"/>
  <c r="I136" i="5"/>
  <c r="I137" i="5" s="1"/>
  <c r="Q109" i="10"/>
  <c r="R161" i="5"/>
  <c r="S160" i="5"/>
  <c r="V17" i="5" s="1"/>
  <c r="K160" i="5"/>
  <c r="M160" i="5" s="1"/>
  <c r="F161" i="9"/>
  <c r="K160" i="10"/>
  <c r="M160" i="10" s="1"/>
  <c r="R161" i="10"/>
  <c r="S160" i="10"/>
  <c r="V17" i="10" s="1"/>
  <c r="L159" i="5"/>
  <c r="K160" i="9"/>
  <c r="M160" i="9" s="1"/>
  <c r="R161" i="9"/>
  <c r="S160" i="9"/>
  <c r="V17" i="9" s="1"/>
  <c r="F161" i="5"/>
  <c r="F161" i="10"/>
  <c r="L159" i="10"/>
  <c r="T166" i="10" l="1"/>
  <c r="C167" i="10"/>
  <c r="L160" i="5"/>
  <c r="T166" i="5"/>
  <c r="C167" i="5"/>
  <c r="T171" i="9"/>
  <c r="C172" i="9"/>
  <c r="G160" i="9"/>
  <c r="J160" i="9" s="1"/>
  <c r="O129" i="9"/>
  <c r="P129" i="9" s="1"/>
  <c r="H130" i="9"/>
  <c r="I130" i="9" s="1"/>
  <c r="Q130" i="9"/>
  <c r="N129" i="9"/>
  <c r="G160" i="5"/>
  <c r="J160" i="5" s="1"/>
  <c r="O137" i="5"/>
  <c r="P137" i="5" s="1"/>
  <c r="N137" i="5"/>
  <c r="H138" i="5"/>
  <c r="Q138" i="5" s="1"/>
  <c r="O109" i="10"/>
  <c r="P109" i="10" s="1"/>
  <c r="H110" i="10"/>
  <c r="I110" i="10" s="1"/>
  <c r="N109" i="10"/>
  <c r="G160" i="10"/>
  <c r="J160" i="10" s="1"/>
  <c r="L160" i="10"/>
  <c r="F162" i="10"/>
  <c r="R162" i="9"/>
  <c r="K161" i="9"/>
  <c r="M161" i="9" s="1"/>
  <c r="S161" i="9"/>
  <c r="G161" i="9" s="1"/>
  <c r="J161" i="9" s="1"/>
  <c r="F162" i="5"/>
  <c r="R162" i="10"/>
  <c r="K161" i="10"/>
  <c r="M161" i="10" s="1"/>
  <c r="S161" i="10"/>
  <c r="G161" i="10" s="1"/>
  <c r="J161" i="10" s="1"/>
  <c r="S161" i="5"/>
  <c r="G161" i="5" s="1"/>
  <c r="J161" i="5" s="1"/>
  <c r="R162" i="5"/>
  <c r="K161" i="5"/>
  <c r="M161" i="5" s="1"/>
  <c r="F162" i="9"/>
  <c r="L160" i="9"/>
  <c r="I138" i="5" l="1"/>
  <c r="C173" i="9"/>
  <c r="T172" i="9"/>
  <c r="T167" i="5"/>
  <c r="C168" i="5"/>
  <c r="H131" i="9"/>
  <c r="Q131" i="9" s="1"/>
  <c r="O130" i="9"/>
  <c r="P130" i="9" s="1"/>
  <c r="N130" i="9"/>
  <c r="C168" i="10"/>
  <c r="T167" i="10"/>
  <c r="L161" i="9"/>
  <c r="N138" i="5"/>
  <c r="O138" i="5"/>
  <c r="P138" i="5" s="1"/>
  <c r="H139" i="5"/>
  <c r="Q139" i="5" s="1"/>
  <c r="Q110" i="10"/>
  <c r="F163" i="10"/>
  <c r="F163" i="9"/>
  <c r="L161" i="10"/>
  <c r="F163" i="5"/>
  <c r="R163" i="10"/>
  <c r="K162" i="10"/>
  <c r="M162" i="10" s="1"/>
  <c r="S162" i="10"/>
  <c r="G162" i="10" s="1"/>
  <c r="J162" i="10" s="1"/>
  <c r="R163" i="9"/>
  <c r="K162" i="9"/>
  <c r="M162" i="9" s="1"/>
  <c r="S162" i="9"/>
  <c r="G162" i="9" s="1"/>
  <c r="J162" i="9" s="1"/>
  <c r="S162" i="5"/>
  <c r="G162" i="5" s="1"/>
  <c r="J162" i="5" s="1"/>
  <c r="K162" i="5"/>
  <c r="M162" i="5" s="1"/>
  <c r="R163" i="5"/>
  <c r="L161" i="5"/>
  <c r="H132" i="9" l="1"/>
  <c r="Q132" i="9" s="1"/>
  <c r="O131" i="9"/>
  <c r="P131" i="9" s="1"/>
  <c r="N131" i="9"/>
  <c r="C169" i="5"/>
  <c r="T168" i="5"/>
  <c r="O139" i="5"/>
  <c r="P139" i="5" s="1"/>
  <c r="H140" i="5"/>
  <c r="Q140" i="5" s="1"/>
  <c r="N139" i="5"/>
  <c r="I131" i="9"/>
  <c r="I132" i="9" s="1"/>
  <c r="I139" i="5"/>
  <c r="T168" i="10"/>
  <c r="C169" i="10"/>
  <c r="C174" i="9"/>
  <c r="T173" i="9"/>
  <c r="O110" i="10"/>
  <c r="P110" i="10" s="1"/>
  <c r="N110" i="10"/>
  <c r="H111" i="10"/>
  <c r="K163" i="10"/>
  <c r="M163" i="10" s="1"/>
  <c r="R164" i="10"/>
  <c r="S163" i="10"/>
  <c r="G163" i="10" s="1"/>
  <c r="J163" i="10" s="1"/>
  <c r="K163" i="9"/>
  <c r="M163" i="9" s="1"/>
  <c r="R164" i="9"/>
  <c r="S163" i="9"/>
  <c r="G163" i="9" s="1"/>
  <c r="J163" i="9" s="1"/>
  <c r="F164" i="10"/>
  <c r="L162" i="5"/>
  <c r="L162" i="9"/>
  <c r="R164" i="5"/>
  <c r="S163" i="5"/>
  <c r="K163" i="5"/>
  <c r="M163" i="5" s="1"/>
  <c r="F164" i="9"/>
  <c r="L162" i="10"/>
  <c r="G163" i="5"/>
  <c r="J163" i="5" s="1"/>
  <c r="F164" i="5"/>
  <c r="N140" i="5" l="1"/>
  <c r="H141" i="5"/>
  <c r="Q141" i="5" s="1"/>
  <c r="O140" i="5"/>
  <c r="P140" i="5" s="1"/>
  <c r="T174" i="9"/>
  <c r="C175" i="9"/>
  <c r="C170" i="10"/>
  <c r="T169" i="10"/>
  <c r="T169" i="5"/>
  <c r="C170" i="5"/>
  <c r="I140" i="5"/>
  <c r="I141" i="5" s="1"/>
  <c r="L163" i="9"/>
  <c r="H133" i="9"/>
  <c r="Q133" i="9" s="1"/>
  <c r="O132" i="9"/>
  <c r="P132" i="9" s="1"/>
  <c r="N132" i="9"/>
  <c r="Q111" i="10"/>
  <c r="I111" i="10"/>
  <c r="K164" i="10"/>
  <c r="M164" i="10" s="1"/>
  <c r="R165" i="10"/>
  <c r="S164" i="10"/>
  <c r="G164" i="10" s="1"/>
  <c r="J164" i="10" s="1"/>
  <c r="K164" i="9"/>
  <c r="M164" i="9" s="1"/>
  <c r="R165" i="9"/>
  <c r="S164" i="9"/>
  <c r="G164" i="9" s="1"/>
  <c r="J164" i="9" s="1"/>
  <c r="F165" i="10"/>
  <c r="F165" i="5"/>
  <c r="F165" i="9"/>
  <c r="S164" i="5"/>
  <c r="G164" i="5" s="1"/>
  <c r="J164" i="5" s="1"/>
  <c r="K164" i="5"/>
  <c r="M164" i="5" s="1"/>
  <c r="R165" i="5"/>
  <c r="L163" i="5"/>
  <c r="L164" i="5" s="1"/>
  <c r="L163" i="10"/>
  <c r="H134" i="9" l="1"/>
  <c r="N133" i="9"/>
  <c r="O133" i="9"/>
  <c r="P133" i="9" s="1"/>
  <c r="Q134" i="9"/>
  <c r="T170" i="10"/>
  <c r="C171" i="10"/>
  <c r="C176" i="9"/>
  <c r="T175" i="9"/>
  <c r="I133" i="9"/>
  <c r="I134" i="9" s="1"/>
  <c r="N141" i="5"/>
  <c r="O141" i="5"/>
  <c r="P141" i="5" s="1"/>
  <c r="H142" i="5"/>
  <c r="Q142" i="5" s="1"/>
  <c r="T170" i="5"/>
  <c r="C171" i="5"/>
  <c r="L164" i="10"/>
  <c r="O111" i="10"/>
  <c r="P111" i="10" s="1"/>
  <c r="N111" i="10"/>
  <c r="H112" i="10"/>
  <c r="Q112" i="10" s="1"/>
  <c r="F166" i="5"/>
  <c r="R166" i="9"/>
  <c r="K165" i="9"/>
  <c r="M165" i="9" s="1"/>
  <c r="S165" i="9"/>
  <c r="R166" i="10"/>
  <c r="K165" i="10"/>
  <c r="M165" i="10" s="1"/>
  <c r="S165" i="10"/>
  <c r="G165" i="10" s="1"/>
  <c r="J165" i="10" s="1"/>
  <c r="K165" i="5"/>
  <c r="M165" i="5" s="1"/>
  <c r="R166" i="5"/>
  <c r="S165" i="5"/>
  <c r="G165" i="5" s="1"/>
  <c r="J165" i="5" s="1"/>
  <c r="F166" i="9"/>
  <c r="G165" i="9"/>
  <c r="J165" i="9" s="1"/>
  <c r="F166" i="10"/>
  <c r="L164" i="9"/>
  <c r="I142" i="5" l="1"/>
  <c r="O142" i="5"/>
  <c r="P142" i="5" s="1"/>
  <c r="H143" i="5"/>
  <c r="Q143" i="5" s="1"/>
  <c r="N142" i="5"/>
  <c r="H135" i="9"/>
  <c r="Q135" i="9" s="1"/>
  <c r="N134" i="9"/>
  <c r="O134" i="9"/>
  <c r="P134" i="9" s="1"/>
  <c r="C177" i="9"/>
  <c r="T176" i="9"/>
  <c r="T171" i="5"/>
  <c r="C172" i="5"/>
  <c r="L165" i="9"/>
  <c r="T171" i="10"/>
  <c r="C172" i="10"/>
  <c r="I143" i="5"/>
  <c r="I135" i="9"/>
  <c r="N112" i="10"/>
  <c r="O112" i="10"/>
  <c r="P112" i="10" s="1"/>
  <c r="H113" i="10"/>
  <c r="Q113" i="10" s="1"/>
  <c r="I112" i="10"/>
  <c r="R167" i="9"/>
  <c r="K166" i="9"/>
  <c r="M166" i="9" s="1"/>
  <c r="S166" i="9"/>
  <c r="G166" i="9" s="1"/>
  <c r="J166" i="9" s="1"/>
  <c r="F167" i="10"/>
  <c r="R167" i="5"/>
  <c r="S166" i="5"/>
  <c r="G166" i="5" s="1"/>
  <c r="J166" i="5" s="1"/>
  <c r="K166" i="5"/>
  <c r="M166" i="5" s="1"/>
  <c r="R167" i="10"/>
  <c r="K166" i="10"/>
  <c r="M166" i="10" s="1"/>
  <c r="S166" i="10"/>
  <c r="G166" i="10" s="1"/>
  <c r="J166" i="10" s="1"/>
  <c r="F167" i="5"/>
  <c r="F167" i="9"/>
  <c r="L165" i="5"/>
  <c r="L165" i="10"/>
  <c r="L166" i="5" l="1"/>
  <c r="C173" i="10"/>
  <c r="T172" i="10"/>
  <c r="N135" i="9"/>
  <c r="O135" i="9"/>
  <c r="P135" i="9" s="1"/>
  <c r="H136" i="9"/>
  <c r="I136" i="9" s="1"/>
  <c r="C178" i="9"/>
  <c r="T177" i="9"/>
  <c r="C173" i="5"/>
  <c r="T172" i="5"/>
  <c r="N143" i="5"/>
  <c r="O143" i="5"/>
  <c r="P143" i="5" s="1"/>
  <c r="H144" i="5"/>
  <c r="Q144" i="5" s="1"/>
  <c r="O113" i="10"/>
  <c r="P113" i="10" s="1"/>
  <c r="N113" i="10"/>
  <c r="H114" i="10"/>
  <c r="Q114" i="10" s="1"/>
  <c r="I113" i="10"/>
  <c r="S167" i="5"/>
  <c r="G167" i="5" s="1"/>
  <c r="J167" i="5" s="1"/>
  <c r="R168" i="5"/>
  <c r="K167" i="5"/>
  <c r="M167" i="5" s="1"/>
  <c r="K167" i="10"/>
  <c r="M167" i="10" s="1"/>
  <c r="R168" i="10"/>
  <c r="S167" i="10"/>
  <c r="G167" i="10" s="1"/>
  <c r="J167" i="10" s="1"/>
  <c r="K167" i="9"/>
  <c r="M167" i="9" s="1"/>
  <c r="R168" i="9"/>
  <c r="S167" i="9"/>
  <c r="L166" i="10"/>
  <c r="F168" i="5"/>
  <c r="F168" i="9"/>
  <c r="G167" i="9"/>
  <c r="J167" i="9" s="1"/>
  <c r="F168" i="10"/>
  <c r="L166" i="9"/>
  <c r="I144" i="5" l="1"/>
  <c r="N144" i="5"/>
  <c r="O144" i="5"/>
  <c r="P144" i="5" s="1"/>
  <c r="H145" i="5"/>
  <c r="Q145" i="5" s="1"/>
  <c r="L167" i="9"/>
  <c r="L167" i="5"/>
  <c r="T173" i="5"/>
  <c r="C174" i="5"/>
  <c r="Q136" i="9"/>
  <c r="C174" i="10"/>
  <c r="T173" i="10"/>
  <c r="T178" i="9"/>
  <c r="C179" i="9"/>
  <c r="I114" i="10"/>
  <c r="I115" i="10" s="1"/>
  <c r="O114" i="10"/>
  <c r="P114" i="10" s="1"/>
  <c r="N114" i="10"/>
  <c r="H115" i="10"/>
  <c r="Q115" i="10" s="1"/>
  <c r="R169" i="9"/>
  <c r="K168" i="9"/>
  <c r="M168" i="9" s="1"/>
  <c r="S168" i="9"/>
  <c r="F169" i="10"/>
  <c r="K168" i="10"/>
  <c r="M168" i="10" s="1"/>
  <c r="R169" i="10"/>
  <c r="S168" i="10"/>
  <c r="G168" i="10" s="1"/>
  <c r="J168" i="10" s="1"/>
  <c r="S168" i="5"/>
  <c r="G168" i="5" s="1"/>
  <c r="J168" i="5" s="1"/>
  <c r="K168" i="5"/>
  <c r="M168" i="5" s="1"/>
  <c r="R169" i="5"/>
  <c r="L167" i="10"/>
  <c r="F169" i="5"/>
  <c r="F169" i="9"/>
  <c r="G168" i="9"/>
  <c r="J168" i="9" s="1"/>
  <c r="L168" i="5"/>
  <c r="L168" i="9" l="1"/>
  <c r="O145" i="5"/>
  <c r="P145" i="5" s="1"/>
  <c r="H146" i="5"/>
  <c r="Q146" i="5" s="1"/>
  <c r="N145" i="5"/>
  <c r="C180" i="9"/>
  <c r="T179" i="9"/>
  <c r="H137" i="9"/>
  <c r="O136" i="9"/>
  <c r="P136" i="9" s="1"/>
  <c r="N136" i="9"/>
  <c r="I145" i="5"/>
  <c r="L168" i="10"/>
  <c r="T174" i="10"/>
  <c r="C175" i="10"/>
  <c r="T174" i="5"/>
  <c r="C175" i="5"/>
  <c r="I116" i="10"/>
  <c r="O115" i="10"/>
  <c r="P115" i="10" s="1"/>
  <c r="N115" i="10"/>
  <c r="H116" i="10"/>
  <c r="Q116" i="10" s="1"/>
  <c r="K169" i="9"/>
  <c r="M169" i="9" s="1"/>
  <c r="R170" i="9"/>
  <c r="S169" i="9"/>
  <c r="G169" i="9" s="1"/>
  <c r="J169" i="9" s="1"/>
  <c r="L169" i="5"/>
  <c r="F170" i="9"/>
  <c r="F170" i="5"/>
  <c r="F170" i="10"/>
  <c r="K169" i="5"/>
  <c r="M169" i="5" s="1"/>
  <c r="S169" i="5"/>
  <c r="G169" i="5" s="1"/>
  <c r="J169" i="5" s="1"/>
  <c r="R170" i="5"/>
  <c r="K169" i="10"/>
  <c r="M169" i="10" s="1"/>
  <c r="R170" i="10"/>
  <c r="S169" i="10"/>
  <c r="G169" i="10" s="1"/>
  <c r="J169" i="10" s="1"/>
  <c r="I146" i="5" l="1"/>
  <c r="L169" i="9"/>
  <c r="Q137" i="9"/>
  <c r="I137" i="9"/>
  <c r="C176" i="10"/>
  <c r="T175" i="10"/>
  <c r="C181" i="9"/>
  <c r="T180" i="9"/>
  <c r="T175" i="5"/>
  <c r="C176" i="5"/>
  <c r="O146" i="5"/>
  <c r="P146" i="5" s="1"/>
  <c r="H147" i="5"/>
  <c r="Q147" i="5" s="1"/>
  <c r="N146" i="5"/>
  <c r="I147" i="5"/>
  <c r="L169" i="10"/>
  <c r="N116" i="10"/>
  <c r="O116" i="10"/>
  <c r="P116" i="10" s="1"/>
  <c r="H117" i="10"/>
  <c r="Q117" i="10" s="1"/>
  <c r="F171" i="5"/>
  <c r="K170" i="9"/>
  <c r="M170" i="9" s="1"/>
  <c r="R171" i="9"/>
  <c r="S170" i="9"/>
  <c r="G170" i="9" s="1"/>
  <c r="J170" i="9" s="1"/>
  <c r="K170" i="10"/>
  <c r="M170" i="10" s="1"/>
  <c r="R171" i="10"/>
  <c r="S170" i="10"/>
  <c r="G170" i="10" s="1"/>
  <c r="J170" i="10" s="1"/>
  <c r="F171" i="9"/>
  <c r="R171" i="5"/>
  <c r="K170" i="5"/>
  <c r="M170" i="5" s="1"/>
  <c r="S170" i="5"/>
  <c r="G170" i="5" s="1"/>
  <c r="J170" i="5" s="1"/>
  <c r="F171" i="10"/>
  <c r="L170" i="9"/>
  <c r="C177" i="5" l="1"/>
  <c r="T176" i="5"/>
  <c r="C177" i="10"/>
  <c r="T176" i="10"/>
  <c r="H148" i="5"/>
  <c r="Q148" i="5" s="1"/>
  <c r="O147" i="5"/>
  <c r="P147" i="5" s="1"/>
  <c r="N147" i="5"/>
  <c r="C182" i="9"/>
  <c r="T181" i="9"/>
  <c r="N137" i="9"/>
  <c r="O137" i="9"/>
  <c r="P137" i="9" s="1"/>
  <c r="H138" i="9"/>
  <c r="Q138" i="9" s="1"/>
  <c r="L170" i="10"/>
  <c r="I117" i="10"/>
  <c r="N117" i="10"/>
  <c r="O117" i="10"/>
  <c r="P117" i="10" s="1"/>
  <c r="H118" i="10"/>
  <c r="Q118" i="10" s="1"/>
  <c r="F172" i="9"/>
  <c r="F172" i="5"/>
  <c r="F172" i="10"/>
  <c r="L170" i="5"/>
  <c r="K171" i="9"/>
  <c r="M171" i="9" s="1"/>
  <c r="R172" i="9"/>
  <c r="S171" i="9"/>
  <c r="G171" i="9" s="1"/>
  <c r="J171" i="9" s="1"/>
  <c r="S171" i="5"/>
  <c r="G171" i="5" s="1"/>
  <c r="J171" i="5" s="1"/>
  <c r="R172" i="5"/>
  <c r="K171" i="5"/>
  <c r="M171" i="5" s="1"/>
  <c r="K171" i="10"/>
  <c r="M171" i="10" s="1"/>
  <c r="R172" i="10"/>
  <c r="S171" i="10"/>
  <c r="G171" i="10" s="1"/>
  <c r="J171" i="10" s="1"/>
  <c r="I148" i="5" l="1"/>
  <c r="O148" i="5"/>
  <c r="P148" i="5" s="1"/>
  <c r="H149" i="5"/>
  <c r="Q149" i="5" s="1"/>
  <c r="N148" i="5"/>
  <c r="T177" i="10"/>
  <c r="C178" i="10"/>
  <c r="N138" i="9"/>
  <c r="H139" i="9"/>
  <c r="Q139" i="9" s="1"/>
  <c r="O138" i="9"/>
  <c r="P138" i="9" s="1"/>
  <c r="T182" i="9"/>
  <c r="C183" i="9"/>
  <c r="L171" i="9"/>
  <c r="I138" i="9"/>
  <c r="T177" i="5"/>
  <c r="C178" i="5"/>
  <c r="L171" i="10"/>
  <c r="I118" i="10"/>
  <c r="N118" i="10"/>
  <c r="H119" i="10"/>
  <c r="Q119" i="10" s="1"/>
  <c r="O118" i="10"/>
  <c r="P118" i="10" s="1"/>
  <c r="S172" i="5"/>
  <c r="V18" i="5" s="1"/>
  <c r="R173" i="5"/>
  <c r="K172" i="5"/>
  <c r="M172" i="5" s="1"/>
  <c r="F173" i="9"/>
  <c r="F173" i="5"/>
  <c r="R173" i="9"/>
  <c r="K172" i="9"/>
  <c r="M172" i="9" s="1"/>
  <c r="S172" i="9"/>
  <c r="V18" i="9" s="1"/>
  <c r="F173" i="10"/>
  <c r="K172" i="10"/>
  <c r="M172" i="10" s="1"/>
  <c r="S172" i="10"/>
  <c r="V18" i="10" s="1"/>
  <c r="R173" i="10"/>
  <c r="L171" i="5"/>
  <c r="I149" i="5" l="1"/>
  <c r="H140" i="9"/>
  <c r="Q140" i="9" s="1"/>
  <c r="O139" i="9"/>
  <c r="P139" i="9" s="1"/>
  <c r="N139" i="9"/>
  <c r="T178" i="5"/>
  <c r="C179" i="5"/>
  <c r="C184" i="9"/>
  <c r="T183" i="9"/>
  <c r="C179" i="10"/>
  <c r="T178" i="10"/>
  <c r="O149" i="5"/>
  <c r="P149" i="5" s="1"/>
  <c r="H150" i="5"/>
  <c r="Q150" i="5" s="1"/>
  <c r="N149" i="5"/>
  <c r="L172" i="5"/>
  <c r="L173" i="5" s="1"/>
  <c r="I139" i="9"/>
  <c r="I140" i="9" s="1"/>
  <c r="G172" i="5"/>
  <c r="J172" i="5" s="1"/>
  <c r="I119" i="10"/>
  <c r="O119" i="10"/>
  <c r="P119" i="10" s="1"/>
  <c r="N119" i="10"/>
  <c r="H120" i="10"/>
  <c r="Q120" i="10" s="1"/>
  <c r="G172" i="9"/>
  <c r="J172" i="9" s="1"/>
  <c r="R174" i="10"/>
  <c r="K173" i="10"/>
  <c r="M173" i="10" s="1"/>
  <c r="S173" i="10"/>
  <c r="G173" i="10" s="1"/>
  <c r="J173" i="10" s="1"/>
  <c r="F174" i="10"/>
  <c r="S173" i="5"/>
  <c r="G173" i="5" s="1"/>
  <c r="J173" i="5" s="1"/>
  <c r="R174" i="5"/>
  <c r="K173" i="5"/>
  <c r="M173" i="5" s="1"/>
  <c r="F174" i="9"/>
  <c r="R174" i="9"/>
  <c r="K173" i="9"/>
  <c r="M173" i="9" s="1"/>
  <c r="S173" i="9"/>
  <c r="G173" i="9" s="1"/>
  <c r="J173" i="9" s="1"/>
  <c r="F174" i="5"/>
  <c r="L172" i="9"/>
  <c r="L172" i="10"/>
  <c r="G172" i="10"/>
  <c r="J172" i="10" s="1"/>
  <c r="I150" i="5" l="1"/>
  <c r="C185" i="9"/>
  <c r="T184" i="9"/>
  <c r="T179" i="5"/>
  <c r="C180" i="5"/>
  <c r="L173" i="9"/>
  <c r="L174" i="9" s="1"/>
  <c r="N150" i="5"/>
  <c r="Q151" i="5"/>
  <c r="H151" i="5"/>
  <c r="O150" i="5"/>
  <c r="P150" i="5" s="1"/>
  <c r="I151" i="5"/>
  <c r="C180" i="10"/>
  <c r="T179" i="10"/>
  <c r="H141" i="9"/>
  <c r="Q141" i="9" s="1"/>
  <c r="O140" i="9"/>
  <c r="P140" i="9" s="1"/>
  <c r="N140" i="9"/>
  <c r="O120" i="10"/>
  <c r="P120" i="10" s="1"/>
  <c r="H121" i="10"/>
  <c r="Q121" i="10" s="1"/>
  <c r="N120" i="10"/>
  <c r="I120" i="10"/>
  <c r="L173" i="10"/>
  <c r="K174" i="9"/>
  <c r="M174" i="9" s="1"/>
  <c r="R175" i="9"/>
  <c r="S174" i="9"/>
  <c r="G174" i="9" s="1"/>
  <c r="J174" i="9" s="1"/>
  <c r="F175" i="10"/>
  <c r="R175" i="10"/>
  <c r="K174" i="10"/>
  <c r="M174" i="10" s="1"/>
  <c r="S174" i="10"/>
  <c r="G174" i="10" s="1"/>
  <c r="J174" i="10" s="1"/>
  <c r="F175" i="5"/>
  <c r="S174" i="5"/>
  <c r="G174" i="5" s="1"/>
  <c r="J174" i="5" s="1"/>
  <c r="K174" i="5"/>
  <c r="M174" i="5" s="1"/>
  <c r="R175" i="5"/>
  <c r="F175" i="9"/>
  <c r="N151" i="5" l="1"/>
  <c r="H152" i="5"/>
  <c r="I152" i="5" s="1"/>
  <c r="O151" i="5"/>
  <c r="P151" i="5" s="1"/>
  <c r="Q152" i="5"/>
  <c r="O141" i="9"/>
  <c r="P141" i="9" s="1"/>
  <c r="N141" i="9"/>
  <c r="H142" i="9"/>
  <c r="Q142" i="9" s="1"/>
  <c r="C181" i="10"/>
  <c r="T180" i="10"/>
  <c r="C181" i="5"/>
  <c r="T180" i="5"/>
  <c r="I141" i="9"/>
  <c r="C186" i="9"/>
  <c r="T185" i="9"/>
  <c r="H122" i="10"/>
  <c r="Q122" i="10" s="1"/>
  <c r="N121" i="10"/>
  <c r="O121" i="10"/>
  <c r="P121" i="10" s="1"/>
  <c r="I121" i="10"/>
  <c r="L174" i="10"/>
  <c r="K175" i="5"/>
  <c r="M175" i="5" s="1"/>
  <c r="S175" i="5"/>
  <c r="R176" i="5"/>
  <c r="G175" i="5"/>
  <c r="J175" i="5" s="1"/>
  <c r="F176" i="5"/>
  <c r="K175" i="10"/>
  <c r="M175" i="10" s="1"/>
  <c r="R176" i="10"/>
  <c r="S175" i="10"/>
  <c r="G175" i="10" s="1"/>
  <c r="J175" i="10" s="1"/>
  <c r="K175" i="9"/>
  <c r="M175" i="9" s="1"/>
  <c r="R176" i="9"/>
  <c r="S175" i="9"/>
  <c r="G175" i="9" s="1"/>
  <c r="J175" i="9" s="1"/>
  <c r="F176" i="9"/>
  <c r="L174" i="5"/>
  <c r="F176" i="10"/>
  <c r="T186" i="9" l="1"/>
  <c r="C187" i="9"/>
  <c r="L175" i="5"/>
  <c r="I142" i="9"/>
  <c r="N152" i="5"/>
  <c r="O152" i="5"/>
  <c r="P152" i="5" s="1"/>
  <c r="H153" i="5"/>
  <c r="I153" i="5" s="1"/>
  <c r="Q153" i="5"/>
  <c r="T181" i="10"/>
  <c r="C182" i="10"/>
  <c r="T181" i="5"/>
  <c r="C182" i="5"/>
  <c r="N142" i="9"/>
  <c r="H143" i="9"/>
  <c r="Q143" i="9" s="1"/>
  <c r="O142" i="9"/>
  <c r="P142" i="9" s="1"/>
  <c r="L175" i="10"/>
  <c r="H123" i="10"/>
  <c r="Q123" i="10" s="1"/>
  <c r="N122" i="10"/>
  <c r="O122" i="10"/>
  <c r="P122" i="10" s="1"/>
  <c r="I122" i="10"/>
  <c r="F177" i="5"/>
  <c r="F177" i="10"/>
  <c r="R177" i="9"/>
  <c r="K176" i="9"/>
  <c r="M176" i="9" s="1"/>
  <c r="S176" i="9"/>
  <c r="G176" i="9" s="1"/>
  <c r="J176" i="9" s="1"/>
  <c r="F177" i="9"/>
  <c r="K176" i="10"/>
  <c r="M176" i="10" s="1"/>
  <c r="R177" i="10"/>
  <c r="S176" i="10"/>
  <c r="G176" i="10" s="1"/>
  <c r="J176" i="10" s="1"/>
  <c r="R177" i="5"/>
  <c r="K176" i="5"/>
  <c r="M176" i="5" s="1"/>
  <c r="S176" i="5"/>
  <c r="G176" i="5" s="1"/>
  <c r="J176" i="5" s="1"/>
  <c r="L175" i="9"/>
  <c r="T182" i="5" l="1"/>
  <c r="C183" i="5"/>
  <c r="I143" i="9"/>
  <c r="C183" i="10"/>
  <c r="T182" i="10"/>
  <c r="C188" i="9"/>
  <c r="T187" i="9"/>
  <c r="O153" i="5"/>
  <c r="P153" i="5" s="1"/>
  <c r="N153" i="5"/>
  <c r="H154" i="5"/>
  <c r="I154" i="5" s="1"/>
  <c r="Q154" i="5"/>
  <c r="O143" i="9"/>
  <c r="P143" i="9" s="1"/>
  <c r="N143" i="9"/>
  <c r="H144" i="9"/>
  <c r="Q144" i="9" s="1"/>
  <c r="L176" i="9"/>
  <c r="L177" i="9" s="1"/>
  <c r="N123" i="10"/>
  <c r="O123" i="10"/>
  <c r="P123" i="10" s="1"/>
  <c r="H124" i="10"/>
  <c r="Q124" i="10" s="1"/>
  <c r="I123" i="10"/>
  <c r="S177" i="5"/>
  <c r="R178" i="5"/>
  <c r="K177" i="5"/>
  <c r="M177" i="5" s="1"/>
  <c r="F178" i="10"/>
  <c r="L176" i="10"/>
  <c r="R178" i="10"/>
  <c r="K177" i="10"/>
  <c r="M177" i="10" s="1"/>
  <c r="S177" i="10"/>
  <c r="G177" i="10" s="1"/>
  <c r="J177" i="10" s="1"/>
  <c r="R178" i="9"/>
  <c r="K177" i="9"/>
  <c r="M177" i="9" s="1"/>
  <c r="S177" i="9"/>
  <c r="G177" i="9" s="1"/>
  <c r="J177" i="9" s="1"/>
  <c r="F178" i="5"/>
  <c r="G177" i="5"/>
  <c r="J177" i="5" s="1"/>
  <c r="F178" i="9"/>
  <c r="L176" i="5"/>
  <c r="L177" i="5" l="1"/>
  <c r="C184" i="10"/>
  <c r="T183" i="10"/>
  <c r="H155" i="5"/>
  <c r="I155" i="5" s="1"/>
  <c r="O154" i="5"/>
  <c r="P154" i="5" s="1"/>
  <c r="N154" i="5"/>
  <c r="Q155" i="5"/>
  <c r="I144" i="9"/>
  <c r="I145" i="9" s="1"/>
  <c r="C189" i="9"/>
  <c r="T188" i="9"/>
  <c r="T183" i="5"/>
  <c r="C184" i="5"/>
  <c r="N144" i="9"/>
  <c r="H145" i="9"/>
  <c r="Q145" i="9" s="1"/>
  <c r="O144" i="9"/>
  <c r="P144" i="9" s="1"/>
  <c r="O124" i="10"/>
  <c r="P124" i="10" s="1"/>
  <c r="N124" i="10"/>
  <c r="H125" i="10"/>
  <c r="Q125" i="10" s="1"/>
  <c r="I124" i="10"/>
  <c r="F179" i="10"/>
  <c r="R179" i="10"/>
  <c r="K178" i="10"/>
  <c r="M178" i="10" s="1"/>
  <c r="S178" i="10"/>
  <c r="G178" i="10" s="1"/>
  <c r="J178" i="10" s="1"/>
  <c r="K178" i="9"/>
  <c r="M178" i="9" s="1"/>
  <c r="R179" i="9"/>
  <c r="S178" i="9"/>
  <c r="F179" i="9"/>
  <c r="G178" i="9"/>
  <c r="J178" i="9" s="1"/>
  <c r="S178" i="5"/>
  <c r="G178" i="5" s="1"/>
  <c r="J178" i="5" s="1"/>
  <c r="K178" i="5"/>
  <c r="M178" i="5" s="1"/>
  <c r="R179" i="5"/>
  <c r="L177" i="10"/>
  <c r="F179" i="5"/>
  <c r="H156" i="5" l="1"/>
  <c r="I156" i="5" s="1"/>
  <c r="O155" i="5"/>
  <c r="P155" i="5" s="1"/>
  <c r="N155" i="5"/>
  <c r="C185" i="5"/>
  <c r="T184" i="5"/>
  <c r="C190" i="9"/>
  <c r="T189" i="9"/>
  <c r="O145" i="9"/>
  <c r="P145" i="9" s="1"/>
  <c r="N145" i="9"/>
  <c r="H146" i="9"/>
  <c r="Q146" i="9" s="1"/>
  <c r="C185" i="10"/>
  <c r="T184" i="10"/>
  <c r="N125" i="10"/>
  <c r="H126" i="10"/>
  <c r="Q126" i="10" s="1"/>
  <c r="O125" i="10"/>
  <c r="P125" i="10" s="1"/>
  <c r="I125" i="10"/>
  <c r="L178" i="10"/>
  <c r="F180" i="5"/>
  <c r="K179" i="9"/>
  <c r="M179" i="9" s="1"/>
  <c r="R180" i="9"/>
  <c r="S179" i="9"/>
  <c r="G179" i="9" s="1"/>
  <c r="J179" i="9" s="1"/>
  <c r="F180" i="10"/>
  <c r="L178" i="9"/>
  <c r="K179" i="5"/>
  <c r="M179" i="5" s="1"/>
  <c r="R180" i="5"/>
  <c r="S179" i="5"/>
  <c r="G179" i="5" s="1"/>
  <c r="J179" i="5" s="1"/>
  <c r="F180" i="9"/>
  <c r="K179" i="10"/>
  <c r="M179" i="10" s="1"/>
  <c r="R180" i="10"/>
  <c r="S179" i="10"/>
  <c r="G179" i="10" s="1"/>
  <c r="J179" i="10" s="1"/>
  <c r="L178" i="5"/>
  <c r="L179" i="5" s="1"/>
  <c r="Q156" i="5" l="1"/>
  <c r="L179" i="9"/>
  <c r="T185" i="10"/>
  <c r="C186" i="10"/>
  <c r="H157" i="5"/>
  <c r="N156" i="5"/>
  <c r="O156" i="5"/>
  <c r="P156" i="5" s="1"/>
  <c r="Q157" i="5"/>
  <c r="N146" i="9"/>
  <c r="H147" i="9"/>
  <c r="Q147" i="9" s="1"/>
  <c r="O146" i="9"/>
  <c r="P146" i="9" s="1"/>
  <c r="T190" i="9"/>
  <c r="C191" i="9"/>
  <c r="T185" i="5"/>
  <c r="C186" i="5"/>
  <c r="I157" i="5"/>
  <c r="I146" i="9"/>
  <c r="I126" i="10"/>
  <c r="O126" i="10"/>
  <c r="P126" i="10" s="1"/>
  <c r="N126" i="10"/>
  <c r="H127" i="10"/>
  <c r="Q127" i="10" s="1"/>
  <c r="R181" i="10"/>
  <c r="K180" i="10"/>
  <c r="M180" i="10" s="1"/>
  <c r="S180" i="10"/>
  <c r="G180" i="10" s="1"/>
  <c r="J180" i="10" s="1"/>
  <c r="F181" i="10"/>
  <c r="F181" i="5"/>
  <c r="R181" i="5"/>
  <c r="S180" i="5"/>
  <c r="G180" i="5" s="1"/>
  <c r="J180" i="5" s="1"/>
  <c r="K180" i="5"/>
  <c r="M180" i="5" s="1"/>
  <c r="F181" i="9"/>
  <c r="R181" i="9"/>
  <c r="K180" i="9"/>
  <c r="M180" i="9" s="1"/>
  <c r="S180" i="9"/>
  <c r="G180" i="9" s="1"/>
  <c r="J180" i="9" s="1"/>
  <c r="L179" i="10"/>
  <c r="H148" i="9" l="1"/>
  <c r="Q148" i="9" s="1"/>
  <c r="O147" i="9"/>
  <c r="P147" i="9" s="1"/>
  <c r="N147" i="9"/>
  <c r="L180" i="5"/>
  <c r="H158" i="5"/>
  <c r="I158" i="5" s="1"/>
  <c r="N157" i="5"/>
  <c r="O157" i="5"/>
  <c r="P157" i="5" s="1"/>
  <c r="Q158" i="5"/>
  <c r="C192" i="9"/>
  <c r="T191" i="9"/>
  <c r="C187" i="10"/>
  <c r="T186" i="10"/>
  <c r="I147" i="9"/>
  <c r="I148" i="9" s="1"/>
  <c r="T186" i="5"/>
  <c r="C187" i="5"/>
  <c r="L180" i="9"/>
  <c r="L181" i="9" s="1"/>
  <c r="H128" i="10"/>
  <c r="Q128" i="10" s="1"/>
  <c r="O127" i="10"/>
  <c r="P127" i="10" s="1"/>
  <c r="N127" i="10"/>
  <c r="I127" i="10"/>
  <c r="L180" i="10"/>
  <c r="F182" i="10"/>
  <c r="K181" i="9"/>
  <c r="M181" i="9" s="1"/>
  <c r="R182" i="9"/>
  <c r="S181" i="9"/>
  <c r="G181" i="9" s="1"/>
  <c r="J181" i="9" s="1"/>
  <c r="F182" i="9"/>
  <c r="R182" i="10"/>
  <c r="K181" i="10"/>
  <c r="M181" i="10" s="1"/>
  <c r="S181" i="10"/>
  <c r="G181" i="10" s="1"/>
  <c r="J181" i="10" s="1"/>
  <c r="S181" i="5"/>
  <c r="G181" i="5" s="1"/>
  <c r="J181" i="5" s="1"/>
  <c r="R182" i="5"/>
  <c r="K181" i="5"/>
  <c r="M181" i="5" s="1"/>
  <c r="F182" i="5"/>
  <c r="L181" i="5" l="1"/>
  <c r="O158" i="5"/>
  <c r="P158" i="5" s="1"/>
  <c r="N158" i="5"/>
  <c r="H159" i="5"/>
  <c r="Q159" i="5" s="1"/>
  <c r="I159" i="5"/>
  <c r="T187" i="5"/>
  <c r="C188" i="5"/>
  <c r="I149" i="9"/>
  <c r="C188" i="10"/>
  <c r="T187" i="10"/>
  <c r="C193" i="9"/>
  <c r="T192" i="9"/>
  <c r="O148" i="9"/>
  <c r="P148" i="9" s="1"/>
  <c r="H149" i="9"/>
  <c r="Q149" i="9" s="1"/>
  <c r="N148" i="9"/>
  <c r="N128" i="10"/>
  <c r="H129" i="10"/>
  <c r="Q129" i="10" s="1"/>
  <c r="O128" i="10"/>
  <c r="P128" i="10" s="1"/>
  <c r="I128" i="10"/>
  <c r="F183" i="9"/>
  <c r="F183" i="10"/>
  <c r="L181" i="10"/>
  <c r="F183" i="5"/>
  <c r="S182" i="5"/>
  <c r="G182" i="5" s="1"/>
  <c r="J182" i="5" s="1"/>
  <c r="K182" i="5"/>
  <c r="M182" i="5" s="1"/>
  <c r="R183" i="5"/>
  <c r="K182" i="10"/>
  <c r="M182" i="10" s="1"/>
  <c r="R183" i="10"/>
  <c r="S182" i="10"/>
  <c r="G182" i="10" s="1"/>
  <c r="J182" i="10" s="1"/>
  <c r="R183" i="9"/>
  <c r="K182" i="9"/>
  <c r="M182" i="9" s="1"/>
  <c r="S182" i="9"/>
  <c r="G182" i="9" s="1"/>
  <c r="J182" i="9" s="1"/>
  <c r="L182" i="9" l="1"/>
  <c r="O159" i="5"/>
  <c r="P159" i="5" s="1"/>
  <c r="N159" i="5"/>
  <c r="H160" i="5"/>
  <c r="Q160" i="5" s="1"/>
  <c r="I160" i="5"/>
  <c r="H150" i="9"/>
  <c r="Q150" i="9" s="1"/>
  <c r="N149" i="9"/>
  <c r="O149" i="9"/>
  <c r="P149" i="9" s="1"/>
  <c r="C189" i="5"/>
  <c r="T188" i="5"/>
  <c r="C194" i="9"/>
  <c r="T193" i="9"/>
  <c r="C189" i="10"/>
  <c r="T188" i="10"/>
  <c r="O129" i="10"/>
  <c r="P129" i="10" s="1"/>
  <c r="N129" i="10"/>
  <c r="H130" i="10"/>
  <c r="Q130" i="10" s="1"/>
  <c r="I129" i="10"/>
  <c r="L182" i="10"/>
  <c r="F184" i="5"/>
  <c r="L183" i="9"/>
  <c r="L182" i="5"/>
  <c r="R184" i="10"/>
  <c r="K183" i="10"/>
  <c r="M183" i="10" s="1"/>
  <c r="S183" i="10"/>
  <c r="G183" i="10" s="1"/>
  <c r="J183" i="10" s="1"/>
  <c r="R184" i="9"/>
  <c r="K183" i="9"/>
  <c r="M183" i="9" s="1"/>
  <c r="S183" i="9"/>
  <c r="G183" i="9" s="1"/>
  <c r="J183" i="9" s="1"/>
  <c r="K183" i="5"/>
  <c r="M183" i="5" s="1"/>
  <c r="R184" i="5"/>
  <c r="S183" i="5"/>
  <c r="G183" i="5" s="1"/>
  <c r="J183" i="5" s="1"/>
  <c r="F184" i="10"/>
  <c r="F184" i="9"/>
  <c r="N150" i="9" l="1"/>
  <c r="H151" i="9"/>
  <c r="Q151" i="9"/>
  <c r="O150" i="9"/>
  <c r="P150" i="9" s="1"/>
  <c r="T189" i="10"/>
  <c r="C190" i="10"/>
  <c r="I150" i="9"/>
  <c r="I151" i="9" s="1"/>
  <c r="O160" i="5"/>
  <c r="P160" i="5" s="1"/>
  <c r="N160" i="5"/>
  <c r="H161" i="5"/>
  <c r="Q161" i="5" s="1"/>
  <c r="I161" i="5"/>
  <c r="T194" i="9"/>
  <c r="C195" i="9"/>
  <c r="T189" i="5"/>
  <c r="C190" i="5"/>
  <c r="O130" i="10"/>
  <c r="P130" i="10" s="1"/>
  <c r="N130" i="10"/>
  <c r="H131" i="10"/>
  <c r="Q131" i="10" s="1"/>
  <c r="I130" i="10"/>
  <c r="R185" i="5"/>
  <c r="K184" i="5"/>
  <c r="M184" i="5" s="1"/>
  <c r="S184" i="5"/>
  <c r="G184" i="5" s="1"/>
  <c r="K184" i="9"/>
  <c r="M184" i="9" s="1"/>
  <c r="R185" i="9"/>
  <c r="S184" i="9"/>
  <c r="L183" i="5"/>
  <c r="R185" i="10"/>
  <c r="K184" i="10"/>
  <c r="M184" i="10" s="1"/>
  <c r="S184" i="10"/>
  <c r="G184" i="10" s="1"/>
  <c r="F185" i="5"/>
  <c r="F185" i="9"/>
  <c r="G184" i="9"/>
  <c r="F185" i="10"/>
  <c r="L183" i="10"/>
  <c r="L184" i="10" s="1"/>
  <c r="T190" i="5" l="1"/>
  <c r="C191" i="5"/>
  <c r="C191" i="10"/>
  <c r="T190" i="10"/>
  <c r="N151" i="9"/>
  <c r="O151" i="9"/>
  <c r="P151" i="9" s="1"/>
  <c r="H152" i="9"/>
  <c r="I152" i="9" s="1"/>
  <c r="L184" i="5"/>
  <c r="L185" i="5" s="1"/>
  <c r="H162" i="5"/>
  <c r="Q162" i="5" s="1"/>
  <c r="N161" i="5"/>
  <c r="O161" i="5"/>
  <c r="P161" i="5" s="1"/>
  <c r="C196" i="9"/>
  <c r="T195" i="9"/>
  <c r="L184" i="9"/>
  <c r="L185" i="9" s="1"/>
  <c r="I162" i="5"/>
  <c r="O131" i="10"/>
  <c r="P131" i="10" s="1"/>
  <c r="N131" i="10"/>
  <c r="H132" i="10"/>
  <c r="Q132" i="10" s="1"/>
  <c r="I131" i="10"/>
  <c r="K185" i="9"/>
  <c r="M185" i="9" s="1"/>
  <c r="R186" i="9"/>
  <c r="S185" i="9"/>
  <c r="G185" i="9" s="1"/>
  <c r="J185" i="9" s="1"/>
  <c r="J184" i="10"/>
  <c r="AF42" i="10" s="1"/>
  <c r="AE42" i="10"/>
  <c r="F186" i="5"/>
  <c r="K185" i="10"/>
  <c r="M185" i="10" s="1"/>
  <c r="S185" i="10"/>
  <c r="G185" i="10" s="1"/>
  <c r="J185" i="10" s="1"/>
  <c r="R186" i="10"/>
  <c r="V19" i="9"/>
  <c r="AD42" i="9"/>
  <c r="S185" i="5"/>
  <c r="G185" i="5" s="1"/>
  <c r="J185" i="5" s="1"/>
  <c r="K185" i="5"/>
  <c r="M185" i="5" s="1"/>
  <c r="R186" i="5"/>
  <c r="F186" i="9"/>
  <c r="V19" i="5"/>
  <c r="AD42" i="5"/>
  <c r="M22" i="3" s="1"/>
  <c r="F186" i="10"/>
  <c r="AE42" i="5"/>
  <c r="M7" i="3" s="1"/>
  <c r="J184" i="5"/>
  <c r="AF42" i="5" s="1"/>
  <c r="O7" i="3" s="1"/>
  <c r="AE42" i="9"/>
  <c r="R30" i="8" s="1"/>
  <c r="J184" i="9"/>
  <c r="AF42" i="9" s="1"/>
  <c r="W30" i="8" s="1"/>
  <c r="V19" i="10"/>
  <c r="AD42" i="10"/>
  <c r="Q152" i="9" l="1"/>
  <c r="C197" i="9"/>
  <c r="T196" i="9"/>
  <c r="C192" i="10"/>
  <c r="T191" i="10"/>
  <c r="H163" i="5"/>
  <c r="I163" i="5" s="1"/>
  <c r="N162" i="5"/>
  <c r="O162" i="5"/>
  <c r="P162" i="5" s="1"/>
  <c r="T191" i="5"/>
  <c r="C192" i="5"/>
  <c r="N132" i="10"/>
  <c r="H133" i="10"/>
  <c r="Q133" i="10" s="1"/>
  <c r="O132" i="10"/>
  <c r="P132" i="10" s="1"/>
  <c r="I132" i="10"/>
  <c r="L185" i="10"/>
  <c r="F187" i="10"/>
  <c r="F187" i="5"/>
  <c r="R187" i="5"/>
  <c r="S186" i="5"/>
  <c r="G186" i="5" s="1"/>
  <c r="J186" i="5" s="1"/>
  <c r="K186" i="5"/>
  <c r="M186" i="5" s="1"/>
  <c r="F187" i="9"/>
  <c r="K186" i="10"/>
  <c r="M186" i="10" s="1"/>
  <c r="R187" i="10"/>
  <c r="S186" i="10"/>
  <c r="G186" i="10" s="1"/>
  <c r="J186" i="10" s="1"/>
  <c r="R187" i="9"/>
  <c r="K186" i="9"/>
  <c r="M186" i="9" s="1"/>
  <c r="S186" i="9"/>
  <c r="G186" i="9" s="1"/>
  <c r="J186" i="9" s="1"/>
  <c r="C193" i="10" l="1"/>
  <c r="T192" i="10"/>
  <c r="C193" i="5"/>
  <c r="T192" i="5"/>
  <c r="C198" i="9"/>
  <c r="T197" i="9"/>
  <c r="Q163" i="5"/>
  <c r="Q153" i="9"/>
  <c r="H153" i="9"/>
  <c r="I153" i="9" s="1"/>
  <c r="N152" i="9"/>
  <c r="O152" i="9"/>
  <c r="P152" i="9" s="1"/>
  <c r="H134" i="10"/>
  <c r="Q134" i="10" s="1"/>
  <c r="N133" i="10"/>
  <c r="O133" i="10"/>
  <c r="P133" i="10" s="1"/>
  <c r="I133" i="10"/>
  <c r="F188" i="9"/>
  <c r="R188" i="9"/>
  <c r="K187" i="9"/>
  <c r="M187" i="9" s="1"/>
  <c r="S187" i="9"/>
  <c r="G187" i="9" s="1"/>
  <c r="J187" i="9" s="1"/>
  <c r="F188" i="10"/>
  <c r="L186" i="10"/>
  <c r="L186" i="9"/>
  <c r="L186" i="5"/>
  <c r="R188" i="10"/>
  <c r="K187" i="10"/>
  <c r="M187" i="10" s="1"/>
  <c r="S187" i="10"/>
  <c r="G187" i="10" s="1"/>
  <c r="J187" i="10" s="1"/>
  <c r="S187" i="5"/>
  <c r="G187" i="5" s="1"/>
  <c r="J187" i="5" s="1"/>
  <c r="K187" i="5"/>
  <c r="M187" i="5" s="1"/>
  <c r="R188" i="5"/>
  <c r="F188" i="5"/>
  <c r="N163" i="5" l="1"/>
  <c r="H164" i="5"/>
  <c r="I164" i="5" s="1"/>
  <c r="O163" i="5"/>
  <c r="P163" i="5" s="1"/>
  <c r="T198" i="9"/>
  <c r="C199" i="9"/>
  <c r="T193" i="5"/>
  <c r="C194" i="5"/>
  <c r="H154" i="9"/>
  <c r="I154" i="9" s="1"/>
  <c r="O153" i="9"/>
  <c r="P153" i="9" s="1"/>
  <c r="N153" i="9"/>
  <c r="T193" i="10"/>
  <c r="C194" i="10"/>
  <c r="H135" i="10"/>
  <c r="Q135" i="10" s="1"/>
  <c r="O134" i="10"/>
  <c r="P134" i="10" s="1"/>
  <c r="N134" i="10"/>
  <c r="I134" i="10"/>
  <c r="F189" i="9"/>
  <c r="F189" i="5"/>
  <c r="F189" i="10"/>
  <c r="L187" i="5"/>
  <c r="L187" i="9"/>
  <c r="R189" i="5"/>
  <c r="S188" i="5"/>
  <c r="G188" i="5" s="1"/>
  <c r="J188" i="5" s="1"/>
  <c r="K188" i="5"/>
  <c r="M188" i="5" s="1"/>
  <c r="R189" i="10"/>
  <c r="K188" i="10"/>
  <c r="M188" i="10" s="1"/>
  <c r="S188" i="10"/>
  <c r="G188" i="10" s="1"/>
  <c r="J188" i="10" s="1"/>
  <c r="K188" i="9"/>
  <c r="M188" i="9" s="1"/>
  <c r="R189" i="9"/>
  <c r="S188" i="9"/>
  <c r="G188" i="9" s="1"/>
  <c r="J188" i="9" s="1"/>
  <c r="L187" i="10"/>
  <c r="Q154" i="9" l="1"/>
  <c r="T194" i="5"/>
  <c r="C195" i="5"/>
  <c r="H155" i="9"/>
  <c r="I155" i="9" s="1"/>
  <c r="N154" i="9"/>
  <c r="O154" i="9"/>
  <c r="P154" i="9" s="1"/>
  <c r="Q155" i="9"/>
  <c r="C195" i="10"/>
  <c r="T194" i="10"/>
  <c r="C200" i="9"/>
  <c r="T199" i="9"/>
  <c r="Q164" i="5"/>
  <c r="N135" i="10"/>
  <c r="H136" i="10"/>
  <c r="Q136" i="10" s="1"/>
  <c r="O135" i="10"/>
  <c r="P135" i="10" s="1"/>
  <c r="I135" i="10"/>
  <c r="L188" i="10"/>
  <c r="K189" i="9"/>
  <c r="M189" i="9" s="1"/>
  <c r="R190" i="9"/>
  <c r="S189" i="9"/>
  <c r="G189" i="9" s="1"/>
  <c r="J189" i="9" s="1"/>
  <c r="S189" i="5"/>
  <c r="G189" i="5" s="1"/>
  <c r="J189" i="5" s="1"/>
  <c r="R190" i="5"/>
  <c r="K189" i="5"/>
  <c r="M189" i="5" s="1"/>
  <c r="F190" i="10"/>
  <c r="F190" i="9"/>
  <c r="L188" i="5"/>
  <c r="F190" i="5"/>
  <c r="K189" i="10"/>
  <c r="M189" i="10" s="1"/>
  <c r="R190" i="10"/>
  <c r="S189" i="10"/>
  <c r="G189" i="10" s="1"/>
  <c r="J189" i="10" s="1"/>
  <c r="L188" i="9"/>
  <c r="L189" i="9" s="1"/>
  <c r="L189" i="5" l="1"/>
  <c r="C196" i="10"/>
  <c r="T195" i="10"/>
  <c r="H165" i="5"/>
  <c r="I165" i="5" s="1"/>
  <c r="N164" i="5"/>
  <c r="Q165" i="5"/>
  <c r="O164" i="5"/>
  <c r="P164" i="5" s="1"/>
  <c r="C196" i="5"/>
  <c r="T195" i="5"/>
  <c r="N155" i="9"/>
  <c r="O155" i="9"/>
  <c r="P155" i="9" s="1"/>
  <c r="H156" i="9"/>
  <c r="I156" i="9" s="1"/>
  <c r="C201" i="9"/>
  <c r="T200" i="9"/>
  <c r="O136" i="10"/>
  <c r="P136" i="10" s="1"/>
  <c r="N136" i="10"/>
  <c r="H137" i="10"/>
  <c r="Q137" i="10" s="1"/>
  <c r="I136" i="10"/>
  <c r="K190" i="10"/>
  <c r="M190" i="10" s="1"/>
  <c r="R191" i="10"/>
  <c r="S190" i="10"/>
  <c r="G190" i="10" s="1"/>
  <c r="J190" i="10" s="1"/>
  <c r="F191" i="9"/>
  <c r="S190" i="5"/>
  <c r="G190" i="5" s="1"/>
  <c r="J190" i="5" s="1"/>
  <c r="K190" i="5"/>
  <c r="M190" i="5" s="1"/>
  <c r="R191" i="5"/>
  <c r="R191" i="9"/>
  <c r="S190" i="9"/>
  <c r="G190" i="9" s="1"/>
  <c r="J190" i="9" s="1"/>
  <c r="K190" i="9"/>
  <c r="M190" i="9" s="1"/>
  <c r="F191" i="5"/>
  <c r="F191" i="10"/>
  <c r="L189" i="10"/>
  <c r="C197" i="5" l="1"/>
  <c r="T196" i="5"/>
  <c r="H166" i="5"/>
  <c r="I166" i="5" s="1"/>
  <c r="N165" i="5"/>
  <c r="O165" i="5"/>
  <c r="P165" i="5" s="1"/>
  <c r="Q166" i="5"/>
  <c r="C202" i="9"/>
  <c r="T201" i="9"/>
  <c r="Q156" i="9"/>
  <c r="L190" i="5"/>
  <c r="C197" i="10"/>
  <c r="T196" i="10"/>
  <c r="H138" i="10"/>
  <c r="Q138" i="10" s="1"/>
  <c r="O137" i="10"/>
  <c r="P137" i="10" s="1"/>
  <c r="N137" i="10"/>
  <c r="I137" i="10"/>
  <c r="F192" i="5"/>
  <c r="K191" i="10"/>
  <c r="M191" i="10" s="1"/>
  <c r="R192" i="10"/>
  <c r="S191" i="10"/>
  <c r="G191" i="10" s="1"/>
  <c r="J191" i="10" s="1"/>
  <c r="K191" i="9"/>
  <c r="M191" i="9" s="1"/>
  <c r="R192" i="9"/>
  <c r="S191" i="9"/>
  <c r="G191" i="9" s="1"/>
  <c r="J191" i="9" s="1"/>
  <c r="L190" i="9"/>
  <c r="L191" i="9" s="1"/>
  <c r="F192" i="10"/>
  <c r="K191" i="5"/>
  <c r="M191" i="5" s="1"/>
  <c r="S191" i="5"/>
  <c r="G191" i="5" s="1"/>
  <c r="J191" i="5" s="1"/>
  <c r="R192" i="5"/>
  <c r="F192" i="9"/>
  <c r="L190" i="10"/>
  <c r="T202" i="9" l="1"/>
  <c r="C203" i="9"/>
  <c r="T197" i="10"/>
  <c r="C198" i="10"/>
  <c r="O156" i="9"/>
  <c r="P156" i="9" s="1"/>
  <c r="H157" i="9"/>
  <c r="I157" i="9" s="1"/>
  <c r="N156" i="9"/>
  <c r="N166" i="5"/>
  <c r="O166" i="5"/>
  <c r="P166" i="5" s="1"/>
  <c r="H167" i="5"/>
  <c r="Q167" i="5" s="1"/>
  <c r="T197" i="5"/>
  <c r="C198" i="5"/>
  <c r="N138" i="10"/>
  <c r="H139" i="10"/>
  <c r="Q139" i="10" s="1"/>
  <c r="O138" i="10"/>
  <c r="P138" i="10" s="1"/>
  <c r="I138" i="10"/>
  <c r="L191" i="10"/>
  <c r="F193" i="5"/>
  <c r="R193" i="5"/>
  <c r="S192" i="5"/>
  <c r="G192" i="5" s="1"/>
  <c r="J192" i="5" s="1"/>
  <c r="K192" i="5"/>
  <c r="M192" i="5" s="1"/>
  <c r="F193" i="10"/>
  <c r="F193" i="9"/>
  <c r="K192" i="9"/>
  <c r="M192" i="9" s="1"/>
  <c r="R193" i="9"/>
  <c r="S192" i="9"/>
  <c r="G192" i="9" s="1"/>
  <c r="J192" i="9" s="1"/>
  <c r="L191" i="5"/>
  <c r="K192" i="10"/>
  <c r="M192" i="10" s="1"/>
  <c r="R193" i="10"/>
  <c r="S192" i="10"/>
  <c r="G192" i="10" s="1"/>
  <c r="J192" i="10" s="1"/>
  <c r="L192" i="5" l="1"/>
  <c r="Q157" i="9"/>
  <c r="T203" i="9"/>
  <c r="C204" i="9"/>
  <c r="O167" i="5"/>
  <c r="P167" i="5" s="1"/>
  <c r="N167" i="5"/>
  <c r="H168" i="5"/>
  <c r="Q168" i="5" s="1"/>
  <c r="T198" i="5"/>
  <c r="C199" i="5"/>
  <c r="C199" i="10"/>
  <c r="T198" i="10"/>
  <c r="I167" i="5"/>
  <c r="H140" i="10"/>
  <c r="Q140" i="10" s="1"/>
  <c r="N139" i="10"/>
  <c r="O139" i="10"/>
  <c r="P139" i="10" s="1"/>
  <c r="I139" i="10"/>
  <c r="L192" i="10"/>
  <c r="K193" i="9"/>
  <c r="M193" i="9" s="1"/>
  <c r="R194" i="9"/>
  <c r="S193" i="9"/>
  <c r="F194" i="9"/>
  <c r="G193" i="9"/>
  <c r="J193" i="9" s="1"/>
  <c r="F194" i="10"/>
  <c r="G193" i="5"/>
  <c r="J193" i="5" s="1"/>
  <c r="F194" i="5"/>
  <c r="K193" i="10"/>
  <c r="M193" i="10" s="1"/>
  <c r="R194" i="10"/>
  <c r="S193" i="10"/>
  <c r="G193" i="10" s="1"/>
  <c r="J193" i="10" s="1"/>
  <c r="S193" i="5"/>
  <c r="R194" i="5"/>
  <c r="K193" i="5"/>
  <c r="M193" i="5" s="1"/>
  <c r="L192" i="9"/>
  <c r="L193" i="9" s="1"/>
  <c r="H169" i="5" l="1"/>
  <c r="Q169" i="5" s="1"/>
  <c r="O168" i="5"/>
  <c r="P168" i="5" s="1"/>
  <c r="N168" i="5"/>
  <c r="C205" i="9"/>
  <c r="T204" i="9"/>
  <c r="I168" i="5"/>
  <c r="I169" i="5" s="1"/>
  <c r="C200" i="10"/>
  <c r="T199" i="10"/>
  <c r="C200" i="5"/>
  <c r="T199" i="5"/>
  <c r="H158" i="9"/>
  <c r="O157" i="9"/>
  <c r="P157" i="9" s="1"/>
  <c r="N157" i="9"/>
  <c r="N140" i="10"/>
  <c r="H141" i="10"/>
  <c r="Q141" i="10" s="1"/>
  <c r="O140" i="10"/>
  <c r="P140" i="10" s="1"/>
  <c r="I140" i="10"/>
  <c r="L193" i="10"/>
  <c r="S194" i="5"/>
  <c r="G194" i="5" s="1"/>
  <c r="J194" i="5" s="1"/>
  <c r="K194" i="5"/>
  <c r="M194" i="5" s="1"/>
  <c r="R195" i="5"/>
  <c r="R195" i="9"/>
  <c r="K194" i="9"/>
  <c r="M194" i="9" s="1"/>
  <c r="S194" i="9"/>
  <c r="G194" i="9" s="1"/>
  <c r="J194" i="9" s="1"/>
  <c r="F195" i="5"/>
  <c r="K194" i="10"/>
  <c r="M194" i="10" s="1"/>
  <c r="R195" i="10"/>
  <c r="S194" i="10"/>
  <c r="G194" i="10" s="1"/>
  <c r="J194" i="10" s="1"/>
  <c r="F195" i="9"/>
  <c r="F195" i="10"/>
  <c r="L193" i="5"/>
  <c r="C201" i="10" l="1"/>
  <c r="T200" i="10"/>
  <c r="T205" i="9"/>
  <c r="C206" i="9"/>
  <c r="I170" i="5"/>
  <c r="Q158" i="9"/>
  <c r="I158" i="9"/>
  <c r="C201" i="5"/>
  <c r="T200" i="5"/>
  <c r="H170" i="5"/>
  <c r="Q170" i="5" s="1"/>
  <c r="N169" i="5"/>
  <c r="O169" i="5"/>
  <c r="P169" i="5" s="1"/>
  <c r="L194" i="10"/>
  <c r="H142" i="10"/>
  <c r="Q142" i="10" s="1"/>
  <c r="O141" i="10"/>
  <c r="P141" i="10" s="1"/>
  <c r="N141" i="10"/>
  <c r="I141" i="10"/>
  <c r="F196" i="10"/>
  <c r="R196" i="10"/>
  <c r="K195" i="10"/>
  <c r="M195" i="10" s="1"/>
  <c r="S195" i="10"/>
  <c r="G195" i="10" s="1"/>
  <c r="J195" i="10" s="1"/>
  <c r="K195" i="9"/>
  <c r="M195" i="9" s="1"/>
  <c r="R196" i="9"/>
  <c r="S195" i="9"/>
  <c r="G195" i="9" s="1"/>
  <c r="J195" i="9" s="1"/>
  <c r="L194" i="5"/>
  <c r="F196" i="9"/>
  <c r="K195" i="5"/>
  <c r="M195" i="5" s="1"/>
  <c r="S195" i="5"/>
  <c r="G195" i="5" s="1"/>
  <c r="J195" i="5" s="1"/>
  <c r="R196" i="5"/>
  <c r="L194" i="9"/>
  <c r="F196" i="5"/>
  <c r="L195" i="5" l="1"/>
  <c r="C202" i="5"/>
  <c r="T201" i="5"/>
  <c r="H159" i="9"/>
  <c r="Q159" i="9" s="1"/>
  <c r="O158" i="9"/>
  <c r="P158" i="9" s="1"/>
  <c r="N158" i="9"/>
  <c r="T206" i="9"/>
  <c r="C207" i="9"/>
  <c r="O170" i="5"/>
  <c r="P170" i="5" s="1"/>
  <c r="N170" i="5"/>
  <c r="H171" i="5"/>
  <c r="Q171" i="5" s="1"/>
  <c r="T201" i="10"/>
  <c r="C202" i="10"/>
  <c r="L195" i="10"/>
  <c r="N142" i="10"/>
  <c r="O142" i="10"/>
  <c r="P142" i="10" s="1"/>
  <c r="H143" i="10"/>
  <c r="Q143" i="10" s="1"/>
  <c r="I142" i="10"/>
  <c r="F197" i="10"/>
  <c r="R197" i="5"/>
  <c r="S196" i="5"/>
  <c r="V20" i="5" s="1"/>
  <c r="K196" i="5"/>
  <c r="M196" i="5" s="1"/>
  <c r="F197" i="9"/>
  <c r="K196" i="9"/>
  <c r="M196" i="9" s="1"/>
  <c r="R197" i="9"/>
  <c r="S196" i="9"/>
  <c r="V20" i="9" s="1"/>
  <c r="K196" i="10"/>
  <c r="M196" i="10" s="1"/>
  <c r="R197" i="10"/>
  <c r="S196" i="10"/>
  <c r="V20" i="10" s="1"/>
  <c r="F197" i="5"/>
  <c r="L195" i="9"/>
  <c r="G196" i="5" l="1"/>
  <c r="J196" i="5" s="1"/>
  <c r="I171" i="5"/>
  <c r="I159" i="9"/>
  <c r="C208" i="9"/>
  <c r="T207" i="9"/>
  <c r="C203" i="10"/>
  <c r="T202" i="10"/>
  <c r="O171" i="5"/>
  <c r="P171" i="5" s="1"/>
  <c r="N171" i="5"/>
  <c r="H172" i="5"/>
  <c r="Q172" i="5" s="1"/>
  <c r="N159" i="9"/>
  <c r="O159" i="9"/>
  <c r="P159" i="9" s="1"/>
  <c r="H160" i="9"/>
  <c r="Q160" i="9" s="1"/>
  <c r="L196" i="9"/>
  <c r="L196" i="5"/>
  <c r="L197" i="5" s="1"/>
  <c r="I160" i="9"/>
  <c r="T202" i="5"/>
  <c r="C203" i="5"/>
  <c r="I143" i="10"/>
  <c r="N143" i="10"/>
  <c r="H144" i="10"/>
  <c r="Q144" i="10" s="1"/>
  <c r="O143" i="10"/>
  <c r="P143" i="10" s="1"/>
  <c r="L196" i="10"/>
  <c r="F198" i="9"/>
  <c r="F198" i="10"/>
  <c r="F198" i="5"/>
  <c r="S197" i="5"/>
  <c r="G197" i="5" s="1"/>
  <c r="J197" i="5" s="1"/>
  <c r="R198" i="5"/>
  <c r="K197" i="5"/>
  <c r="M197" i="5" s="1"/>
  <c r="G196" i="9"/>
  <c r="J196" i="9" s="1"/>
  <c r="G196" i="10"/>
  <c r="J196" i="10" s="1"/>
  <c r="R198" i="10"/>
  <c r="S197" i="10"/>
  <c r="G197" i="10" s="1"/>
  <c r="J197" i="10" s="1"/>
  <c r="K197" i="10"/>
  <c r="M197" i="10" s="1"/>
  <c r="R198" i="9"/>
  <c r="S197" i="9"/>
  <c r="G197" i="9" s="1"/>
  <c r="J197" i="9" s="1"/>
  <c r="K197" i="9"/>
  <c r="M197" i="9" s="1"/>
  <c r="H161" i="9" l="1"/>
  <c r="Q161" i="9" s="1"/>
  <c r="N160" i="9"/>
  <c r="O160" i="9"/>
  <c r="P160" i="9" s="1"/>
  <c r="H173" i="5"/>
  <c r="Q173" i="5" s="1"/>
  <c r="O172" i="5"/>
  <c r="P172" i="5" s="1"/>
  <c r="N172" i="5"/>
  <c r="I161" i="9"/>
  <c r="C204" i="10"/>
  <c r="T203" i="10"/>
  <c r="I172" i="5"/>
  <c r="C204" i="5"/>
  <c r="T203" i="5"/>
  <c r="C209" i="9"/>
  <c r="T208" i="9"/>
  <c r="I144" i="10"/>
  <c r="N144" i="10"/>
  <c r="H145" i="10"/>
  <c r="Q145" i="10" s="1"/>
  <c r="O144" i="10"/>
  <c r="P144" i="10" s="1"/>
  <c r="R199" i="10"/>
  <c r="K198" i="10"/>
  <c r="M198" i="10" s="1"/>
  <c r="S198" i="10"/>
  <c r="G198" i="10" s="1"/>
  <c r="J198" i="10" s="1"/>
  <c r="F199" i="5"/>
  <c r="F199" i="9"/>
  <c r="L197" i="10"/>
  <c r="R199" i="9"/>
  <c r="K198" i="9"/>
  <c r="M198" i="9" s="1"/>
  <c r="S198" i="9"/>
  <c r="G198" i="9" s="1"/>
  <c r="J198" i="9" s="1"/>
  <c r="F199" i="10"/>
  <c r="S198" i="5"/>
  <c r="G198" i="5" s="1"/>
  <c r="J198" i="5" s="1"/>
  <c r="K198" i="5"/>
  <c r="M198" i="5" s="1"/>
  <c r="R199" i="5"/>
  <c r="L197" i="9"/>
  <c r="L198" i="9" s="1"/>
  <c r="T204" i="10" l="1"/>
  <c r="C205" i="10"/>
  <c r="C210" i="9"/>
  <c r="T209" i="9"/>
  <c r="C205" i="5"/>
  <c r="T204" i="5"/>
  <c r="I173" i="5"/>
  <c r="I174" i="5" s="1"/>
  <c r="N173" i="5"/>
  <c r="H174" i="5"/>
  <c r="Q174" i="5" s="1"/>
  <c r="O173" i="5"/>
  <c r="P173" i="5" s="1"/>
  <c r="N161" i="9"/>
  <c r="H162" i="9"/>
  <c r="Q162" i="9" s="1"/>
  <c r="O161" i="9"/>
  <c r="P161" i="9" s="1"/>
  <c r="I145" i="10"/>
  <c r="O145" i="10"/>
  <c r="P145" i="10" s="1"/>
  <c r="H146" i="10"/>
  <c r="Q146" i="10" s="1"/>
  <c r="N145" i="10"/>
  <c r="L198" i="10"/>
  <c r="K199" i="10"/>
  <c r="M199" i="10" s="1"/>
  <c r="R200" i="10"/>
  <c r="S199" i="10"/>
  <c r="G199" i="10" s="1"/>
  <c r="J199" i="10" s="1"/>
  <c r="F200" i="10"/>
  <c r="F200" i="9"/>
  <c r="K199" i="5"/>
  <c r="M199" i="5" s="1"/>
  <c r="R200" i="5"/>
  <c r="S199" i="5"/>
  <c r="G199" i="5" s="1"/>
  <c r="J199" i="5" s="1"/>
  <c r="K199" i="9"/>
  <c r="M199" i="9" s="1"/>
  <c r="R200" i="9"/>
  <c r="S199" i="9"/>
  <c r="G199" i="9" s="1"/>
  <c r="J199" i="9" s="1"/>
  <c r="L199" i="9"/>
  <c r="F200" i="5"/>
  <c r="L198" i="5"/>
  <c r="L199" i="5" s="1"/>
  <c r="H163" i="9" l="1"/>
  <c r="Q163" i="9" s="1"/>
  <c r="N162" i="9"/>
  <c r="O162" i="9"/>
  <c r="P162" i="9" s="1"/>
  <c r="T210" i="9"/>
  <c r="C211" i="9"/>
  <c r="I162" i="9"/>
  <c r="I163" i="9" s="1"/>
  <c r="O174" i="5"/>
  <c r="P174" i="5" s="1"/>
  <c r="H175" i="5"/>
  <c r="Q175" i="5" s="1"/>
  <c r="N174" i="5"/>
  <c r="T205" i="10"/>
  <c r="C206" i="10"/>
  <c r="C206" i="5"/>
  <c r="T205" i="5"/>
  <c r="N146" i="10"/>
  <c r="H147" i="10"/>
  <c r="Q147" i="10" s="1"/>
  <c r="O146" i="10"/>
  <c r="P146" i="10" s="1"/>
  <c r="I146" i="10"/>
  <c r="L199" i="10"/>
  <c r="F201" i="10"/>
  <c r="K200" i="9"/>
  <c r="M200" i="9" s="1"/>
  <c r="R201" i="9"/>
  <c r="S200" i="9"/>
  <c r="G200" i="9" s="1"/>
  <c r="J200" i="9" s="1"/>
  <c r="F201" i="5"/>
  <c r="R201" i="5"/>
  <c r="S200" i="5"/>
  <c r="G200" i="5" s="1"/>
  <c r="J200" i="5" s="1"/>
  <c r="K200" i="5"/>
  <c r="M200" i="5" s="1"/>
  <c r="F201" i="9"/>
  <c r="K200" i="10"/>
  <c r="M200" i="10" s="1"/>
  <c r="R201" i="10"/>
  <c r="S200" i="10"/>
  <c r="G200" i="10" s="1"/>
  <c r="J200" i="10" s="1"/>
  <c r="L200" i="5"/>
  <c r="T211" i="9" l="1"/>
  <c r="C212" i="9"/>
  <c r="C207" i="10"/>
  <c r="T206" i="10"/>
  <c r="O163" i="9"/>
  <c r="P163" i="9" s="1"/>
  <c r="H164" i="9"/>
  <c r="I164" i="9" s="1"/>
  <c r="N163" i="9"/>
  <c r="Q164" i="9"/>
  <c r="T206" i="5"/>
  <c r="C207" i="5"/>
  <c r="L200" i="9"/>
  <c r="H176" i="5"/>
  <c r="Q176" i="5" s="1"/>
  <c r="N175" i="5"/>
  <c r="O175" i="5"/>
  <c r="P175" i="5" s="1"/>
  <c r="I175" i="5"/>
  <c r="I176" i="5" s="1"/>
  <c r="L200" i="10"/>
  <c r="N147" i="10"/>
  <c r="O147" i="10"/>
  <c r="P147" i="10" s="1"/>
  <c r="H148" i="10"/>
  <c r="Q148" i="10" s="1"/>
  <c r="I147" i="10"/>
  <c r="F202" i="10"/>
  <c r="R202" i="10"/>
  <c r="K201" i="10"/>
  <c r="M201" i="10" s="1"/>
  <c r="S201" i="10"/>
  <c r="G201" i="10" s="1"/>
  <c r="J201" i="10" s="1"/>
  <c r="F202" i="5"/>
  <c r="F202" i="9"/>
  <c r="S201" i="5"/>
  <c r="G201" i="5" s="1"/>
  <c r="J201" i="5" s="1"/>
  <c r="R202" i="5"/>
  <c r="K201" i="5"/>
  <c r="M201" i="5" s="1"/>
  <c r="R202" i="9"/>
  <c r="K201" i="9"/>
  <c r="M201" i="9" s="1"/>
  <c r="S201" i="9"/>
  <c r="G201" i="9" s="1"/>
  <c r="J201" i="9" s="1"/>
  <c r="L201" i="5" l="1"/>
  <c r="H165" i="9"/>
  <c r="I165" i="9" s="1"/>
  <c r="O164" i="9"/>
  <c r="P164" i="9" s="1"/>
  <c r="N164" i="9"/>
  <c r="Q165" i="9"/>
  <c r="H177" i="5"/>
  <c r="Q177" i="5" s="1"/>
  <c r="O176" i="5"/>
  <c r="P176" i="5" s="1"/>
  <c r="N176" i="5"/>
  <c r="C208" i="10"/>
  <c r="T207" i="10"/>
  <c r="T207" i="5"/>
  <c r="C208" i="5"/>
  <c r="C213" i="9"/>
  <c r="T212" i="9"/>
  <c r="L201" i="10"/>
  <c r="I148" i="10"/>
  <c r="N148" i="10"/>
  <c r="H149" i="10"/>
  <c r="O148" i="10"/>
  <c r="P148" i="10" s="1"/>
  <c r="F203" i="9"/>
  <c r="F203" i="10"/>
  <c r="R203" i="9"/>
  <c r="K202" i="9"/>
  <c r="M202" i="9" s="1"/>
  <c r="S202" i="9"/>
  <c r="G202" i="9" s="1"/>
  <c r="J202" i="9" s="1"/>
  <c r="F203" i="5"/>
  <c r="L202" i="5"/>
  <c r="R203" i="10"/>
  <c r="K202" i="10"/>
  <c r="M202" i="10" s="1"/>
  <c r="S202" i="10"/>
  <c r="G202" i="10" s="1"/>
  <c r="J202" i="10" s="1"/>
  <c r="L201" i="9"/>
  <c r="S202" i="5"/>
  <c r="G202" i="5" s="1"/>
  <c r="J202" i="5" s="1"/>
  <c r="K202" i="5"/>
  <c r="M202" i="5" s="1"/>
  <c r="R203" i="5"/>
  <c r="I177" i="5" l="1"/>
  <c r="T213" i="9"/>
  <c r="C214" i="9"/>
  <c r="O177" i="5"/>
  <c r="P177" i="5" s="1"/>
  <c r="N177" i="5"/>
  <c r="H178" i="5"/>
  <c r="Q178" i="5" s="1"/>
  <c r="C209" i="5"/>
  <c r="T208" i="5"/>
  <c r="N165" i="9"/>
  <c r="H166" i="9"/>
  <c r="I166" i="9" s="1"/>
  <c r="O165" i="9"/>
  <c r="P165" i="9" s="1"/>
  <c r="T208" i="10"/>
  <c r="C209" i="10"/>
  <c r="I149" i="10"/>
  <c r="Q149" i="10"/>
  <c r="L202" i="10"/>
  <c r="K203" i="9"/>
  <c r="M203" i="9" s="1"/>
  <c r="R204" i="9"/>
  <c r="S203" i="9"/>
  <c r="G203" i="9" s="1"/>
  <c r="J203" i="9" s="1"/>
  <c r="F204" i="9"/>
  <c r="K203" i="5"/>
  <c r="M203" i="5" s="1"/>
  <c r="S203" i="5"/>
  <c r="G203" i="5" s="1"/>
  <c r="J203" i="5" s="1"/>
  <c r="R204" i="5"/>
  <c r="F204" i="10"/>
  <c r="L202" i="9"/>
  <c r="K203" i="10"/>
  <c r="M203" i="10" s="1"/>
  <c r="R204" i="10"/>
  <c r="S203" i="10"/>
  <c r="G203" i="10" s="1"/>
  <c r="J203" i="10" s="1"/>
  <c r="F204" i="5"/>
  <c r="Q166" i="9" l="1"/>
  <c r="L203" i="5"/>
  <c r="I178" i="5"/>
  <c r="C210" i="5"/>
  <c r="T209" i="5"/>
  <c r="N178" i="5"/>
  <c r="H179" i="5"/>
  <c r="Q179" i="5" s="1"/>
  <c r="O178" i="5"/>
  <c r="P178" i="5" s="1"/>
  <c r="T209" i="10"/>
  <c r="C210" i="10"/>
  <c r="T214" i="9"/>
  <c r="C215" i="9"/>
  <c r="N166" i="9"/>
  <c r="O166" i="9"/>
  <c r="P166" i="9" s="1"/>
  <c r="H167" i="9"/>
  <c r="I167" i="9" s="1"/>
  <c r="Q167" i="9"/>
  <c r="H150" i="10"/>
  <c r="I150" i="10" s="1"/>
  <c r="N149" i="10"/>
  <c r="O149" i="10"/>
  <c r="P149" i="10" s="1"/>
  <c r="L203" i="10"/>
  <c r="R205" i="5"/>
  <c r="K204" i="5"/>
  <c r="M204" i="5" s="1"/>
  <c r="S204" i="5"/>
  <c r="G204" i="5" s="1"/>
  <c r="J204" i="5" s="1"/>
  <c r="F205" i="5"/>
  <c r="F205" i="10"/>
  <c r="R205" i="9"/>
  <c r="K204" i="9"/>
  <c r="M204" i="9" s="1"/>
  <c r="S204" i="9"/>
  <c r="G204" i="9" s="1"/>
  <c r="J204" i="9" s="1"/>
  <c r="K204" i="10"/>
  <c r="M204" i="10" s="1"/>
  <c r="S204" i="10"/>
  <c r="G204" i="10" s="1"/>
  <c r="J204" i="10" s="1"/>
  <c r="R205" i="10"/>
  <c r="F205" i="9"/>
  <c r="L203" i="9"/>
  <c r="L204" i="9" l="1"/>
  <c r="T210" i="10"/>
  <c r="C211" i="10"/>
  <c r="N167" i="9"/>
  <c r="O167" i="9"/>
  <c r="P167" i="9" s="1"/>
  <c r="H168" i="9"/>
  <c r="I168" i="9" s="1"/>
  <c r="O179" i="5"/>
  <c r="P179" i="5" s="1"/>
  <c r="H180" i="5"/>
  <c r="Q180" i="5" s="1"/>
  <c r="N179" i="5"/>
  <c r="L204" i="5"/>
  <c r="T215" i="9"/>
  <c r="C216" i="9"/>
  <c r="T210" i="5"/>
  <c r="C211" i="5"/>
  <c r="I179" i="5"/>
  <c r="Q150" i="10"/>
  <c r="L204" i="10"/>
  <c r="F206" i="5"/>
  <c r="S205" i="5"/>
  <c r="G205" i="5" s="1"/>
  <c r="J205" i="5" s="1"/>
  <c r="R206" i="5"/>
  <c r="K205" i="5"/>
  <c r="M205" i="5" s="1"/>
  <c r="F206" i="9"/>
  <c r="F206" i="10"/>
  <c r="K205" i="9"/>
  <c r="M205" i="9" s="1"/>
  <c r="R206" i="9"/>
  <c r="S205" i="9"/>
  <c r="G205" i="9" s="1"/>
  <c r="J205" i="9" s="1"/>
  <c r="K205" i="10"/>
  <c r="M205" i="10" s="1"/>
  <c r="R206" i="10"/>
  <c r="S205" i="10"/>
  <c r="G205" i="10" s="1"/>
  <c r="J205" i="10" s="1"/>
  <c r="C212" i="5" l="1"/>
  <c r="T211" i="5"/>
  <c r="Q168" i="9"/>
  <c r="O180" i="5"/>
  <c r="P180" i="5" s="1"/>
  <c r="N180" i="5"/>
  <c r="H181" i="5"/>
  <c r="Q181" i="5" s="1"/>
  <c r="C212" i="10"/>
  <c r="T211" i="10"/>
  <c r="I180" i="5"/>
  <c r="C217" i="9"/>
  <c r="T216" i="9"/>
  <c r="O150" i="10"/>
  <c r="P150" i="10" s="1"/>
  <c r="H151" i="10"/>
  <c r="N150" i="10"/>
  <c r="L205" i="10"/>
  <c r="F207" i="5"/>
  <c r="R207" i="9"/>
  <c r="S206" i="9"/>
  <c r="G206" i="9" s="1"/>
  <c r="J206" i="9" s="1"/>
  <c r="K206" i="9"/>
  <c r="M206" i="9" s="1"/>
  <c r="F207" i="9"/>
  <c r="F207" i="10"/>
  <c r="L205" i="9"/>
  <c r="K206" i="10"/>
  <c r="M206" i="10" s="1"/>
  <c r="R207" i="10"/>
  <c r="S206" i="10"/>
  <c r="G206" i="10" s="1"/>
  <c r="J206" i="10" s="1"/>
  <c r="S206" i="5"/>
  <c r="G206" i="5" s="1"/>
  <c r="J206" i="5" s="1"/>
  <c r="K206" i="5"/>
  <c r="M206" i="5" s="1"/>
  <c r="R207" i="5"/>
  <c r="L205" i="5"/>
  <c r="L206" i="5" l="1"/>
  <c r="C213" i="10"/>
  <c r="T212" i="10"/>
  <c r="H182" i="5"/>
  <c r="Q182" i="5" s="1"/>
  <c r="O181" i="5"/>
  <c r="P181" i="5" s="1"/>
  <c r="N181" i="5"/>
  <c r="N168" i="9"/>
  <c r="O168" i="9"/>
  <c r="P168" i="9" s="1"/>
  <c r="H169" i="9"/>
  <c r="I169" i="9" s="1"/>
  <c r="Q169" i="9"/>
  <c r="I181" i="5"/>
  <c r="L206" i="9"/>
  <c r="C218" i="9"/>
  <c r="T217" i="9"/>
  <c r="C213" i="5"/>
  <c r="T212" i="5"/>
  <c r="L206" i="10"/>
  <c r="Q151" i="10"/>
  <c r="I151" i="10"/>
  <c r="F208" i="10"/>
  <c r="F208" i="5"/>
  <c r="K207" i="5"/>
  <c r="M207" i="5" s="1"/>
  <c r="S207" i="5"/>
  <c r="G207" i="5" s="1"/>
  <c r="J207" i="5" s="1"/>
  <c r="R208" i="5"/>
  <c r="R208" i="10"/>
  <c r="K207" i="10"/>
  <c r="M207" i="10" s="1"/>
  <c r="S207" i="10"/>
  <c r="G207" i="10" s="1"/>
  <c r="J207" i="10" s="1"/>
  <c r="R208" i="9"/>
  <c r="K207" i="9"/>
  <c r="M207" i="9" s="1"/>
  <c r="S207" i="9"/>
  <c r="F208" i="9"/>
  <c r="G207" i="9"/>
  <c r="J207" i="9" s="1"/>
  <c r="N182" i="5" l="1"/>
  <c r="O182" i="5"/>
  <c r="P182" i="5" s="1"/>
  <c r="H183" i="5"/>
  <c r="Q183" i="5" s="1"/>
  <c r="C214" i="5"/>
  <c r="T213" i="5"/>
  <c r="O169" i="9"/>
  <c r="P169" i="9" s="1"/>
  <c r="Q170" i="9"/>
  <c r="H170" i="9"/>
  <c r="I170" i="9" s="1"/>
  <c r="N169" i="9"/>
  <c r="T218" i="9"/>
  <c r="C219" i="9"/>
  <c r="I182" i="5"/>
  <c r="T213" i="10"/>
  <c r="C214" i="10"/>
  <c r="N151" i="10"/>
  <c r="H152" i="10"/>
  <c r="Q152" i="10" s="1"/>
  <c r="O151" i="10"/>
  <c r="P151" i="10" s="1"/>
  <c r="L207" i="10"/>
  <c r="F209" i="5"/>
  <c r="L207" i="9"/>
  <c r="L207" i="5"/>
  <c r="F209" i="9"/>
  <c r="R209" i="10"/>
  <c r="K208" i="10"/>
  <c r="M208" i="10" s="1"/>
  <c r="S208" i="10"/>
  <c r="V21" i="10" s="1"/>
  <c r="F209" i="10"/>
  <c r="K208" i="9"/>
  <c r="M208" i="9" s="1"/>
  <c r="R209" i="9"/>
  <c r="S208" i="9"/>
  <c r="V21" i="9" s="1"/>
  <c r="K208" i="5"/>
  <c r="M208" i="5" s="1"/>
  <c r="R209" i="5"/>
  <c r="S208" i="5"/>
  <c r="V21" i="5" s="1"/>
  <c r="L208" i="9" l="1"/>
  <c r="T214" i="5"/>
  <c r="C215" i="5"/>
  <c r="H184" i="5"/>
  <c r="I184" i="5" s="1"/>
  <c r="O183" i="5"/>
  <c r="P183" i="5" s="1"/>
  <c r="N183" i="5"/>
  <c r="Q184" i="5"/>
  <c r="T214" i="10"/>
  <c r="C215" i="10"/>
  <c r="I183" i="5"/>
  <c r="N170" i="9"/>
  <c r="O170" i="9"/>
  <c r="P170" i="9" s="1"/>
  <c r="H171" i="9"/>
  <c r="I171" i="9" s="1"/>
  <c r="T219" i="9"/>
  <c r="C220" i="9"/>
  <c r="I152" i="10"/>
  <c r="N152" i="10"/>
  <c r="O152" i="10"/>
  <c r="P152" i="10" s="1"/>
  <c r="H153" i="10"/>
  <c r="Q153" i="10" s="1"/>
  <c r="L208" i="10"/>
  <c r="F210" i="10"/>
  <c r="K209" i="10"/>
  <c r="M209" i="10" s="1"/>
  <c r="R210" i="10"/>
  <c r="S209" i="10"/>
  <c r="G209" i="10" s="1"/>
  <c r="J209" i="10" s="1"/>
  <c r="F210" i="5"/>
  <c r="G208" i="9"/>
  <c r="J208" i="9" s="1"/>
  <c r="G208" i="10"/>
  <c r="J208" i="10" s="1"/>
  <c r="L208" i="5"/>
  <c r="K209" i="5"/>
  <c r="M209" i="5" s="1"/>
  <c r="S209" i="5"/>
  <c r="G209" i="5" s="1"/>
  <c r="J209" i="5" s="1"/>
  <c r="R210" i="5"/>
  <c r="G208" i="5"/>
  <c r="J208" i="5" s="1"/>
  <c r="K209" i="9"/>
  <c r="M209" i="9" s="1"/>
  <c r="R210" i="9"/>
  <c r="S209" i="9"/>
  <c r="G209" i="9" s="1"/>
  <c r="J209" i="9" s="1"/>
  <c r="F210" i="9"/>
  <c r="C221" i="9" l="1"/>
  <c r="T220" i="9"/>
  <c r="L209" i="5"/>
  <c r="C216" i="10"/>
  <c r="T215" i="10"/>
  <c r="O184" i="5"/>
  <c r="P184" i="5" s="1"/>
  <c r="H185" i="5"/>
  <c r="I185" i="5" s="1"/>
  <c r="N184" i="5"/>
  <c r="Q171" i="9"/>
  <c r="T215" i="5"/>
  <c r="C216" i="5"/>
  <c r="L209" i="10"/>
  <c r="N153" i="10"/>
  <c r="O153" i="10"/>
  <c r="P153" i="10" s="1"/>
  <c r="H154" i="10"/>
  <c r="Q154" i="10" s="1"/>
  <c r="I153" i="10"/>
  <c r="K210" i="10"/>
  <c r="M210" i="10" s="1"/>
  <c r="R211" i="10"/>
  <c r="S210" i="10"/>
  <c r="G210" i="10" s="1"/>
  <c r="J210" i="10" s="1"/>
  <c r="F211" i="10"/>
  <c r="L209" i="9"/>
  <c r="R211" i="5"/>
  <c r="S210" i="5"/>
  <c r="G210" i="5" s="1"/>
  <c r="J210" i="5" s="1"/>
  <c r="K210" i="5"/>
  <c r="M210" i="5" s="1"/>
  <c r="F211" i="9"/>
  <c r="R211" i="9"/>
  <c r="K210" i="9"/>
  <c r="M210" i="9" s="1"/>
  <c r="S210" i="9"/>
  <c r="G210" i="9" s="1"/>
  <c r="J210" i="9" s="1"/>
  <c r="F211" i="5"/>
  <c r="L210" i="5" l="1"/>
  <c r="Q185" i="5"/>
  <c r="C217" i="5"/>
  <c r="T216" i="5"/>
  <c r="T216" i="10"/>
  <c r="C217" i="10"/>
  <c r="H172" i="9"/>
  <c r="N171" i="9"/>
  <c r="O171" i="9"/>
  <c r="P171" i="9" s="1"/>
  <c r="T221" i="9"/>
  <c r="C222" i="9"/>
  <c r="I154" i="10"/>
  <c r="H155" i="10"/>
  <c r="Q155" i="10" s="1"/>
  <c r="O154" i="10"/>
  <c r="P154" i="10" s="1"/>
  <c r="N154" i="10"/>
  <c r="S211" i="5"/>
  <c r="G211" i="5" s="1"/>
  <c r="J211" i="5" s="1"/>
  <c r="K211" i="5"/>
  <c r="M211" i="5" s="1"/>
  <c r="R212" i="5"/>
  <c r="R212" i="10"/>
  <c r="K211" i="10"/>
  <c r="M211" i="10" s="1"/>
  <c r="S211" i="10"/>
  <c r="G211" i="10" s="1"/>
  <c r="J211" i="10" s="1"/>
  <c r="L210" i="9"/>
  <c r="F212" i="5"/>
  <c r="R212" i="9"/>
  <c r="K211" i="9"/>
  <c r="M211" i="9" s="1"/>
  <c r="S211" i="9"/>
  <c r="G211" i="9" s="1"/>
  <c r="J211" i="9" s="1"/>
  <c r="F212" i="9"/>
  <c r="F212" i="10"/>
  <c r="L210" i="10"/>
  <c r="Q172" i="9" l="1"/>
  <c r="I172" i="9"/>
  <c r="T222" i="9"/>
  <c r="C223" i="9"/>
  <c r="C218" i="5"/>
  <c r="T217" i="5"/>
  <c r="T217" i="10"/>
  <c r="C218" i="10"/>
  <c r="L211" i="10"/>
  <c r="L211" i="9"/>
  <c r="L211" i="5"/>
  <c r="N185" i="5"/>
  <c r="H186" i="5"/>
  <c r="I186" i="5" s="1"/>
  <c r="O185" i="5"/>
  <c r="P185" i="5" s="1"/>
  <c r="Q186" i="5"/>
  <c r="O155" i="10"/>
  <c r="P155" i="10" s="1"/>
  <c r="H156" i="10"/>
  <c r="Q156" i="10" s="1"/>
  <c r="N155" i="10"/>
  <c r="I155" i="10"/>
  <c r="F213" i="9"/>
  <c r="F213" i="5"/>
  <c r="R213" i="10"/>
  <c r="K212" i="10"/>
  <c r="M212" i="10" s="1"/>
  <c r="S212" i="10"/>
  <c r="G212" i="10" s="1"/>
  <c r="J212" i="10" s="1"/>
  <c r="K212" i="9"/>
  <c r="M212" i="9" s="1"/>
  <c r="R213" i="9"/>
  <c r="S212" i="9"/>
  <c r="G212" i="9" s="1"/>
  <c r="J212" i="9" s="1"/>
  <c r="F213" i="10"/>
  <c r="R213" i="5"/>
  <c r="S212" i="5"/>
  <c r="G212" i="5" s="1"/>
  <c r="J212" i="5" s="1"/>
  <c r="K212" i="5"/>
  <c r="M212" i="5" s="1"/>
  <c r="T218" i="10" l="1"/>
  <c r="C219" i="10"/>
  <c r="T223" i="9"/>
  <c r="C224" i="9"/>
  <c r="H187" i="5"/>
  <c r="I187" i="5" s="1"/>
  <c r="O186" i="5"/>
  <c r="P186" i="5" s="1"/>
  <c r="N186" i="5"/>
  <c r="Q187" i="5"/>
  <c r="T218" i="5"/>
  <c r="C219" i="5"/>
  <c r="O172" i="9"/>
  <c r="P172" i="9" s="1"/>
  <c r="N172" i="9"/>
  <c r="H173" i="9"/>
  <c r="Q173" i="9" s="1"/>
  <c r="O156" i="10"/>
  <c r="P156" i="10" s="1"/>
  <c r="H157" i="10"/>
  <c r="Q157" i="10" s="1"/>
  <c r="N156" i="10"/>
  <c r="I156" i="10"/>
  <c r="K213" i="10"/>
  <c r="M213" i="10" s="1"/>
  <c r="R214" i="10"/>
  <c r="S213" i="10"/>
  <c r="G213" i="10" s="1"/>
  <c r="J213" i="10" s="1"/>
  <c r="F214" i="9"/>
  <c r="L212" i="10"/>
  <c r="K213" i="9"/>
  <c r="M213" i="9" s="1"/>
  <c r="R214" i="9"/>
  <c r="S213" i="9"/>
  <c r="G213" i="9" s="1"/>
  <c r="J213" i="9" s="1"/>
  <c r="F214" i="10"/>
  <c r="F214" i="5"/>
  <c r="S213" i="5"/>
  <c r="G213" i="5" s="1"/>
  <c r="J213" i="5" s="1"/>
  <c r="R214" i="5"/>
  <c r="K213" i="5"/>
  <c r="M213" i="5" s="1"/>
  <c r="L212" i="5"/>
  <c r="L212" i="9"/>
  <c r="L213" i="9" s="1"/>
  <c r="L213" i="5" l="1"/>
  <c r="I173" i="9"/>
  <c r="H174" i="9"/>
  <c r="I174" i="9" s="1"/>
  <c r="N173" i="9"/>
  <c r="O173" i="9"/>
  <c r="P173" i="9" s="1"/>
  <c r="Q174" i="9"/>
  <c r="C225" i="9"/>
  <c r="T224" i="9"/>
  <c r="C220" i="5"/>
  <c r="T219" i="5"/>
  <c r="C220" i="10"/>
  <c r="T219" i="10"/>
  <c r="N187" i="5"/>
  <c r="O187" i="5"/>
  <c r="P187" i="5" s="1"/>
  <c r="H188" i="5"/>
  <c r="I188" i="5" s="1"/>
  <c r="N157" i="10"/>
  <c r="H158" i="10"/>
  <c r="Q158" i="10" s="1"/>
  <c r="O157" i="10"/>
  <c r="P157" i="10" s="1"/>
  <c r="I157" i="10"/>
  <c r="S214" i="5"/>
  <c r="G214" i="5" s="1"/>
  <c r="J214" i="5" s="1"/>
  <c r="K214" i="5"/>
  <c r="M214" i="5" s="1"/>
  <c r="R215" i="5"/>
  <c r="F215" i="5"/>
  <c r="K214" i="10"/>
  <c r="M214" i="10" s="1"/>
  <c r="R215" i="10"/>
  <c r="S214" i="10"/>
  <c r="G214" i="10" s="1"/>
  <c r="J214" i="10" s="1"/>
  <c r="F215" i="10"/>
  <c r="L213" i="10"/>
  <c r="R215" i="9"/>
  <c r="K214" i="9"/>
  <c r="M214" i="9" s="1"/>
  <c r="S214" i="9"/>
  <c r="G214" i="9" s="1"/>
  <c r="J214" i="9" s="1"/>
  <c r="F215" i="9"/>
  <c r="C226" i="9" l="1"/>
  <c r="T225" i="9"/>
  <c r="C221" i="10"/>
  <c r="T220" i="10"/>
  <c r="L214" i="10"/>
  <c r="L214" i="5"/>
  <c r="O174" i="9"/>
  <c r="P174" i="9" s="1"/>
  <c r="Q175" i="9"/>
  <c r="N174" i="9"/>
  <c r="H175" i="9"/>
  <c r="I175" i="9" s="1"/>
  <c r="C221" i="5"/>
  <c r="T220" i="5"/>
  <c r="Q188" i="5"/>
  <c r="O158" i="10"/>
  <c r="P158" i="10" s="1"/>
  <c r="H159" i="10"/>
  <c r="Q159" i="10" s="1"/>
  <c r="N158" i="10"/>
  <c r="I158" i="10"/>
  <c r="F216" i="10"/>
  <c r="L214" i="9"/>
  <c r="F216" i="9"/>
  <c r="R216" i="10"/>
  <c r="K215" i="10"/>
  <c r="M215" i="10" s="1"/>
  <c r="S215" i="10"/>
  <c r="G215" i="10" s="1"/>
  <c r="J215" i="10" s="1"/>
  <c r="K215" i="5"/>
  <c r="M215" i="5" s="1"/>
  <c r="S215" i="5"/>
  <c r="G215" i="5" s="1"/>
  <c r="J215" i="5" s="1"/>
  <c r="R216" i="5"/>
  <c r="R216" i="9"/>
  <c r="K215" i="9"/>
  <c r="M215" i="9" s="1"/>
  <c r="S215" i="9"/>
  <c r="G215" i="9" s="1"/>
  <c r="J215" i="9" s="1"/>
  <c r="F216" i="5"/>
  <c r="L215" i="5" l="1"/>
  <c r="H176" i="9"/>
  <c r="Q176" i="9" s="1"/>
  <c r="O175" i="9"/>
  <c r="P175" i="9" s="1"/>
  <c r="N175" i="9"/>
  <c r="C222" i="5"/>
  <c r="T221" i="5"/>
  <c r="T221" i="10"/>
  <c r="C222" i="10"/>
  <c r="T226" i="9"/>
  <c r="C227" i="9"/>
  <c r="O188" i="5"/>
  <c r="P188" i="5" s="1"/>
  <c r="H189" i="5"/>
  <c r="N188" i="5"/>
  <c r="I176" i="9"/>
  <c r="H160" i="10"/>
  <c r="Q160" i="10" s="1"/>
  <c r="N159" i="10"/>
  <c r="O159" i="10"/>
  <c r="P159" i="10" s="1"/>
  <c r="I159" i="10"/>
  <c r="L215" i="10"/>
  <c r="F217" i="9"/>
  <c r="F217" i="10"/>
  <c r="F217" i="5"/>
  <c r="K216" i="9"/>
  <c r="M216" i="9" s="1"/>
  <c r="R217" i="9"/>
  <c r="S216" i="9"/>
  <c r="G216" i="9" s="1"/>
  <c r="J216" i="9" s="1"/>
  <c r="K216" i="10"/>
  <c r="M216" i="10" s="1"/>
  <c r="R217" i="10"/>
  <c r="S216" i="10"/>
  <c r="G216" i="10" s="1"/>
  <c r="J216" i="10" s="1"/>
  <c r="L215" i="9"/>
  <c r="R217" i="5"/>
  <c r="S216" i="5"/>
  <c r="G216" i="5" s="1"/>
  <c r="J216" i="5" s="1"/>
  <c r="K216" i="5"/>
  <c r="M216" i="5" s="1"/>
  <c r="T222" i="10" l="1"/>
  <c r="C223" i="10"/>
  <c r="T222" i="5"/>
  <c r="C223" i="5"/>
  <c r="L216" i="5"/>
  <c r="I189" i="5"/>
  <c r="Q189" i="5"/>
  <c r="L216" i="9"/>
  <c r="T227" i="9"/>
  <c r="C228" i="9"/>
  <c r="N176" i="9"/>
  <c r="O176" i="9"/>
  <c r="P176" i="9" s="1"/>
  <c r="H177" i="9"/>
  <c r="Q177" i="9" s="1"/>
  <c r="I160" i="10"/>
  <c r="L216" i="10"/>
  <c r="H161" i="10"/>
  <c r="O160" i="10"/>
  <c r="P160" i="10" s="1"/>
  <c r="N160" i="10"/>
  <c r="F218" i="5"/>
  <c r="F218" i="9"/>
  <c r="K217" i="10"/>
  <c r="M217" i="10" s="1"/>
  <c r="R218" i="10"/>
  <c r="S217" i="10"/>
  <c r="G217" i="10" s="1"/>
  <c r="J217" i="10" s="1"/>
  <c r="F218" i="10"/>
  <c r="S217" i="5"/>
  <c r="G217" i="5" s="1"/>
  <c r="J217" i="5" s="1"/>
  <c r="R218" i="5"/>
  <c r="K217" i="5"/>
  <c r="M217" i="5" s="1"/>
  <c r="K217" i="9"/>
  <c r="M217" i="9" s="1"/>
  <c r="R218" i="9"/>
  <c r="S217" i="9"/>
  <c r="G217" i="9" s="1"/>
  <c r="J217" i="9" s="1"/>
  <c r="H178" i="9" l="1"/>
  <c r="Q178" i="9" s="1"/>
  <c r="N177" i="9"/>
  <c r="O177" i="9"/>
  <c r="P177" i="9" s="1"/>
  <c r="T223" i="5"/>
  <c r="C224" i="5"/>
  <c r="H190" i="5"/>
  <c r="I190" i="5" s="1"/>
  <c r="Q190" i="5"/>
  <c r="N189" i="5"/>
  <c r="O189" i="5"/>
  <c r="P189" i="5" s="1"/>
  <c r="C229" i="9"/>
  <c r="T228" i="9"/>
  <c r="C224" i="10"/>
  <c r="T223" i="10"/>
  <c r="I177" i="9"/>
  <c r="I178" i="9" s="1"/>
  <c r="I161" i="10"/>
  <c r="Q161" i="10"/>
  <c r="F219" i="5"/>
  <c r="L217" i="9"/>
  <c r="L217" i="10"/>
  <c r="R219" i="9"/>
  <c r="K218" i="9"/>
  <c r="M218" i="9" s="1"/>
  <c r="S218" i="9"/>
  <c r="G218" i="9" s="1"/>
  <c r="J218" i="9" s="1"/>
  <c r="F219" i="10"/>
  <c r="F219" i="9"/>
  <c r="L217" i="5"/>
  <c r="K218" i="10"/>
  <c r="M218" i="10" s="1"/>
  <c r="R219" i="10"/>
  <c r="S218" i="10"/>
  <c r="G218" i="10" s="1"/>
  <c r="J218" i="10" s="1"/>
  <c r="S218" i="5"/>
  <c r="G218" i="5" s="1"/>
  <c r="J218" i="5" s="1"/>
  <c r="K218" i="5"/>
  <c r="M218" i="5" s="1"/>
  <c r="R219" i="5"/>
  <c r="L218" i="9" l="1"/>
  <c r="H179" i="9"/>
  <c r="I179" i="9" s="1"/>
  <c r="O178" i="9"/>
  <c r="P178" i="9" s="1"/>
  <c r="N178" i="9"/>
  <c r="N190" i="5"/>
  <c r="H191" i="5"/>
  <c r="I191" i="5" s="1"/>
  <c r="O190" i="5"/>
  <c r="P190" i="5" s="1"/>
  <c r="C225" i="5"/>
  <c r="T224" i="5"/>
  <c r="T224" i="10"/>
  <c r="C225" i="10"/>
  <c r="T229" i="9"/>
  <c r="C230" i="9"/>
  <c r="O161" i="10"/>
  <c r="P161" i="10" s="1"/>
  <c r="H162" i="10"/>
  <c r="I162" i="10" s="1"/>
  <c r="N161" i="10"/>
  <c r="K219" i="5"/>
  <c r="M219" i="5" s="1"/>
  <c r="S219" i="5"/>
  <c r="G219" i="5" s="1"/>
  <c r="J219" i="5" s="1"/>
  <c r="R220" i="5"/>
  <c r="R220" i="10"/>
  <c r="K219" i="10"/>
  <c r="M219" i="10" s="1"/>
  <c r="S219" i="10"/>
  <c r="G219" i="10" s="1"/>
  <c r="J219" i="10" s="1"/>
  <c r="F220" i="10"/>
  <c r="F220" i="5"/>
  <c r="L218" i="10"/>
  <c r="K219" i="9"/>
  <c r="M219" i="9" s="1"/>
  <c r="R220" i="9"/>
  <c r="S219" i="9"/>
  <c r="G219" i="9" s="1"/>
  <c r="J219" i="9" s="1"/>
  <c r="F220" i="9"/>
  <c r="L218" i="5"/>
  <c r="T225" i="10" l="1"/>
  <c r="C226" i="10"/>
  <c r="Q179" i="9"/>
  <c r="C226" i="5"/>
  <c r="T225" i="5"/>
  <c r="T230" i="9"/>
  <c r="C231" i="9"/>
  <c r="Q191" i="5"/>
  <c r="L219" i="10"/>
  <c r="Q162" i="10"/>
  <c r="F221" i="9"/>
  <c r="K220" i="9"/>
  <c r="M220" i="9" s="1"/>
  <c r="R221" i="9"/>
  <c r="S220" i="9"/>
  <c r="V22" i="9" s="1"/>
  <c r="F221" i="10"/>
  <c r="R221" i="5"/>
  <c r="S220" i="5"/>
  <c r="V22" i="5" s="1"/>
  <c r="K220" i="5"/>
  <c r="M220" i="5" s="1"/>
  <c r="L219" i="9"/>
  <c r="F221" i="5"/>
  <c r="K220" i="10"/>
  <c r="M220" i="10" s="1"/>
  <c r="R221" i="10"/>
  <c r="S220" i="10"/>
  <c r="V22" i="10" s="1"/>
  <c r="L219" i="5"/>
  <c r="L220" i="5" s="1"/>
  <c r="N191" i="5" l="1"/>
  <c r="H192" i="5"/>
  <c r="I192" i="5" s="1"/>
  <c r="O191" i="5"/>
  <c r="P191" i="5" s="1"/>
  <c r="Q192" i="5"/>
  <c r="C227" i="5"/>
  <c r="T226" i="5"/>
  <c r="T231" i="9"/>
  <c r="C232" i="9"/>
  <c r="G220" i="5"/>
  <c r="J220" i="5" s="1"/>
  <c r="H180" i="9"/>
  <c r="I180" i="9" s="1"/>
  <c r="Q180" i="9"/>
  <c r="O179" i="9"/>
  <c r="P179" i="9" s="1"/>
  <c r="N179" i="9"/>
  <c r="T226" i="10"/>
  <c r="C227" i="10"/>
  <c r="H163" i="10"/>
  <c r="I163" i="10" s="1"/>
  <c r="N162" i="10"/>
  <c r="O162" i="10"/>
  <c r="P162" i="10" s="1"/>
  <c r="G220" i="10"/>
  <c r="J220" i="10" s="1"/>
  <c r="F222" i="9"/>
  <c r="R222" i="10"/>
  <c r="K221" i="10"/>
  <c r="M221" i="10" s="1"/>
  <c r="S221" i="10"/>
  <c r="G221" i="10" s="1"/>
  <c r="J221" i="10" s="1"/>
  <c r="S221" i="5"/>
  <c r="G221" i="5" s="1"/>
  <c r="J221" i="5" s="1"/>
  <c r="R222" i="5"/>
  <c r="K221" i="5"/>
  <c r="M221" i="5" s="1"/>
  <c r="R222" i="9"/>
  <c r="K221" i="9"/>
  <c r="M221" i="9" s="1"/>
  <c r="S221" i="9"/>
  <c r="G221" i="9" s="1"/>
  <c r="J221" i="9" s="1"/>
  <c r="L220" i="9"/>
  <c r="G220" i="9"/>
  <c r="J220" i="9" s="1"/>
  <c r="L220" i="10"/>
  <c r="F222" i="5"/>
  <c r="F222" i="10"/>
  <c r="T232" i="9" l="1"/>
  <c r="C233" i="9"/>
  <c r="C228" i="10"/>
  <c r="T227" i="10"/>
  <c r="L221" i="9"/>
  <c r="T227" i="5"/>
  <c r="C228" i="5"/>
  <c r="H193" i="5"/>
  <c r="I193" i="5" s="1"/>
  <c r="N192" i="5"/>
  <c r="O192" i="5"/>
  <c r="P192" i="5" s="1"/>
  <c r="N180" i="9"/>
  <c r="O180" i="9"/>
  <c r="P180" i="9" s="1"/>
  <c r="H181" i="9"/>
  <c r="Q181" i="9" s="1"/>
  <c r="I181" i="9"/>
  <c r="Q163" i="10"/>
  <c r="R223" i="9"/>
  <c r="K222" i="9"/>
  <c r="M222" i="9" s="1"/>
  <c r="S222" i="9"/>
  <c r="G222" i="9" s="1"/>
  <c r="J222" i="9" s="1"/>
  <c r="F223" i="9"/>
  <c r="L221" i="5"/>
  <c r="F223" i="5"/>
  <c r="F223" i="10"/>
  <c r="S222" i="5"/>
  <c r="G222" i="5" s="1"/>
  <c r="J222" i="5" s="1"/>
  <c r="K222" i="5"/>
  <c r="M222" i="5" s="1"/>
  <c r="R223" i="5"/>
  <c r="R223" i="10"/>
  <c r="K222" i="10"/>
  <c r="M222" i="10" s="1"/>
  <c r="S222" i="10"/>
  <c r="G222" i="10" s="1"/>
  <c r="J222" i="10" s="1"/>
  <c r="L221" i="10"/>
  <c r="N181" i="9" l="1"/>
  <c r="H182" i="9"/>
  <c r="Q182" i="9" s="1"/>
  <c r="O181" i="9"/>
  <c r="P181" i="9" s="1"/>
  <c r="I182" i="9"/>
  <c r="C229" i="5"/>
  <c r="T228" i="5"/>
  <c r="C229" i="10"/>
  <c r="T228" i="10"/>
  <c r="Q193" i="5"/>
  <c r="C234" i="9"/>
  <c r="T233" i="9"/>
  <c r="N163" i="10"/>
  <c r="O163" i="10"/>
  <c r="P163" i="10" s="1"/>
  <c r="H164" i="10"/>
  <c r="I164" i="10" s="1"/>
  <c r="K223" i="10"/>
  <c r="M223" i="10" s="1"/>
  <c r="R224" i="10"/>
  <c r="S223" i="10"/>
  <c r="G223" i="10" s="1"/>
  <c r="J223" i="10" s="1"/>
  <c r="K223" i="9"/>
  <c r="M223" i="9" s="1"/>
  <c r="R224" i="9"/>
  <c r="S223" i="9"/>
  <c r="L222" i="10"/>
  <c r="L222" i="5"/>
  <c r="L223" i="5" s="1"/>
  <c r="F224" i="10"/>
  <c r="K223" i="5"/>
  <c r="M223" i="5" s="1"/>
  <c r="S223" i="5"/>
  <c r="G223" i="5" s="1"/>
  <c r="J223" i="5" s="1"/>
  <c r="R224" i="5"/>
  <c r="F224" i="5"/>
  <c r="F224" i="9"/>
  <c r="G223" i="9"/>
  <c r="J223" i="9" s="1"/>
  <c r="L222" i="9"/>
  <c r="L223" i="9" s="1"/>
  <c r="T229" i="10" l="1"/>
  <c r="C230" i="10"/>
  <c r="T234" i="9"/>
  <c r="C235" i="9"/>
  <c r="C230" i="5"/>
  <c r="T229" i="5"/>
  <c r="O193" i="5"/>
  <c r="P193" i="5" s="1"/>
  <c r="H194" i="5"/>
  <c r="I194" i="5" s="1"/>
  <c r="N193" i="5"/>
  <c r="H183" i="9"/>
  <c r="Q183" i="9" s="1"/>
  <c r="N182" i="9"/>
  <c r="O182" i="9"/>
  <c r="P182" i="9" s="1"/>
  <c r="Q164" i="10"/>
  <c r="F225" i="9"/>
  <c r="K224" i="9"/>
  <c r="M224" i="9" s="1"/>
  <c r="R225" i="9"/>
  <c r="S224" i="9"/>
  <c r="G224" i="9" s="1"/>
  <c r="J224" i="9" s="1"/>
  <c r="R225" i="5"/>
  <c r="K224" i="5"/>
  <c r="M224" i="5" s="1"/>
  <c r="S224" i="5"/>
  <c r="G224" i="5" s="1"/>
  <c r="J224" i="5" s="1"/>
  <c r="F225" i="10"/>
  <c r="K224" i="10"/>
  <c r="M224" i="10" s="1"/>
  <c r="R225" i="10"/>
  <c r="S224" i="10"/>
  <c r="G224" i="10" s="1"/>
  <c r="J224" i="10" s="1"/>
  <c r="L223" i="10"/>
  <c r="F225" i="5"/>
  <c r="Q194" i="5" l="1"/>
  <c r="L224" i="9"/>
  <c r="C231" i="5"/>
  <c r="T230" i="5"/>
  <c r="T235" i="9"/>
  <c r="C236" i="9"/>
  <c r="I183" i="9"/>
  <c r="H184" i="9"/>
  <c r="Q184" i="9" s="1"/>
  <c r="N183" i="9"/>
  <c r="O183" i="9"/>
  <c r="P183" i="9" s="1"/>
  <c r="L224" i="5"/>
  <c r="H195" i="5"/>
  <c r="I195" i="5" s="1"/>
  <c r="Q195" i="5"/>
  <c r="O194" i="5"/>
  <c r="P194" i="5" s="1"/>
  <c r="N194" i="5"/>
  <c r="T230" i="10"/>
  <c r="C231" i="10"/>
  <c r="N164" i="10"/>
  <c r="O164" i="10"/>
  <c r="P164" i="10" s="1"/>
  <c r="H165" i="10"/>
  <c r="I165" i="10" s="1"/>
  <c r="L224" i="10"/>
  <c r="R226" i="9"/>
  <c r="K225" i="9"/>
  <c r="M225" i="9" s="1"/>
  <c r="S225" i="9"/>
  <c r="F226" i="5"/>
  <c r="G225" i="5"/>
  <c r="J225" i="5" s="1"/>
  <c r="F226" i="10"/>
  <c r="F226" i="9"/>
  <c r="G225" i="9"/>
  <c r="J225" i="9" s="1"/>
  <c r="R226" i="10"/>
  <c r="K225" i="10"/>
  <c r="M225" i="10" s="1"/>
  <c r="S225" i="10"/>
  <c r="G225" i="10" s="1"/>
  <c r="J225" i="10" s="1"/>
  <c r="S225" i="5"/>
  <c r="R226" i="5"/>
  <c r="K225" i="5"/>
  <c r="M225" i="5" s="1"/>
  <c r="L225" i="9" l="1"/>
  <c r="H185" i="9"/>
  <c r="Q185" i="9" s="1"/>
  <c r="N184" i="9"/>
  <c r="O184" i="9"/>
  <c r="P184" i="9" s="1"/>
  <c r="I184" i="9"/>
  <c r="I185" i="9" s="1"/>
  <c r="O195" i="5"/>
  <c r="P195" i="5" s="1"/>
  <c r="H196" i="5"/>
  <c r="I196" i="5" s="1"/>
  <c r="N195" i="5"/>
  <c r="T231" i="10"/>
  <c r="C232" i="10"/>
  <c r="T236" i="9"/>
  <c r="C237" i="9"/>
  <c r="L225" i="5"/>
  <c r="T231" i="5"/>
  <c r="C232" i="5"/>
  <c r="Q165" i="10"/>
  <c r="R227" i="9"/>
  <c r="K226" i="9"/>
  <c r="M226" i="9" s="1"/>
  <c r="S226" i="9"/>
  <c r="G226" i="9" s="1"/>
  <c r="J226" i="9" s="1"/>
  <c r="F227" i="10"/>
  <c r="L225" i="10"/>
  <c r="S226" i="5"/>
  <c r="G226" i="5" s="1"/>
  <c r="J226" i="5" s="1"/>
  <c r="K226" i="5"/>
  <c r="M226" i="5" s="1"/>
  <c r="R227" i="5"/>
  <c r="R227" i="10"/>
  <c r="K226" i="10"/>
  <c r="M226" i="10" s="1"/>
  <c r="S226" i="10"/>
  <c r="G226" i="10" s="1"/>
  <c r="J226" i="10" s="1"/>
  <c r="F227" i="9"/>
  <c r="F227" i="5"/>
  <c r="C233" i="5" l="1"/>
  <c r="T232" i="5"/>
  <c r="Q196" i="5"/>
  <c r="C238" i="9"/>
  <c r="T237" i="9"/>
  <c r="I186" i="9"/>
  <c r="C233" i="10"/>
  <c r="T232" i="10"/>
  <c r="O185" i="9"/>
  <c r="P185" i="9" s="1"/>
  <c r="N185" i="9"/>
  <c r="H186" i="9"/>
  <c r="Q186" i="9" s="1"/>
  <c r="H166" i="10"/>
  <c r="N165" i="10"/>
  <c r="O165" i="10"/>
  <c r="P165" i="10" s="1"/>
  <c r="K227" i="9"/>
  <c r="M227" i="9" s="1"/>
  <c r="R228" i="9"/>
  <c r="S227" i="9"/>
  <c r="F228" i="5"/>
  <c r="F228" i="9"/>
  <c r="G227" i="9"/>
  <c r="J227" i="9" s="1"/>
  <c r="K227" i="10"/>
  <c r="M227" i="10" s="1"/>
  <c r="R228" i="10"/>
  <c r="S227" i="10"/>
  <c r="G227" i="10" s="1"/>
  <c r="J227" i="10" s="1"/>
  <c r="F228" i="10"/>
  <c r="L226" i="9"/>
  <c r="L226" i="10"/>
  <c r="K227" i="5"/>
  <c r="M227" i="5" s="1"/>
  <c r="R228" i="5"/>
  <c r="S227" i="5"/>
  <c r="G227" i="5" s="1"/>
  <c r="J227" i="5" s="1"/>
  <c r="L226" i="5"/>
  <c r="L227" i="5" s="1"/>
  <c r="T233" i="10" l="1"/>
  <c r="C234" i="10"/>
  <c r="T238" i="9"/>
  <c r="C239" i="9"/>
  <c r="O186" i="9"/>
  <c r="P186" i="9" s="1"/>
  <c r="H187" i="9"/>
  <c r="Q187" i="9" s="1"/>
  <c r="N186" i="9"/>
  <c r="O196" i="5"/>
  <c r="P196" i="5" s="1"/>
  <c r="N196" i="5"/>
  <c r="H197" i="5"/>
  <c r="L227" i="9"/>
  <c r="L228" i="9" s="1"/>
  <c r="C234" i="5"/>
  <c r="T233" i="5"/>
  <c r="Q166" i="10"/>
  <c r="I166" i="10"/>
  <c r="R229" i="5"/>
  <c r="S228" i="5"/>
  <c r="G228" i="5" s="1"/>
  <c r="J228" i="5" s="1"/>
  <c r="K228" i="5"/>
  <c r="M228" i="5" s="1"/>
  <c r="K228" i="10"/>
  <c r="M228" i="10" s="1"/>
  <c r="R229" i="10"/>
  <c r="S228" i="10"/>
  <c r="G228" i="10" s="1"/>
  <c r="J228" i="10" s="1"/>
  <c r="F229" i="5"/>
  <c r="F229" i="9"/>
  <c r="R229" i="9"/>
  <c r="K228" i="9"/>
  <c r="M228" i="9" s="1"/>
  <c r="S228" i="9"/>
  <c r="G228" i="9" s="1"/>
  <c r="J228" i="9" s="1"/>
  <c r="L227" i="10"/>
  <c r="F229" i="10"/>
  <c r="L228" i="5" l="1"/>
  <c r="T239" i="9"/>
  <c r="C240" i="9"/>
  <c r="T234" i="10"/>
  <c r="C235" i="10"/>
  <c r="O187" i="9"/>
  <c r="P187" i="9" s="1"/>
  <c r="N187" i="9"/>
  <c r="H188" i="9"/>
  <c r="Q188" i="9" s="1"/>
  <c r="C235" i="5"/>
  <c r="T234" i="5"/>
  <c r="Q197" i="5"/>
  <c r="I197" i="5"/>
  <c r="I187" i="9"/>
  <c r="O166" i="10"/>
  <c r="P166" i="10" s="1"/>
  <c r="H167" i="10"/>
  <c r="Q167" i="10" s="1"/>
  <c r="N166" i="10"/>
  <c r="L228" i="10"/>
  <c r="K229" i="10"/>
  <c r="M229" i="10" s="1"/>
  <c r="R230" i="10"/>
  <c r="S229" i="10"/>
  <c r="G229" i="10" s="1"/>
  <c r="J229" i="10" s="1"/>
  <c r="S229" i="5"/>
  <c r="G229" i="5" s="1"/>
  <c r="J229" i="5" s="1"/>
  <c r="R230" i="5"/>
  <c r="K229" i="5"/>
  <c r="M229" i="5" s="1"/>
  <c r="K229" i="9"/>
  <c r="M229" i="9" s="1"/>
  <c r="R230" i="9"/>
  <c r="S229" i="9"/>
  <c r="G229" i="9" s="1"/>
  <c r="J229" i="9" s="1"/>
  <c r="F230" i="10"/>
  <c r="F230" i="5"/>
  <c r="F230" i="9"/>
  <c r="L229" i="9"/>
  <c r="L229" i="5" l="1"/>
  <c r="T235" i="10"/>
  <c r="C236" i="10"/>
  <c r="T240" i="9"/>
  <c r="C241" i="9"/>
  <c r="I188" i="9"/>
  <c r="H198" i="5"/>
  <c r="Q198" i="5" s="1"/>
  <c r="O197" i="5"/>
  <c r="P197" i="5" s="1"/>
  <c r="N197" i="5"/>
  <c r="H189" i="9"/>
  <c r="O188" i="9"/>
  <c r="P188" i="9" s="1"/>
  <c r="N188" i="9"/>
  <c r="Q189" i="9"/>
  <c r="T235" i="5"/>
  <c r="C236" i="5"/>
  <c r="N167" i="10"/>
  <c r="H168" i="10"/>
  <c r="Q168" i="10" s="1"/>
  <c r="O167" i="10"/>
  <c r="P167" i="10" s="1"/>
  <c r="I167" i="10"/>
  <c r="L229" i="10"/>
  <c r="F231" i="9"/>
  <c r="K230" i="10"/>
  <c r="M230" i="10" s="1"/>
  <c r="R231" i="10"/>
  <c r="S230" i="10"/>
  <c r="G230" i="10" s="1"/>
  <c r="J230" i="10" s="1"/>
  <c r="F231" i="10"/>
  <c r="F231" i="5"/>
  <c r="R231" i="9"/>
  <c r="K230" i="9"/>
  <c r="M230" i="9" s="1"/>
  <c r="S230" i="9"/>
  <c r="G230" i="9" s="1"/>
  <c r="J230" i="9" s="1"/>
  <c r="S230" i="5"/>
  <c r="G230" i="5" s="1"/>
  <c r="J230" i="5" s="1"/>
  <c r="K230" i="5"/>
  <c r="M230" i="5" s="1"/>
  <c r="R231" i="5"/>
  <c r="C237" i="5" l="1"/>
  <c r="T236" i="5"/>
  <c r="O198" i="5"/>
  <c r="P198" i="5" s="1"/>
  <c r="H199" i="5"/>
  <c r="N198" i="5"/>
  <c r="Q199" i="5"/>
  <c r="H190" i="9"/>
  <c r="I190" i="9" s="1"/>
  <c r="N189" i="9"/>
  <c r="O189" i="9"/>
  <c r="P189" i="9" s="1"/>
  <c r="C242" i="9"/>
  <c r="T241" i="9"/>
  <c r="L230" i="9"/>
  <c r="C237" i="10"/>
  <c r="T236" i="10"/>
  <c r="L230" i="5"/>
  <c r="I189" i="9"/>
  <c r="I198" i="5"/>
  <c r="O168" i="10"/>
  <c r="P168" i="10" s="1"/>
  <c r="N168" i="10"/>
  <c r="H169" i="10"/>
  <c r="Q169" i="10" s="1"/>
  <c r="I168" i="10"/>
  <c r="L230" i="10"/>
  <c r="F232" i="9"/>
  <c r="F232" i="5"/>
  <c r="K231" i="5"/>
  <c r="M231" i="5" s="1"/>
  <c r="R232" i="5"/>
  <c r="S231" i="5"/>
  <c r="G231" i="5" s="1"/>
  <c r="J231" i="5" s="1"/>
  <c r="R232" i="9"/>
  <c r="K231" i="9"/>
  <c r="M231" i="9" s="1"/>
  <c r="S231" i="9"/>
  <c r="G231" i="9" s="1"/>
  <c r="J231" i="9" s="1"/>
  <c r="F232" i="10"/>
  <c r="R232" i="10"/>
  <c r="K231" i="10"/>
  <c r="M231" i="10" s="1"/>
  <c r="S231" i="10"/>
  <c r="G231" i="10" s="1"/>
  <c r="J231" i="10" s="1"/>
  <c r="L231" i="9" l="1"/>
  <c r="N199" i="5"/>
  <c r="O199" i="5"/>
  <c r="P199" i="5" s="1"/>
  <c r="H200" i="5"/>
  <c r="Q200" i="5" s="1"/>
  <c r="T237" i="10"/>
  <c r="C238" i="10"/>
  <c r="I199" i="5"/>
  <c r="I200" i="5" s="1"/>
  <c r="Q190" i="9"/>
  <c r="T242" i="9"/>
  <c r="C243" i="9"/>
  <c r="C238" i="5"/>
  <c r="T237" i="5"/>
  <c r="H170" i="10"/>
  <c r="Q170" i="10" s="1"/>
  <c r="N169" i="10"/>
  <c r="O169" i="10"/>
  <c r="P169" i="10" s="1"/>
  <c r="I169" i="10"/>
  <c r="R233" i="10"/>
  <c r="K232" i="10"/>
  <c r="M232" i="10" s="1"/>
  <c r="S232" i="10"/>
  <c r="V23" i="10" s="1"/>
  <c r="F233" i="9"/>
  <c r="L231" i="5"/>
  <c r="K232" i="5"/>
  <c r="M232" i="5" s="1"/>
  <c r="R233" i="5"/>
  <c r="S232" i="5"/>
  <c r="V23" i="5" s="1"/>
  <c r="F233" i="10"/>
  <c r="K232" i="9"/>
  <c r="M232" i="9" s="1"/>
  <c r="R233" i="9"/>
  <c r="S232" i="9"/>
  <c r="V23" i="9" s="1"/>
  <c r="F233" i="5"/>
  <c r="L231" i="10"/>
  <c r="T238" i="10" l="1"/>
  <c r="C239" i="10"/>
  <c r="O200" i="5"/>
  <c r="P200" i="5" s="1"/>
  <c r="N200" i="5"/>
  <c r="H201" i="5"/>
  <c r="Q201" i="5" s="1"/>
  <c r="G232" i="9"/>
  <c r="J232" i="9" s="1"/>
  <c r="C239" i="5"/>
  <c r="T238" i="5"/>
  <c r="H191" i="9"/>
  <c r="I191" i="9" s="1"/>
  <c r="O190" i="9"/>
  <c r="P190" i="9" s="1"/>
  <c r="N190" i="9"/>
  <c r="L232" i="9"/>
  <c r="L233" i="9" s="1"/>
  <c r="T243" i="9"/>
  <c r="C244" i="9"/>
  <c r="O170" i="10"/>
  <c r="P170" i="10" s="1"/>
  <c r="H171" i="10"/>
  <c r="Q171" i="10" s="1"/>
  <c r="N170" i="10"/>
  <c r="L232" i="10"/>
  <c r="I170" i="10"/>
  <c r="G232" i="10"/>
  <c r="J232" i="10" s="1"/>
  <c r="K233" i="10"/>
  <c r="M233" i="10" s="1"/>
  <c r="R234" i="10"/>
  <c r="S233" i="10"/>
  <c r="G233" i="10" s="1"/>
  <c r="J233" i="10" s="1"/>
  <c r="G232" i="5"/>
  <c r="J232" i="5" s="1"/>
  <c r="L232" i="5"/>
  <c r="K233" i="9"/>
  <c r="M233" i="9" s="1"/>
  <c r="R234" i="9"/>
  <c r="S233" i="9"/>
  <c r="G233" i="9" s="1"/>
  <c r="J233" i="9" s="1"/>
  <c r="F234" i="5"/>
  <c r="F234" i="10"/>
  <c r="K233" i="5"/>
  <c r="M233" i="5" s="1"/>
  <c r="S233" i="5"/>
  <c r="G233" i="5" s="1"/>
  <c r="J233" i="5" s="1"/>
  <c r="R234" i="5"/>
  <c r="F234" i="9"/>
  <c r="T239" i="5" l="1"/>
  <c r="C240" i="5"/>
  <c r="O201" i="5"/>
  <c r="P201" i="5" s="1"/>
  <c r="N201" i="5"/>
  <c r="H202" i="5"/>
  <c r="Q202" i="5" s="1"/>
  <c r="T244" i="9"/>
  <c r="C245" i="9"/>
  <c r="T239" i="10"/>
  <c r="C240" i="10"/>
  <c r="Q191" i="9"/>
  <c r="L233" i="5"/>
  <c r="I201" i="5"/>
  <c r="I171" i="10"/>
  <c r="N171" i="10"/>
  <c r="H172" i="10"/>
  <c r="Q172" i="10" s="1"/>
  <c r="O171" i="10"/>
  <c r="P171" i="10" s="1"/>
  <c r="L233" i="10"/>
  <c r="F235" i="9"/>
  <c r="F235" i="5"/>
  <c r="K234" i="10"/>
  <c r="M234" i="10" s="1"/>
  <c r="R235" i="10"/>
  <c r="S234" i="10"/>
  <c r="G234" i="10" s="1"/>
  <c r="J234" i="10" s="1"/>
  <c r="R235" i="9"/>
  <c r="K234" i="9"/>
  <c r="M234" i="9" s="1"/>
  <c r="S234" i="9"/>
  <c r="G234" i="9" s="1"/>
  <c r="J234" i="9" s="1"/>
  <c r="R235" i="5"/>
  <c r="S234" i="5"/>
  <c r="G234" i="5" s="1"/>
  <c r="J234" i="5" s="1"/>
  <c r="K234" i="5"/>
  <c r="M234" i="5" s="1"/>
  <c r="F235" i="10"/>
  <c r="O202" i="5" l="1"/>
  <c r="P202" i="5" s="1"/>
  <c r="H203" i="5"/>
  <c r="Q203" i="5" s="1"/>
  <c r="N202" i="5"/>
  <c r="I202" i="5"/>
  <c r="I203" i="5" s="1"/>
  <c r="H192" i="9"/>
  <c r="N191" i="9"/>
  <c r="O191" i="9"/>
  <c r="P191" i="9" s="1"/>
  <c r="C241" i="5"/>
  <c r="T240" i="5"/>
  <c r="C246" i="9"/>
  <c r="T245" i="9"/>
  <c r="L234" i="9"/>
  <c r="C241" i="10"/>
  <c r="T240" i="10"/>
  <c r="O172" i="10"/>
  <c r="P172" i="10" s="1"/>
  <c r="N172" i="10"/>
  <c r="H173" i="10"/>
  <c r="Q173" i="10" s="1"/>
  <c r="L234" i="10"/>
  <c r="I172" i="10"/>
  <c r="I173" i="10" s="1"/>
  <c r="F236" i="9"/>
  <c r="F236" i="10"/>
  <c r="R236" i="9"/>
  <c r="K235" i="9"/>
  <c r="M235" i="9" s="1"/>
  <c r="S235" i="9"/>
  <c r="G235" i="9" s="1"/>
  <c r="J235" i="9" s="1"/>
  <c r="R236" i="10"/>
  <c r="K235" i="10"/>
  <c r="M235" i="10" s="1"/>
  <c r="S235" i="10"/>
  <c r="G235" i="10" s="1"/>
  <c r="J235" i="10" s="1"/>
  <c r="S235" i="5"/>
  <c r="R236" i="5"/>
  <c r="K235" i="5"/>
  <c r="M235" i="5" s="1"/>
  <c r="G235" i="5"/>
  <c r="J235" i="5" s="1"/>
  <c r="F236" i="5"/>
  <c r="L234" i="5"/>
  <c r="T241" i="10" l="1"/>
  <c r="C242" i="10"/>
  <c r="Q192" i="9"/>
  <c r="I192" i="9"/>
  <c r="C242" i="5"/>
  <c r="T241" i="5"/>
  <c r="T246" i="9"/>
  <c r="C247" i="9"/>
  <c r="N203" i="5"/>
  <c r="O203" i="5"/>
  <c r="P203" i="5" s="1"/>
  <c r="H204" i="5"/>
  <c r="Q204" i="5" s="1"/>
  <c r="L235" i="9"/>
  <c r="O173" i="10"/>
  <c r="P173" i="10" s="1"/>
  <c r="N173" i="10"/>
  <c r="H174" i="10"/>
  <c r="Q174" i="10" s="1"/>
  <c r="K236" i="9"/>
  <c r="M236" i="9" s="1"/>
  <c r="R237" i="9"/>
  <c r="S236" i="9"/>
  <c r="G236" i="9" s="1"/>
  <c r="J236" i="9" s="1"/>
  <c r="F237" i="9"/>
  <c r="F237" i="5"/>
  <c r="F237" i="10"/>
  <c r="L235" i="5"/>
  <c r="S236" i="5"/>
  <c r="G236" i="5" s="1"/>
  <c r="J236" i="5" s="1"/>
  <c r="R237" i="5"/>
  <c r="K236" i="5"/>
  <c r="M236" i="5" s="1"/>
  <c r="R237" i="10"/>
  <c r="K236" i="10"/>
  <c r="M236" i="10" s="1"/>
  <c r="S236" i="10"/>
  <c r="G236" i="10" s="1"/>
  <c r="J236" i="10" s="1"/>
  <c r="L235" i="10"/>
  <c r="I204" i="5" l="1"/>
  <c r="N204" i="5"/>
  <c r="H205" i="5"/>
  <c r="Q205" i="5" s="1"/>
  <c r="O204" i="5"/>
  <c r="P204" i="5" s="1"/>
  <c r="O192" i="9"/>
  <c r="P192" i="9" s="1"/>
  <c r="N192" i="9"/>
  <c r="H193" i="9"/>
  <c r="Q193" i="9" s="1"/>
  <c r="C243" i="5"/>
  <c r="T242" i="5"/>
  <c r="T242" i="10"/>
  <c r="C243" i="10"/>
  <c r="T247" i="9"/>
  <c r="C248" i="9"/>
  <c r="H175" i="10"/>
  <c r="Q175" i="10" s="1"/>
  <c r="N174" i="10"/>
  <c r="O174" i="10"/>
  <c r="P174" i="10" s="1"/>
  <c r="I174" i="10"/>
  <c r="L236" i="10"/>
  <c r="K237" i="10"/>
  <c r="M237" i="10" s="1"/>
  <c r="R238" i="10"/>
  <c r="S237" i="10"/>
  <c r="G237" i="10" s="1"/>
  <c r="J237" i="10" s="1"/>
  <c r="F238" i="10"/>
  <c r="F238" i="9"/>
  <c r="S237" i="5"/>
  <c r="G237" i="5" s="1"/>
  <c r="J237" i="5" s="1"/>
  <c r="R238" i="5"/>
  <c r="K237" i="5"/>
  <c r="M237" i="5" s="1"/>
  <c r="F238" i="5"/>
  <c r="K237" i="9"/>
  <c r="M237" i="9" s="1"/>
  <c r="R238" i="9"/>
  <c r="S237" i="9"/>
  <c r="G237" i="9" s="1"/>
  <c r="J237" i="9" s="1"/>
  <c r="L236" i="5"/>
  <c r="L237" i="5" s="1"/>
  <c r="L236" i="9"/>
  <c r="L237" i="9" s="1"/>
  <c r="O193" i="9" l="1"/>
  <c r="P193" i="9" s="1"/>
  <c r="H194" i="9"/>
  <c r="Q194" i="9" s="1"/>
  <c r="N193" i="9"/>
  <c r="T243" i="5"/>
  <c r="C244" i="5"/>
  <c r="I193" i="9"/>
  <c r="I194" i="9" s="1"/>
  <c r="H206" i="5"/>
  <c r="Q206" i="5" s="1"/>
  <c r="O205" i="5"/>
  <c r="P205" i="5" s="1"/>
  <c r="N205" i="5"/>
  <c r="T248" i="9"/>
  <c r="C249" i="9"/>
  <c r="T243" i="10"/>
  <c r="C244" i="10"/>
  <c r="I205" i="5"/>
  <c r="H176" i="10"/>
  <c r="Q176" i="10" s="1"/>
  <c r="O175" i="10"/>
  <c r="P175" i="10" s="1"/>
  <c r="N175" i="10"/>
  <c r="I175" i="10"/>
  <c r="S238" i="5"/>
  <c r="G238" i="5" s="1"/>
  <c r="J238" i="5" s="1"/>
  <c r="K238" i="5"/>
  <c r="M238" i="5" s="1"/>
  <c r="R239" i="5"/>
  <c r="F239" i="9"/>
  <c r="K238" i="10"/>
  <c r="M238" i="10" s="1"/>
  <c r="R239" i="10"/>
  <c r="S238" i="10"/>
  <c r="G238" i="10" s="1"/>
  <c r="J238" i="10" s="1"/>
  <c r="L237" i="10"/>
  <c r="R239" i="9"/>
  <c r="K238" i="9"/>
  <c r="M238" i="9" s="1"/>
  <c r="S238" i="9"/>
  <c r="G238" i="9" s="1"/>
  <c r="J238" i="9" s="1"/>
  <c r="F239" i="5"/>
  <c r="F239" i="10"/>
  <c r="I206" i="5" l="1"/>
  <c r="H207" i="5"/>
  <c r="Q207" i="5" s="1"/>
  <c r="N206" i="5"/>
  <c r="O206" i="5"/>
  <c r="P206" i="5" s="1"/>
  <c r="C245" i="5"/>
  <c r="T244" i="5"/>
  <c r="C250" i="9"/>
  <c r="T249" i="9"/>
  <c r="C245" i="10"/>
  <c r="T244" i="10"/>
  <c r="L238" i="9"/>
  <c r="N194" i="9"/>
  <c r="H195" i="9"/>
  <c r="Q195" i="9" s="1"/>
  <c r="O194" i="9"/>
  <c r="P194" i="9" s="1"/>
  <c r="O176" i="10"/>
  <c r="P176" i="10" s="1"/>
  <c r="N176" i="10"/>
  <c r="H177" i="10"/>
  <c r="Q177" i="10" s="1"/>
  <c r="I176" i="10"/>
  <c r="L238" i="10"/>
  <c r="F240" i="10"/>
  <c r="L238" i="5"/>
  <c r="F240" i="5"/>
  <c r="R240" i="9"/>
  <c r="K239" i="9"/>
  <c r="M239" i="9" s="1"/>
  <c r="S239" i="9"/>
  <c r="G239" i="9" s="1"/>
  <c r="J239" i="9" s="1"/>
  <c r="R240" i="10"/>
  <c r="K239" i="10"/>
  <c r="M239" i="10" s="1"/>
  <c r="S239" i="10"/>
  <c r="G239" i="10" s="1"/>
  <c r="J239" i="10" s="1"/>
  <c r="K239" i="5"/>
  <c r="M239" i="5" s="1"/>
  <c r="S239" i="5"/>
  <c r="G239" i="5" s="1"/>
  <c r="J239" i="5" s="1"/>
  <c r="R240" i="5"/>
  <c r="F240" i="9"/>
  <c r="I207" i="5" l="1"/>
  <c r="T250" i="9"/>
  <c r="C251" i="9"/>
  <c r="H196" i="9"/>
  <c r="Q196" i="9" s="1"/>
  <c r="N195" i="9"/>
  <c r="O195" i="9"/>
  <c r="P195" i="9" s="1"/>
  <c r="C246" i="5"/>
  <c r="T245" i="5"/>
  <c r="L239" i="9"/>
  <c r="T245" i="10"/>
  <c r="C246" i="10"/>
  <c r="O207" i="5"/>
  <c r="P207" i="5" s="1"/>
  <c r="N207" i="5"/>
  <c r="H208" i="5"/>
  <c r="Q208" i="5" s="1"/>
  <c r="I195" i="9"/>
  <c r="I196" i="9" s="1"/>
  <c r="I208" i="5"/>
  <c r="O177" i="10"/>
  <c r="P177" i="10" s="1"/>
  <c r="H178" i="10"/>
  <c r="Q178" i="10" s="1"/>
  <c r="N177" i="10"/>
  <c r="I177" i="10"/>
  <c r="F241" i="9"/>
  <c r="F241" i="10"/>
  <c r="L239" i="5"/>
  <c r="K240" i="10"/>
  <c r="M240" i="10" s="1"/>
  <c r="R241" i="10"/>
  <c r="S240" i="10"/>
  <c r="G240" i="10" s="1"/>
  <c r="J240" i="10" s="1"/>
  <c r="L239" i="10"/>
  <c r="F241" i="5"/>
  <c r="R241" i="5"/>
  <c r="S240" i="5"/>
  <c r="G240" i="5" s="1"/>
  <c r="J240" i="5" s="1"/>
  <c r="K240" i="5"/>
  <c r="M240" i="5" s="1"/>
  <c r="K240" i="9"/>
  <c r="M240" i="9" s="1"/>
  <c r="R241" i="9"/>
  <c r="S240" i="9"/>
  <c r="G240" i="9" s="1"/>
  <c r="J240" i="9" s="1"/>
  <c r="L240" i="9" l="1"/>
  <c r="C247" i="5"/>
  <c r="T246" i="5"/>
  <c r="N196" i="9"/>
  <c r="O196" i="9"/>
  <c r="P196" i="9" s="1"/>
  <c r="H197" i="9"/>
  <c r="Q197" i="9" s="1"/>
  <c r="I209" i="5"/>
  <c r="N208" i="5"/>
  <c r="O208" i="5"/>
  <c r="P208" i="5" s="1"/>
  <c r="H209" i="5"/>
  <c r="Q209" i="5" s="1"/>
  <c r="T246" i="10"/>
  <c r="C247" i="10"/>
  <c r="T251" i="9"/>
  <c r="C252" i="9"/>
  <c r="H179" i="10"/>
  <c r="Q179" i="10" s="1"/>
  <c r="N178" i="10"/>
  <c r="O178" i="10"/>
  <c r="P178" i="10" s="1"/>
  <c r="I178" i="10"/>
  <c r="K241" i="10"/>
  <c r="M241" i="10" s="1"/>
  <c r="R242" i="10"/>
  <c r="S241" i="10"/>
  <c r="G241" i="10" s="1"/>
  <c r="J241" i="10" s="1"/>
  <c r="F242" i="9"/>
  <c r="K241" i="9"/>
  <c r="M241" i="9" s="1"/>
  <c r="R242" i="9"/>
  <c r="S241" i="9"/>
  <c r="G241" i="9" s="1"/>
  <c r="J241" i="9" s="1"/>
  <c r="S241" i="5"/>
  <c r="R242" i="5"/>
  <c r="K241" i="5"/>
  <c r="M241" i="5" s="1"/>
  <c r="L240" i="5"/>
  <c r="L241" i="5" s="1"/>
  <c r="G241" i="5"/>
  <c r="J241" i="5" s="1"/>
  <c r="F242" i="5"/>
  <c r="F242" i="10"/>
  <c r="L240" i="10"/>
  <c r="H210" i="5" l="1"/>
  <c r="Q210" i="5" s="1"/>
  <c r="N209" i="5"/>
  <c r="O209" i="5"/>
  <c r="P209" i="5" s="1"/>
  <c r="I210" i="5"/>
  <c r="T247" i="5"/>
  <c r="C248" i="5"/>
  <c r="O197" i="9"/>
  <c r="P197" i="9" s="1"/>
  <c r="N197" i="9"/>
  <c r="H198" i="9"/>
  <c r="Q198" i="9" s="1"/>
  <c r="L241" i="9"/>
  <c r="T247" i="10"/>
  <c r="C248" i="10"/>
  <c r="I197" i="9"/>
  <c r="I198" i="9" s="1"/>
  <c r="T252" i="9"/>
  <c r="C253" i="9"/>
  <c r="N179" i="10"/>
  <c r="H180" i="10"/>
  <c r="Q180" i="10" s="1"/>
  <c r="O179" i="10"/>
  <c r="P179" i="10" s="1"/>
  <c r="I179" i="10"/>
  <c r="L241" i="10"/>
  <c r="F243" i="5"/>
  <c r="S242" i="5"/>
  <c r="G242" i="5" s="1"/>
  <c r="J242" i="5" s="1"/>
  <c r="K242" i="5"/>
  <c r="M242" i="5" s="1"/>
  <c r="R243" i="5"/>
  <c r="F243" i="9"/>
  <c r="F243" i="10"/>
  <c r="R243" i="9"/>
  <c r="K242" i="9"/>
  <c r="M242" i="9" s="1"/>
  <c r="S242" i="9"/>
  <c r="G242" i="9" s="1"/>
  <c r="J242" i="9" s="1"/>
  <c r="K242" i="10"/>
  <c r="M242" i="10" s="1"/>
  <c r="R243" i="10"/>
  <c r="S242" i="10"/>
  <c r="G242" i="10" s="1"/>
  <c r="J242" i="10" s="1"/>
  <c r="L242" i="5" l="1"/>
  <c r="C254" i="9"/>
  <c r="T253" i="9"/>
  <c r="C249" i="10"/>
  <c r="T248" i="10"/>
  <c r="L242" i="9"/>
  <c r="L243" i="9" s="1"/>
  <c r="C249" i="5"/>
  <c r="T248" i="5"/>
  <c r="O198" i="9"/>
  <c r="P198" i="9" s="1"/>
  <c r="N198" i="9"/>
  <c r="H199" i="9"/>
  <c r="Q199" i="9" s="1"/>
  <c r="O210" i="5"/>
  <c r="P210" i="5" s="1"/>
  <c r="H211" i="5"/>
  <c r="Q211" i="5" s="1"/>
  <c r="N210" i="5"/>
  <c r="N180" i="10"/>
  <c r="H181" i="10"/>
  <c r="Q181" i="10" s="1"/>
  <c r="O180" i="10"/>
  <c r="P180" i="10" s="1"/>
  <c r="I180" i="10"/>
  <c r="K243" i="10"/>
  <c r="M243" i="10" s="1"/>
  <c r="R244" i="10"/>
  <c r="S243" i="10"/>
  <c r="G243" i="10" s="1"/>
  <c r="J243" i="10" s="1"/>
  <c r="K243" i="5"/>
  <c r="M243" i="5" s="1"/>
  <c r="S243" i="5"/>
  <c r="G243" i="5" s="1"/>
  <c r="J243" i="5" s="1"/>
  <c r="R244" i="5"/>
  <c r="R244" i="9"/>
  <c r="K243" i="9"/>
  <c r="M243" i="9" s="1"/>
  <c r="S243" i="9"/>
  <c r="G243" i="9" s="1"/>
  <c r="J243" i="9" s="1"/>
  <c r="F244" i="9"/>
  <c r="L242" i="10"/>
  <c r="F244" i="5"/>
  <c r="F244" i="10"/>
  <c r="C250" i="5" l="1"/>
  <c r="T249" i="5"/>
  <c r="H212" i="5"/>
  <c r="N211" i="5"/>
  <c r="Q212" i="5"/>
  <c r="O211" i="5"/>
  <c r="P211" i="5" s="1"/>
  <c r="I211" i="5"/>
  <c r="I212" i="5" s="1"/>
  <c r="H200" i="9"/>
  <c r="Q200" i="9" s="1"/>
  <c r="O199" i="9"/>
  <c r="P199" i="9" s="1"/>
  <c r="N199" i="9"/>
  <c r="T249" i="10"/>
  <c r="C250" i="10"/>
  <c r="L243" i="5"/>
  <c r="L244" i="5" s="1"/>
  <c r="T254" i="9"/>
  <c r="C255" i="9"/>
  <c r="I199" i="9"/>
  <c r="L243" i="10"/>
  <c r="N181" i="10"/>
  <c r="O181" i="10"/>
  <c r="P181" i="10" s="1"/>
  <c r="H182" i="10"/>
  <c r="Q182" i="10" s="1"/>
  <c r="I181" i="10"/>
  <c r="F245" i="10"/>
  <c r="AC11" i="10"/>
  <c r="S10" i="8" s="1"/>
  <c r="F245" i="9"/>
  <c r="AC11" i="9"/>
  <c r="U10" i="8" s="1"/>
  <c r="K244" i="5"/>
  <c r="M244" i="5" s="1"/>
  <c r="S244" i="5"/>
  <c r="G244" i="5" s="1"/>
  <c r="R245" i="5"/>
  <c r="AC13" i="5"/>
  <c r="R245" i="10"/>
  <c r="AC13" i="10"/>
  <c r="K244" i="10"/>
  <c r="M244" i="10" s="1"/>
  <c r="S244" i="10"/>
  <c r="K244" i="9"/>
  <c r="M244" i="9" s="1"/>
  <c r="R245" i="9"/>
  <c r="S244" i="9"/>
  <c r="G244" i="9" s="1"/>
  <c r="AC13" i="9"/>
  <c r="F245" i="5"/>
  <c r="AC11" i="5"/>
  <c r="D8" i="3" s="1"/>
  <c r="H201" i="9" l="1"/>
  <c r="Q201" i="9" s="1"/>
  <c r="O200" i="9"/>
  <c r="P200" i="9" s="1"/>
  <c r="N200" i="9"/>
  <c r="T255" i="9"/>
  <c r="C256" i="9"/>
  <c r="O212" i="5"/>
  <c r="P212" i="5" s="1"/>
  <c r="H213" i="5"/>
  <c r="I213" i="5" s="1"/>
  <c r="N212" i="5"/>
  <c r="L244" i="9"/>
  <c r="T250" i="10"/>
  <c r="C251" i="10"/>
  <c r="I200" i="9"/>
  <c r="I201" i="9" s="1"/>
  <c r="C251" i="5"/>
  <c r="T250" i="5"/>
  <c r="H183" i="10"/>
  <c r="Q183" i="10" s="1"/>
  <c r="O182" i="10"/>
  <c r="P182" i="10" s="1"/>
  <c r="N182" i="10"/>
  <c r="I182" i="10"/>
  <c r="L244" i="10"/>
  <c r="J244" i="9"/>
  <c r="AE43" i="9"/>
  <c r="R31" i="8" s="1"/>
  <c r="AE18" i="9"/>
  <c r="AC14" i="10"/>
  <c r="S4" i="8" s="1"/>
  <c r="AC9" i="10"/>
  <c r="AC10" i="10" s="1"/>
  <c r="S13" i="8" s="1"/>
  <c r="V24" i="5"/>
  <c r="AD43" i="5"/>
  <c r="M23" i="3" s="1"/>
  <c r="AD18" i="5"/>
  <c r="F246" i="9"/>
  <c r="R246" i="5"/>
  <c r="K245" i="5"/>
  <c r="M245" i="5" s="1"/>
  <c r="S245" i="5"/>
  <c r="G245" i="5" s="1"/>
  <c r="J245" i="5" s="1"/>
  <c r="F246" i="10"/>
  <c r="AC14" i="9"/>
  <c r="U4" i="8" s="1"/>
  <c r="AC9" i="9"/>
  <c r="AC10" i="9" s="1"/>
  <c r="U13" i="8" s="1"/>
  <c r="AE43" i="5"/>
  <c r="M8" i="3" s="1"/>
  <c r="J244" i="5"/>
  <c r="AE18" i="5"/>
  <c r="V24" i="10"/>
  <c r="AD18" i="10"/>
  <c r="AD43" i="10"/>
  <c r="AC9" i="5"/>
  <c r="AC10" i="5" s="1"/>
  <c r="D10" i="3" s="1"/>
  <c r="AC14" i="5"/>
  <c r="D4" i="3" s="1"/>
  <c r="F8" i="3" s="1"/>
  <c r="S11" i="8"/>
  <c r="R246" i="9"/>
  <c r="K245" i="9"/>
  <c r="M245" i="9" s="1"/>
  <c r="S245" i="9"/>
  <c r="G245" i="9" s="1"/>
  <c r="J245" i="9" s="1"/>
  <c r="W10" i="8"/>
  <c r="F246" i="5"/>
  <c r="V24" i="9"/>
  <c r="AD43" i="9"/>
  <c r="AD18" i="9"/>
  <c r="R246" i="10"/>
  <c r="K245" i="10"/>
  <c r="M245" i="10" s="1"/>
  <c r="S245" i="10"/>
  <c r="G245" i="10" s="1"/>
  <c r="J245" i="10" s="1"/>
  <c r="L245" i="9"/>
  <c r="G244" i="10"/>
  <c r="T251" i="5" l="1"/>
  <c r="C252" i="5"/>
  <c r="T256" i="9"/>
  <c r="C257" i="9"/>
  <c r="T251" i="10"/>
  <c r="C252" i="10"/>
  <c r="Q213" i="5"/>
  <c r="H202" i="9"/>
  <c r="Q202" i="9" s="1"/>
  <c r="N201" i="9"/>
  <c r="O201" i="9"/>
  <c r="P201" i="9" s="1"/>
  <c r="S14" i="8"/>
  <c r="W4" i="8"/>
  <c r="H184" i="10"/>
  <c r="Q184" i="10" s="1"/>
  <c r="O183" i="10"/>
  <c r="P183" i="10" s="1"/>
  <c r="N183" i="10"/>
  <c r="I183" i="10"/>
  <c r="U11" i="8"/>
  <c r="F247" i="5"/>
  <c r="F247" i="9"/>
  <c r="AF43" i="9"/>
  <c r="W31" i="8" s="1"/>
  <c r="AF18" i="9"/>
  <c r="R247" i="10"/>
  <c r="K246" i="10"/>
  <c r="M246" i="10" s="1"/>
  <c r="S246" i="10"/>
  <c r="G246" i="10" s="1"/>
  <c r="J246" i="10" s="1"/>
  <c r="U14" i="8"/>
  <c r="W13" i="8"/>
  <c r="F247" i="10"/>
  <c r="L245" i="5"/>
  <c r="L245" i="10"/>
  <c r="F10" i="3"/>
  <c r="AE18" i="10"/>
  <c r="AE43" i="10"/>
  <c r="J244" i="10"/>
  <c r="R247" i="5"/>
  <c r="S246" i="5"/>
  <c r="G246" i="5" s="1"/>
  <c r="J246" i="5" s="1"/>
  <c r="K246" i="5"/>
  <c r="M246" i="5" s="1"/>
  <c r="R247" i="9"/>
  <c r="K246" i="9"/>
  <c r="M246" i="9" s="1"/>
  <c r="S246" i="9"/>
  <c r="G246" i="9" s="1"/>
  <c r="J246" i="9" s="1"/>
  <c r="AF43" i="5"/>
  <c r="O8" i="3" s="1"/>
  <c r="AF18" i="5"/>
  <c r="I202" i="9" l="1"/>
  <c r="H214" i="5"/>
  <c r="I214" i="5" s="1"/>
  <c r="Q214" i="5"/>
  <c r="N213" i="5"/>
  <c r="O213" i="5"/>
  <c r="P213" i="5" s="1"/>
  <c r="C253" i="10"/>
  <c r="T252" i="10"/>
  <c r="C258" i="9"/>
  <c r="T257" i="9"/>
  <c r="L246" i="9"/>
  <c r="C253" i="5"/>
  <c r="T252" i="5"/>
  <c r="O202" i="9"/>
  <c r="P202" i="9" s="1"/>
  <c r="N202" i="9"/>
  <c r="H203" i="9"/>
  <c r="I203" i="9" s="1"/>
  <c r="L246" i="10"/>
  <c r="O184" i="10"/>
  <c r="P184" i="10" s="1"/>
  <c r="H185" i="10"/>
  <c r="Q185" i="10" s="1"/>
  <c r="N184" i="10"/>
  <c r="I184" i="10"/>
  <c r="K247" i="9"/>
  <c r="M247" i="9" s="1"/>
  <c r="R248" i="9"/>
  <c r="S247" i="9"/>
  <c r="G247" i="9" s="1"/>
  <c r="J247" i="9" s="1"/>
  <c r="AF18" i="10"/>
  <c r="AF43" i="10"/>
  <c r="S247" i="5"/>
  <c r="K247" i="5"/>
  <c r="M247" i="5" s="1"/>
  <c r="R248" i="5"/>
  <c r="F248" i="5"/>
  <c r="G247" i="5"/>
  <c r="J247" i="5" s="1"/>
  <c r="K247" i="10"/>
  <c r="M247" i="10" s="1"/>
  <c r="R248" i="10"/>
  <c r="S247" i="10"/>
  <c r="G247" i="10" s="1"/>
  <c r="J247" i="10" s="1"/>
  <c r="F248" i="9"/>
  <c r="L246" i="5"/>
  <c r="F248" i="10"/>
  <c r="T258" i="9" l="1"/>
  <c r="C259" i="9"/>
  <c r="T253" i="10"/>
  <c r="C254" i="10"/>
  <c r="Q203" i="9"/>
  <c r="H215" i="5"/>
  <c r="I215" i="5" s="1"/>
  <c r="O214" i="5"/>
  <c r="P214" i="5" s="1"/>
  <c r="N214" i="5"/>
  <c r="C254" i="5"/>
  <c r="T253" i="5"/>
  <c r="N185" i="10"/>
  <c r="O185" i="10"/>
  <c r="P185" i="10" s="1"/>
  <c r="H186" i="10"/>
  <c r="Q186" i="10" s="1"/>
  <c r="I185" i="10"/>
  <c r="K248" i="10"/>
  <c r="M248" i="10" s="1"/>
  <c r="R249" i="10"/>
  <c r="S248" i="10"/>
  <c r="G248" i="10" s="1"/>
  <c r="J248" i="10" s="1"/>
  <c r="R249" i="5"/>
  <c r="S248" i="5"/>
  <c r="G248" i="5" s="1"/>
  <c r="J248" i="5" s="1"/>
  <c r="K248" i="5"/>
  <c r="M248" i="5" s="1"/>
  <c r="K248" i="9"/>
  <c r="M248" i="9" s="1"/>
  <c r="R249" i="9"/>
  <c r="S248" i="9"/>
  <c r="G248" i="9" s="1"/>
  <c r="J248" i="9" s="1"/>
  <c r="L247" i="5"/>
  <c r="L247" i="9"/>
  <c r="F249" i="10"/>
  <c r="F249" i="5"/>
  <c r="L247" i="10"/>
  <c r="F249" i="9"/>
  <c r="O203" i="9" l="1"/>
  <c r="P203" i="9" s="1"/>
  <c r="H204" i="9"/>
  <c r="I204" i="9" s="1"/>
  <c r="N203" i="9"/>
  <c r="L248" i="9"/>
  <c r="T259" i="9"/>
  <c r="C260" i="9"/>
  <c r="L248" i="5"/>
  <c r="T254" i="10"/>
  <c r="C255" i="10"/>
  <c r="C255" i="5"/>
  <c r="T254" i="5"/>
  <c r="Q215" i="5"/>
  <c r="O186" i="10"/>
  <c r="P186" i="10" s="1"/>
  <c r="N186" i="10"/>
  <c r="H187" i="10"/>
  <c r="Q187" i="10" s="1"/>
  <c r="I186" i="10"/>
  <c r="F250" i="10"/>
  <c r="R250" i="10"/>
  <c r="K249" i="10"/>
  <c r="M249" i="10" s="1"/>
  <c r="S249" i="10"/>
  <c r="G249" i="10" s="1"/>
  <c r="J249" i="10" s="1"/>
  <c r="L248" i="10"/>
  <c r="F250" i="5"/>
  <c r="F250" i="9"/>
  <c r="R250" i="9"/>
  <c r="K249" i="9"/>
  <c r="M249" i="9" s="1"/>
  <c r="S249" i="9"/>
  <c r="G249" i="9" s="1"/>
  <c r="J249" i="9" s="1"/>
  <c r="S249" i="5"/>
  <c r="G249" i="5" s="1"/>
  <c r="J249" i="5" s="1"/>
  <c r="R250" i="5"/>
  <c r="K249" i="5"/>
  <c r="M249" i="5" s="1"/>
  <c r="L249" i="5" l="1"/>
  <c r="L249" i="9"/>
  <c r="T260" i="9"/>
  <c r="C261" i="9"/>
  <c r="T255" i="5"/>
  <c r="C256" i="5"/>
  <c r="T255" i="10"/>
  <c r="C256" i="10"/>
  <c r="Q204" i="9"/>
  <c r="H216" i="5"/>
  <c r="I216" i="5" s="1"/>
  <c r="O215" i="5"/>
  <c r="P215" i="5" s="1"/>
  <c r="N215" i="5"/>
  <c r="I187" i="10"/>
  <c r="O187" i="10"/>
  <c r="P187" i="10" s="1"/>
  <c r="H188" i="10"/>
  <c r="Q188" i="10" s="1"/>
  <c r="N187" i="10"/>
  <c r="S250" i="5"/>
  <c r="G250" i="5" s="1"/>
  <c r="J250" i="5" s="1"/>
  <c r="K250" i="5"/>
  <c r="M250" i="5" s="1"/>
  <c r="R251" i="5"/>
  <c r="R251" i="9"/>
  <c r="K250" i="9"/>
  <c r="M250" i="9" s="1"/>
  <c r="S250" i="9"/>
  <c r="L249" i="10"/>
  <c r="R251" i="10"/>
  <c r="K250" i="10"/>
  <c r="M250" i="10" s="1"/>
  <c r="S250" i="10"/>
  <c r="G250" i="10" s="1"/>
  <c r="J250" i="10" s="1"/>
  <c r="F251" i="10"/>
  <c r="F251" i="9"/>
  <c r="G250" i="9"/>
  <c r="J250" i="9" s="1"/>
  <c r="F251" i="5"/>
  <c r="L250" i="5"/>
  <c r="C257" i="10" l="1"/>
  <c r="T256" i="10"/>
  <c r="H205" i="9"/>
  <c r="I205" i="9" s="1"/>
  <c r="N204" i="9"/>
  <c r="O204" i="9"/>
  <c r="P204" i="9" s="1"/>
  <c r="Q205" i="9"/>
  <c r="C257" i="5"/>
  <c r="T256" i="5"/>
  <c r="C262" i="9"/>
  <c r="T261" i="9"/>
  <c r="L250" i="9"/>
  <c r="Q216" i="5"/>
  <c r="H189" i="10"/>
  <c r="Q189" i="10" s="1"/>
  <c r="N188" i="10"/>
  <c r="O188" i="10"/>
  <c r="P188" i="10" s="1"/>
  <c r="I188" i="10"/>
  <c r="F252" i="5"/>
  <c r="F252" i="10"/>
  <c r="S251" i="5"/>
  <c r="G251" i="5" s="1"/>
  <c r="J251" i="5" s="1"/>
  <c r="R252" i="5"/>
  <c r="K251" i="5"/>
  <c r="M251" i="5" s="1"/>
  <c r="K251" i="10"/>
  <c r="M251" i="10" s="1"/>
  <c r="R252" i="10"/>
  <c r="S251" i="10"/>
  <c r="G251" i="10" s="1"/>
  <c r="J251" i="10" s="1"/>
  <c r="F252" i="9"/>
  <c r="K251" i="9"/>
  <c r="M251" i="9" s="1"/>
  <c r="R252" i="9"/>
  <c r="S251" i="9"/>
  <c r="G251" i="9" s="1"/>
  <c r="J251" i="9" s="1"/>
  <c r="L251" i="9"/>
  <c r="L250" i="10"/>
  <c r="L251" i="5" l="1"/>
  <c r="C258" i="5"/>
  <c r="T257" i="5"/>
  <c r="O216" i="5"/>
  <c r="P216" i="5" s="1"/>
  <c r="H217" i="5"/>
  <c r="N216" i="5"/>
  <c r="N205" i="9"/>
  <c r="H206" i="9"/>
  <c r="I206" i="9" s="1"/>
  <c r="O205" i="9"/>
  <c r="P205" i="9" s="1"/>
  <c r="T262" i="9"/>
  <c r="C263" i="9"/>
  <c r="T257" i="10"/>
  <c r="C258" i="10"/>
  <c r="N189" i="10"/>
  <c r="H190" i="10"/>
  <c r="Q190" i="10" s="1"/>
  <c r="O189" i="10"/>
  <c r="P189" i="10" s="1"/>
  <c r="I189" i="10"/>
  <c r="F253" i="9"/>
  <c r="F253" i="5"/>
  <c r="L251" i="10"/>
  <c r="K252" i="5"/>
  <c r="M252" i="5" s="1"/>
  <c r="S252" i="5"/>
  <c r="G252" i="5" s="1"/>
  <c r="J252" i="5" s="1"/>
  <c r="R253" i="5"/>
  <c r="R253" i="10"/>
  <c r="K252" i="10"/>
  <c r="M252" i="10" s="1"/>
  <c r="S252" i="10"/>
  <c r="G252" i="10" s="1"/>
  <c r="J252" i="10" s="1"/>
  <c r="F253" i="10"/>
  <c r="R253" i="9"/>
  <c r="K252" i="9"/>
  <c r="M252" i="9" s="1"/>
  <c r="S252" i="9"/>
  <c r="G252" i="9" s="1"/>
  <c r="J252" i="9" s="1"/>
  <c r="L252" i="9"/>
  <c r="T258" i="10" l="1"/>
  <c r="C259" i="10"/>
  <c r="Q217" i="5"/>
  <c r="I217" i="5"/>
  <c r="T263" i="9"/>
  <c r="C264" i="9"/>
  <c r="L252" i="5"/>
  <c r="Q206" i="9"/>
  <c r="C259" i="5"/>
  <c r="T258" i="5"/>
  <c r="H191" i="10"/>
  <c r="Q191" i="10" s="1"/>
  <c r="O190" i="10"/>
  <c r="P190" i="10" s="1"/>
  <c r="N190" i="10"/>
  <c r="I190" i="10"/>
  <c r="F254" i="9"/>
  <c r="L252" i="10"/>
  <c r="K253" i="9"/>
  <c r="M253" i="9" s="1"/>
  <c r="R254" i="9"/>
  <c r="S253" i="9"/>
  <c r="G253" i="9" s="1"/>
  <c r="J253" i="9" s="1"/>
  <c r="F254" i="10"/>
  <c r="R254" i="5"/>
  <c r="S253" i="5"/>
  <c r="G253" i="5" s="1"/>
  <c r="J253" i="5" s="1"/>
  <c r="K253" i="5"/>
  <c r="M253" i="5" s="1"/>
  <c r="K253" i="10"/>
  <c r="M253" i="10" s="1"/>
  <c r="R254" i="10"/>
  <c r="S253" i="10"/>
  <c r="G253" i="10" s="1"/>
  <c r="J253" i="10" s="1"/>
  <c r="F254" i="5"/>
  <c r="T264" i="9" l="1"/>
  <c r="C265" i="9"/>
  <c r="O217" i="5"/>
  <c r="P217" i="5" s="1"/>
  <c r="N217" i="5"/>
  <c r="H218" i="5"/>
  <c r="Q218" i="5" s="1"/>
  <c r="L253" i="9"/>
  <c r="L254" i="9" s="1"/>
  <c r="T259" i="10"/>
  <c r="C260" i="10"/>
  <c r="O206" i="9"/>
  <c r="P206" i="9" s="1"/>
  <c r="H207" i="9"/>
  <c r="I207" i="9" s="1"/>
  <c r="N206" i="9"/>
  <c r="Q207" i="9"/>
  <c r="T259" i="5"/>
  <c r="C260" i="5"/>
  <c r="N191" i="10"/>
  <c r="O191" i="10"/>
  <c r="P191" i="10" s="1"/>
  <c r="H192" i="10"/>
  <c r="Q192" i="10" s="1"/>
  <c r="I191" i="10"/>
  <c r="F255" i="10"/>
  <c r="F255" i="9"/>
  <c r="F255" i="5"/>
  <c r="L253" i="10"/>
  <c r="S254" i="5"/>
  <c r="G254" i="5" s="1"/>
  <c r="J254" i="5" s="1"/>
  <c r="K254" i="5"/>
  <c r="M254" i="5" s="1"/>
  <c r="R255" i="5"/>
  <c r="R255" i="9"/>
  <c r="K254" i="9"/>
  <c r="M254" i="9" s="1"/>
  <c r="S254" i="9"/>
  <c r="G254" i="9" s="1"/>
  <c r="J254" i="9" s="1"/>
  <c r="L253" i="5"/>
  <c r="R255" i="10"/>
  <c r="K254" i="10"/>
  <c r="M254" i="10" s="1"/>
  <c r="S254" i="10"/>
  <c r="G254" i="10" s="1"/>
  <c r="J254" i="10" s="1"/>
  <c r="C261" i="5" l="1"/>
  <c r="T260" i="5"/>
  <c r="C266" i="9"/>
  <c r="T265" i="9"/>
  <c r="N218" i="5"/>
  <c r="O218" i="5"/>
  <c r="P218" i="5" s="1"/>
  <c r="H219" i="5"/>
  <c r="Q219" i="5" s="1"/>
  <c r="H208" i="9"/>
  <c r="I208" i="9" s="1"/>
  <c r="N207" i="9"/>
  <c r="O207" i="9"/>
  <c r="P207" i="9" s="1"/>
  <c r="I218" i="5"/>
  <c r="C261" i="10"/>
  <c r="T260" i="10"/>
  <c r="N192" i="10"/>
  <c r="H193" i="10"/>
  <c r="Q193" i="10" s="1"/>
  <c r="O192" i="10"/>
  <c r="P192" i="10" s="1"/>
  <c r="I192" i="10"/>
  <c r="K255" i="5"/>
  <c r="M255" i="5" s="1"/>
  <c r="R256" i="5"/>
  <c r="S255" i="5"/>
  <c r="G255" i="5" s="1"/>
  <c r="J255" i="5" s="1"/>
  <c r="F256" i="5"/>
  <c r="F256" i="10"/>
  <c r="K255" i="9"/>
  <c r="M255" i="9" s="1"/>
  <c r="R256" i="9"/>
  <c r="S255" i="9"/>
  <c r="L254" i="5"/>
  <c r="L255" i="5" s="1"/>
  <c r="K255" i="10"/>
  <c r="M255" i="10" s="1"/>
  <c r="R256" i="10"/>
  <c r="S255" i="10"/>
  <c r="G255" i="10" s="1"/>
  <c r="J255" i="10" s="1"/>
  <c r="F256" i="9"/>
  <c r="G255" i="9"/>
  <c r="J255" i="9" s="1"/>
  <c r="L254" i="10"/>
  <c r="T266" i="9" l="1"/>
  <c r="C267" i="9"/>
  <c r="L255" i="9"/>
  <c r="Q208" i="9"/>
  <c r="H220" i="5"/>
  <c r="Q220" i="5" s="1"/>
  <c r="N219" i="5"/>
  <c r="O219" i="5"/>
  <c r="P219" i="5" s="1"/>
  <c r="T261" i="10"/>
  <c r="C262" i="10"/>
  <c r="I219" i="5"/>
  <c r="C262" i="5"/>
  <c r="T261" i="5"/>
  <c r="O193" i="10"/>
  <c r="P193" i="10" s="1"/>
  <c r="N193" i="10"/>
  <c r="H194" i="10"/>
  <c r="Q194" i="10" s="1"/>
  <c r="I193" i="10"/>
  <c r="F257" i="10"/>
  <c r="F257" i="9"/>
  <c r="K256" i="9"/>
  <c r="M256" i="9" s="1"/>
  <c r="R257" i="9"/>
  <c r="S256" i="9"/>
  <c r="V25" i="9" s="1"/>
  <c r="R257" i="5"/>
  <c r="K256" i="5"/>
  <c r="M256" i="5" s="1"/>
  <c r="S256" i="5"/>
  <c r="V25" i="5" s="1"/>
  <c r="L255" i="10"/>
  <c r="R257" i="10"/>
  <c r="K256" i="10"/>
  <c r="M256" i="10" s="1"/>
  <c r="S256" i="10"/>
  <c r="V25" i="10" s="1"/>
  <c r="F257" i="5"/>
  <c r="L256" i="5" l="1"/>
  <c r="N220" i="5"/>
  <c r="O220" i="5"/>
  <c r="P220" i="5" s="1"/>
  <c r="H221" i="5"/>
  <c r="Q221" i="5" s="1"/>
  <c r="N208" i="9"/>
  <c r="H209" i="9"/>
  <c r="I209" i="9" s="1"/>
  <c r="O208" i="9"/>
  <c r="P208" i="9" s="1"/>
  <c r="Q209" i="9"/>
  <c r="C263" i="5"/>
  <c r="T262" i="5"/>
  <c r="I220" i="5"/>
  <c r="T267" i="9"/>
  <c r="C268" i="9"/>
  <c r="T262" i="10"/>
  <c r="C263" i="10"/>
  <c r="I194" i="10"/>
  <c r="H195" i="10"/>
  <c r="O194" i="10"/>
  <c r="P194" i="10" s="1"/>
  <c r="N194" i="10"/>
  <c r="K257" i="9"/>
  <c r="M257" i="9" s="1"/>
  <c r="R258" i="9"/>
  <c r="S257" i="9"/>
  <c r="G257" i="9" s="1"/>
  <c r="J257" i="9" s="1"/>
  <c r="L256" i="10"/>
  <c r="G256" i="10"/>
  <c r="J256" i="10" s="1"/>
  <c r="F258" i="9"/>
  <c r="L256" i="9"/>
  <c r="F258" i="10"/>
  <c r="F258" i="5"/>
  <c r="R258" i="5"/>
  <c r="K257" i="5"/>
  <c r="M257" i="5" s="1"/>
  <c r="S257" i="5"/>
  <c r="G257" i="5" s="1"/>
  <c r="J257" i="5" s="1"/>
  <c r="K257" i="10"/>
  <c r="M257" i="10" s="1"/>
  <c r="R258" i="10"/>
  <c r="S257" i="10"/>
  <c r="G257" i="10" s="1"/>
  <c r="J257" i="10" s="1"/>
  <c r="G256" i="5"/>
  <c r="J256" i="5" s="1"/>
  <c r="G256" i="9"/>
  <c r="J256" i="9" s="1"/>
  <c r="T263" i="10" l="1"/>
  <c r="C264" i="10"/>
  <c r="T268" i="9"/>
  <c r="C269" i="9"/>
  <c r="L257" i="5"/>
  <c r="L258" i="5" s="1"/>
  <c r="O209" i="9"/>
  <c r="P209" i="9" s="1"/>
  <c r="H210" i="9"/>
  <c r="I210" i="9" s="1"/>
  <c r="N209" i="9"/>
  <c r="O221" i="5"/>
  <c r="P221" i="5" s="1"/>
  <c r="N221" i="5"/>
  <c r="H222" i="5"/>
  <c r="Q222" i="5" s="1"/>
  <c r="I221" i="5"/>
  <c r="T263" i="5"/>
  <c r="C264" i="5"/>
  <c r="I195" i="10"/>
  <c r="Q195" i="10"/>
  <c r="L257" i="10"/>
  <c r="F259" i="5"/>
  <c r="R259" i="9"/>
  <c r="K258" i="9"/>
  <c r="M258" i="9" s="1"/>
  <c r="S258" i="9"/>
  <c r="G258" i="9" s="1"/>
  <c r="J258" i="9" s="1"/>
  <c r="L257" i="9"/>
  <c r="K258" i="5"/>
  <c r="M258" i="5" s="1"/>
  <c r="S258" i="5"/>
  <c r="G258" i="5" s="1"/>
  <c r="J258" i="5" s="1"/>
  <c r="R259" i="5"/>
  <c r="F259" i="10"/>
  <c r="F259" i="9"/>
  <c r="K258" i="10"/>
  <c r="M258" i="10" s="1"/>
  <c r="R259" i="10"/>
  <c r="S258" i="10"/>
  <c r="G258" i="10" s="1"/>
  <c r="J258" i="10" s="1"/>
  <c r="H223" i="5" l="1"/>
  <c r="Q223" i="5" s="1"/>
  <c r="N222" i="5"/>
  <c r="O222" i="5"/>
  <c r="P222" i="5" s="1"/>
  <c r="C265" i="5"/>
  <c r="T264" i="5"/>
  <c r="C270" i="9"/>
  <c r="T269" i="9"/>
  <c r="C265" i="10"/>
  <c r="T264" i="10"/>
  <c r="I222" i="5"/>
  <c r="I223" i="5" s="1"/>
  <c r="Q210" i="9"/>
  <c r="N195" i="10"/>
  <c r="H196" i="10"/>
  <c r="O195" i="10"/>
  <c r="P195" i="10" s="1"/>
  <c r="R260" i="5"/>
  <c r="S259" i="5"/>
  <c r="G259" i="5" s="1"/>
  <c r="J259" i="5" s="1"/>
  <c r="K259" i="5"/>
  <c r="M259" i="5" s="1"/>
  <c r="L258" i="9"/>
  <c r="F260" i="9"/>
  <c r="F260" i="5"/>
  <c r="F260" i="10"/>
  <c r="R260" i="9"/>
  <c r="K259" i="9"/>
  <c r="M259" i="9" s="1"/>
  <c r="S259" i="9"/>
  <c r="G259" i="9" s="1"/>
  <c r="J259" i="9" s="1"/>
  <c r="L259" i="5"/>
  <c r="R260" i="10"/>
  <c r="K259" i="10"/>
  <c r="M259" i="10" s="1"/>
  <c r="S259" i="10"/>
  <c r="G259" i="10" s="1"/>
  <c r="J259" i="10" s="1"/>
  <c r="L258" i="10"/>
  <c r="T270" i="9" l="1"/>
  <c r="C271" i="9"/>
  <c r="T265" i="10"/>
  <c r="C266" i="10"/>
  <c r="C266" i="5"/>
  <c r="T265" i="5"/>
  <c r="O210" i="9"/>
  <c r="P210" i="9" s="1"/>
  <c r="N210" i="9"/>
  <c r="H211" i="9"/>
  <c r="I211" i="9" s="1"/>
  <c r="Q211" i="9"/>
  <c r="H224" i="5"/>
  <c r="Q224" i="5" s="1"/>
  <c r="N223" i="5"/>
  <c r="O223" i="5"/>
  <c r="P223" i="5" s="1"/>
  <c r="Q196" i="10"/>
  <c r="I196" i="10"/>
  <c r="L259" i="10"/>
  <c r="R261" i="9"/>
  <c r="K260" i="9"/>
  <c r="M260" i="9" s="1"/>
  <c r="S260" i="9"/>
  <c r="F261" i="5"/>
  <c r="K260" i="5"/>
  <c r="M260" i="5" s="1"/>
  <c r="S260" i="5"/>
  <c r="G260" i="5" s="1"/>
  <c r="J260" i="5" s="1"/>
  <c r="R261" i="5"/>
  <c r="L259" i="9"/>
  <c r="K260" i="10"/>
  <c r="M260" i="10" s="1"/>
  <c r="R261" i="10"/>
  <c r="S260" i="10"/>
  <c r="G260" i="10" s="1"/>
  <c r="J260" i="10" s="1"/>
  <c r="F261" i="10"/>
  <c r="F261" i="9"/>
  <c r="G260" i="9"/>
  <c r="J260" i="9" s="1"/>
  <c r="L260" i="5"/>
  <c r="L260" i="9" l="1"/>
  <c r="O224" i="5"/>
  <c r="P224" i="5" s="1"/>
  <c r="N224" i="5"/>
  <c r="H225" i="5"/>
  <c r="Q225" i="5"/>
  <c r="C267" i="5"/>
  <c r="T266" i="5"/>
  <c r="I224" i="5"/>
  <c r="T266" i="10"/>
  <c r="C267" i="10"/>
  <c r="T271" i="9"/>
  <c r="C272" i="9"/>
  <c r="O211" i="9"/>
  <c r="P211" i="9" s="1"/>
  <c r="H212" i="9"/>
  <c r="I212" i="9" s="1"/>
  <c r="N211" i="9"/>
  <c r="Q212" i="9"/>
  <c r="H197" i="10"/>
  <c r="Q197" i="10" s="1"/>
  <c r="O196" i="10"/>
  <c r="P196" i="10" s="1"/>
  <c r="N196" i="10"/>
  <c r="F262" i="10"/>
  <c r="K261" i="9"/>
  <c r="M261" i="9" s="1"/>
  <c r="R262" i="9"/>
  <c r="S261" i="9"/>
  <c r="G261" i="9" s="1"/>
  <c r="J261" i="9" s="1"/>
  <c r="F262" i="9"/>
  <c r="K261" i="10"/>
  <c r="M261" i="10" s="1"/>
  <c r="R262" i="10"/>
  <c r="S261" i="10"/>
  <c r="G261" i="10" s="1"/>
  <c r="J261" i="10" s="1"/>
  <c r="K261" i="5"/>
  <c r="M261" i="5" s="1"/>
  <c r="S261" i="5"/>
  <c r="G261" i="5" s="1"/>
  <c r="J261" i="5" s="1"/>
  <c r="R262" i="5"/>
  <c r="F262" i="5"/>
  <c r="L260" i="10"/>
  <c r="N225" i="5" l="1"/>
  <c r="O225" i="5"/>
  <c r="P225" i="5" s="1"/>
  <c r="H226" i="5"/>
  <c r="Q226" i="5"/>
  <c r="I225" i="5"/>
  <c r="T267" i="5"/>
  <c r="C268" i="5"/>
  <c r="L261" i="9"/>
  <c r="L262" i="9" s="1"/>
  <c r="N212" i="9"/>
  <c r="O212" i="9"/>
  <c r="P212" i="9" s="1"/>
  <c r="H213" i="9"/>
  <c r="I213" i="9" s="1"/>
  <c r="Q213" i="9"/>
  <c r="L261" i="5"/>
  <c r="T272" i="9"/>
  <c r="C273" i="9"/>
  <c r="T267" i="10"/>
  <c r="C268" i="10"/>
  <c r="H198" i="10"/>
  <c r="Q198" i="10" s="1"/>
  <c r="N197" i="10"/>
  <c r="O197" i="10"/>
  <c r="P197" i="10" s="1"/>
  <c r="I197" i="10"/>
  <c r="L261" i="10"/>
  <c r="R263" i="5"/>
  <c r="S262" i="5"/>
  <c r="K262" i="5"/>
  <c r="M262" i="5" s="1"/>
  <c r="F263" i="9"/>
  <c r="R263" i="10"/>
  <c r="K262" i="10"/>
  <c r="M262" i="10" s="1"/>
  <c r="S262" i="10"/>
  <c r="G262" i="10" s="1"/>
  <c r="J262" i="10" s="1"/>
  <c r="F263" i="10"/>
  <c r="G262" i="5"/>
  <c r="J262" i="5" s="1"/>
  <c r="F263" i="5"/>
  <c r="L262" i="5"/>
  <c r="R263" i="9"/>
  <c r="K262" i="9"/>
  <c r="M262" i="9" s="1"/>
  <c r="S262" i="9"/>
  <c r="G262" i="9" s="1"/>
  <c r="J262" i="9" s="1"/>
  <c r="C274" i="9" l="1"/>
  <c r="T273" i="9"/>
  <c r="H227" i="5"/>
  <c r="O226" i="5"/>
  <c r="P226" i="5" s="1"/>
  <c r="N226" i="5"/>
  <c r="Q227" i="5"/>
  <c r="C269" i="5"/>
  <c r="T268" i="5"/>
  <c r="I226" i="5"/>
  <c r="H214" i="9"/>
  <c r="I214" i="9" s="1"/>
  <c r="Q214" i="9"/>
  <c r="N213" i="9"/>
  <c r="O213" i="9"/>
  <c r="P213" i="9" s="1"/>
  <c r="C269" i="10"/>
  <c r="T268" i="10"/>
  <c r="O198" i="10"/>
  <c r="P198" i="10" s="1"/>
  <c r="H199" i="10"/>
  <c r="Q199" i="10" s="1"/>
  <c r="N198" i="10"/>
  <c r="I198" i="10"/>
  <c r="F264" i="5"/>
  <c r="K263" i="9"/>
  <c r="M263" i="9" s="1"/>
  <c r="R264" i="9"/>
  <c r="S263" i="9"/>
  <c r="G263" i="9" s="1"/>
  <c r="J263" i="9" s="1"/>
  <c r="F264" i="10"/>
  <c r="R264" i="5"/>
  <c r="S263" i="5"/>
  <c r="G263" i="5" s="1"/>
  <c r="J263" i="5" s="1"/>
  <c r="K263" i="5"/>
  <c r="M263" i="5" s="1"/>
  <c r="K263" i="10"/>
  <c r="M263" i="10" s="1"/>
  <c r="R264" i="10"/>
  <c r="S263" i="10"/>
  <c r="G263" i="10" s="1"/>
  <c r="J263" i="10" s="1"/>
  <c r="F264" i="9"/>
  <c r="L263" i="9"/>
  <c r="L262" i="10"/>
  <c r="C270" i="5" l="1"/>
  <c r="T269" i="5"/>
  <c r="T269" i="10"/>
  <c r="C270" i="10"/>
  <c r="O227" i="5"/>
  <c r="P227" i="5" s="1"/>
  <c r="H228" i="5"/>
  <c r="I228" i="5" s="1"/>
  <c r="N227" i="5"/>
  <c r="O214" i="9"/>
  <c r="P214" i="9" s="1"/>
  <c r="H215" i="9"/>
  <c r="N214" i="9"/>
  <c r="Q215" i="9"/>
  <c r="I227" i="5"/>
  <c r="I215" i="9"/>
  <c r="T274" i="9"/>
  <c r="C275" i="9"/>
  <c r="H200" i="10"/>
  <c r="Q200" i="10" s="1"/>
  <c r="O199" i="10"/>
  <c r="P199" i="10" s="1"/>
  <c r="N199" i="10"/>
  <c r="I199" i="10"/>
  <c r="K264" i="10"/>
  <c r="M264" i="10" s="1"/>
  <c r="R265" i="10"/>
  <c r="S264" i="10"/>
  <c r="G264" i="10" s="1"/>
  <c r="J264" i="10" s="1"/>
  <c r="K264" i="5"/>
  <c r="M264" i="5" s="1"/>
  <c r="S264" i="5"/>
  <c r="G264" i="5" s="1"/>
  <c r="J264" i="5" s="1"/>
  <c r="R265" i="5"/>
  <c r="F265" i="10"/>
  <c r="F265" i="5"/>
  <c r="L263" i="10"/>
  <c r="F265" i="9"/>
  <c r="K264" i="9"/>
  <c r="M264" i="9" s="1"/>
  <c r="R265" i="9"/>
  <c r="S264" i="9"/>
  <c r="G264" i="9" s="1"/>
  <c r="J264" i="9" s="1"/>
  <c r="L263" i="5"/>
  <c r="L264" i="5" l="1"/>
  <c r="Q228" i="5"/>
  <c r="N215" i="9"/>
  <c r="H216" i="9"/>
  <c r="I216" i="9" s="1"/>
  <c r="O215" i="9"/>
  <c r="P215" i="9" s="1"/>
  <c r="Q216" i="9"/>
  <c r="T270" i="10"/>
  <c r="C271" i="10"/>
  <c r="T275" i="9"/>
  <c r="C276" i="9"/>
  <c r="C271" i="5"/>
  <c r="T270" i="5"/>
  <c r="O200" i="10"/>
  <c r="P200" i="10" s="1"/>
  <c r="H201" i="10"/>
  <c r="Q201" i="10" s="1"/>
  <c r="N200" i="10"/>
  <c r="I200" i="10"/>
  <c r="R266" i="9"/>
  <c r="K265" i="9"/>
  <c r="M265" i="9" s="1"/>
  <c r="S265" i="9"/>
  <c r="K265" i="5"/>
  <c r="M265" i="5" s="1"/>
  <c r="S265" i="5"/>
  <c r="G265" i="5" s="1"/>
  <c r="J265" i="5" s="1"/>
  <c r="R266" i="5"/>
  <c r="R266" i="10"/>
  <c r="K265" i="10"/>
  <c r="M265" i="10" s="1"/>
  <c r="S265" i="10"/>
  <c r="G265" i="10" s="1"/>
  <c r="J265" i="10" s="1"/>
  <c r="L264" i="10"/>
  <c r="L264" i="9"/>
  <c r="L265" i="9" s="1"/>
  <c r="F266" i="9"/>
  <c r="G265" i="9"/>
  <c r="J265" i="9" s="1"/>
  <c r="F266" i="5"/>
  <c r="F266" i="10"/>
  <c r="T271" i="10" l="1"/>
  <c r="C272" i="10"/>
  <c r="O216" i="9"/>
  <c r="P216" i="9" s="1"/>
  <c r="H217" i="9"/>
  <c r="I217" i="9" s="1"/>
  <c r="N216" i="9"/>
  <c r="T271" i="5"/>
  <c r="C272" i="5"/>
  <c r="T276" i="9"/>
  <c r="C277" i="9"/>
  <c r="O228" i="5"/>
  <c r="P228" i="5" s="1"/>
  <c r="H229" i="5"/>
  <c r="I229" i="5" s="1"/>
  <c r="Q229" i="5"/>
  <c r="N228" i="5"/>
  <c r="L265" i="10"/>
  <c r="O201" i="10"/>
  <c r="P201" i="10" s="1"/>
  <c r="N201" i="10"/>
  <c r="H202" i="10"/>
  <c r="Q202" i="10" s="1"/>
  <c r="I201" i="10"/>
  <c r="R267" i="9"/>
  <c r="K266" i="9"/>
  <c r="M266" i="9" s="1"/>
  <c r="S266" i="9"/>
  <c r="G266" i="9" s="1"/>
  <c r="J266" i="9" s="1"/>
  <c r="F267" i="10"/>
  <c r="F267" i="9"/>
  <c r="R267" i="5"/>
  <c r="S266" i="5"/>
  <c r="K266" i="5"/>
  <c r="M266" i="5" s="1"/>
  <c r="L265" i="5"/>
  <c r="G266" i="5"/>
  <c r="J266" i="5" s="1"/>
  <c r="F267" i="5"/>
  <c r="R267" i="10"/>
  <c r="K266" i="10"/>
  <c r="M266" i="10" s="1"/>
  <c r="S266" i="10"/>
  <c r="G266" i="10" s="1"/>
  <c r="J266" i="10" s="1"/>
  <c r="N229" i="5" l="1"/>
  <c r="H230" i="5"/>
  <c r="Q230" i="5" s="1"/>
  <c r="O229" i="5"/>
  <c r="P229" i="5" s="1"/>
  <c r="Q217" i="9"/>
  <c r="C278" i="9"/>
  <c r="T277" i="9"/>
  <c r="I230" i="5"/>
  <c r="C273" i="10"/>
  <c r="T272" i="10"/>
  <c r="C273" i="5"/>
  <c r="T272" i="5"/>
  <c r="L266" i="10"/>
  <c r="O202" i="10"/>
  <c r="P202" i="10" s="1"/>
  <c r="N202" i="10"/>
  <c r="H203" i="10"/>
  <c r="Q203" i="10" s="1"/>
  <c r="I202" i="10"/>
  <c r="K267" i="9"/>
  <c r="M267" i="9" s="1"/>
  <c r="R268" i="9"/>
  <c r="S267" i="9"/>
  <c r="F268" i="5"/>
  <c r="F268" i="9"/>
  <c r="G267" i="9"/>
  <c r="J267" i="9" s="1"/>
  <c r="K267" i="10"/>
  <c r="M267" i="10" s="1"/>
  <c r="R268" i="10"/>
  <c r="S267" i="10"/>
  <c r="G267" i="10" s="1"/>
  <c r="J267" i="10" s="1"/>
  <c r="R268" i="5"/>
  <c r="S267" i="5"/>
  <c r="G267" i="5" s="1"/>
  <c r="J267" i="5" s="1"/>
  <c r="K267" i="5"/>
  <c r="M267" i="5" s="1"/>
  <c r="F268" i="10"/>
  <c r="L266" i="9"/>
  <c r="L267" i="9" s="1"/>
  <c r="L266" i="5"/>
  <c r="H231" i="5" l="1"/>
  <c r="Q231" i="5" s="1"/>
  <c r="N230" i="5"/>
  <c r="O230" i="5"/>
  <c r="P230" i="5" s="1"/>
  <c r="T278" i="9"/>
  <c r="C279" i="9"/>
  <c r="N217" i="9"/>
  <c r="O217" i="9"/>
  <c r="P217" i="9" s="1"/>
  <c r="H218" i="9"/>
  <c r="I218" i="9" s="1"/>
  <c r="C274" i="5"/>
  <c r="T273" i="5"/>
  <c r="T273" i="10"/>
  <c r="C274" i="10"/>
  <c r="O203" i="10"/>
  <c r="P203" i="10" s="1"/>
  <c r="H204" i="10"/>
  <c r="Q204" i="10" s="1"/>
  <c r="N203" i="10"/>
  <c r="I203" i="10"/>
  <c r="K268" i="10"/>
  <c r="M268" i="10" s="1"/>
  <c r="R269" i="10"/>
  <c r="S268" i="10"/>
  <c r="V26" i="10" s="1"/>
  <c r="R269" i="9"/>
  <c r="K268" i="9"/>
  <c r="M268" i="9" s="1"/>
  <c r="S268" i="9"/>
  <c r="V26" i="9" s="1"/>
  <c r="F269" i="5"/>
  <c r="F269" i="10"/>
  <c r="F269" i="9"/>
  <c r="K268" i="5"/>
  <c r="M268" i="5" s="1"/>
  <c r="S268" i="5"/>
  <c r="V26" i="5" s="1"/>
  <c r="R269" i="5"/>
  <c r="L267" i="5"/>
  <c r="L267" i="10"/>
  <c r="G268" i="9" l="1"/>
  <c r="J268" i="9" s="1"/>
  <c r="T279" i="9"/>
  <c r="C280" i="9"/>
  <c r="C275" i="5"/>
  <c r="T274" i="5"/>
  <c r="O231" i="5"/>
  <c r="P231" i="5" s="1"/>
  <c r="N231" i="5"/>
  <c r="H232" i="5"/>
  <c r="Q232" i="5" s="1"/>
  <c r="T274" i="10"/>
  <c r="C275" i="10"/>
  <c r="Q218" i="9"/>
  <c r="I231" i="5"/>
  <c r="N204" i="10"/>
  <c r="H205" i="10"/>
  <c r="Q205" i="10" s="1"/>
  <c r="O204" i="10"/>
  <c r="P204" i="10" s="1"/>
  <c r="I204" i="10"/>
  <c r="L268" i="10"/>
  <c r="G268" i="10"/>
  <c r="J268" i="10" s="1"/>
  <c r="R270" i="10"/>
  <c r="K269" i="10"/>
  <c r="M269" i="10" s="1"/>
  <c r="S269" i="10"/>
  <c r="G269" i="10" s="1"/>
  <c r="J269" i="10" s="1"/>
  <c r="F270" i="5"/>
  <c r="F270" i="10"/>
  <c r="K269" i="5"/>
  <c r="M269" i="5" s="1"/>
  <c r="S269" i="5"/>
  <c r="G269" i="5" s="1"/>
  <c r="J269" i="5" s="1"/>
  <c r="R270" i="5"/>
  <c r="F270" i="9"/>
  <c r="R270" i="9"/>
  <c r="K269" i="9"/>
  <c r="M269" i="9" s="1"/>
  <c r="S269" i="9"/>
  <c r="G269" i="9" s="1"/>
  <c r="J269" i="9" s="1"/>
  <c r="L268" i="9"/>
  <c r="L269" i="9" s="1"/>
  <c r="L268" i="5"/>
  <c r="L269" i="5" s="1"/>
  <c r="G268" i="5"/>
  <c r="J268" i="5" s="1"/>
  <c r="N232" i="5" l="1"/>
  <c r="H233" i="5"/>
  <c r="Q233" i="5" s="1"/>
  <c r="O232" i="5"/>
  <c r="P232" i="5" s="1"/>
  <c r="I232" i="5"/>
  <c r="I233" i="5" s="1"/>
  <c r="T275" i="5"/>
  <c r="C276" i="5"/>
  <c r="N218" i="9"/>
  <c r="O218" i="9"/>
  <c r="P218" i="9" s="1"/>
  <c r="H219" i="9"/>
  <c r="T275" i="10"/>
  <c r="C276" i="10"/>
  <c r="T280" i="9"/>
  <c r="C281" i="9"/>
  <c r="H206" i="10"/>
  <c r="Q206" i="10" s="1"/>
  <c r="O205" i="10"/>
  <c r="P205" i="10" s="1"/>
  <c r="N205" i="10"/>
  <c r="I205" i="10"/>
  <c r="L269" i="10"/>
  <c r="R271" i="10"/>
  <c r="K270" i="10"/>
  <c r="M270" i="10" s="1"/>
  <c r="S270" i="10"/>
  <c r="G270" i="10" s="1"/>
  <c r="J270" i="10" s="1"/>
  <c r="K270" i="9"/>
  <c r="M270" i="9" s="1"/>
  <c r="R271" i="9"/>
  <c r="S270" i="9"/>
  <c r="G270" i="9" s="1"/>
  <c r="J270" i="9" s="1"/>
  <c r="F271" i="9"/>
  <c r="F271" i="5"/>
  <c r="S270" i="5"/>
  <c r="G270" i="5" s="1"/>
  <c r="J270" i="5" s="1"/>
  <c r="K270" i="5"/>
  <c r="M270" i="5" s="1"/>
  <c r="R271" i="5"/>
  <c r="F271" i="10"/>
  <c r="L270" i="5"/>
  <c r="L270" i="9"/>
  <c r="C277" i="5" l="1"/>
  <c r="T276" i="5"/>
  <c r="C282" i="9"/>
  <c r="T281" i="9"/>
  <c r="C277" i="10"/>
  <c r="T276" i="10"/>
  <c r="O233" i="5"/>
  <c r="P233" i="5" s="1"/>
  <c r="N233" i="5"/>
  <c r="H234" i="5"/>
  <c r="Q234" i="5" s="1"/>
  <c r="Q219" i="9"/>
  <c r="I219" i="9"/>
  <c r="N206" i="10"/>
  <c r="H207" i="10"/>
  <c r="Q207" i="10" s="1"/>
  <c r="O206" i="10"/>
  <c r="P206" i="10" s="1"/>
  <c r="I206" i="10"/>
  <c r="L270" i="10"/>
  <c r="K271" i="5"/>
  <c r="M271" i="5" s="1"/>
  <c r="R272" i="5"/>
  <c r="S271" i="5"/>
  <c r="G271" i="5" s="1"/>
  <c r="J271" i="5" s="1"/>
  <c r="K271" i="10"/>
  <c r="M271" i="10" s="1"/>
  <c r="R272" i="10"/>
  <c r="S271" i="10"/>
  <c r="G271" i="10" s="1"/>
  <c r="J271" i="10" s="1"/>
  <c r="F272" i="10"/>
  <c r="F272" i="9"/>
  <c r="K271" i="9"/>
  <c r="M271" i="9" s="1"/>
  <c r="R272" i="9"/>
  <c r="S271" i="9"/>
  <c r="G271" i="9" s="1"/>
  <c r="J271" i="9" s="1"/>
  <c r="L271" i="9"/>
  <c r="F272" i="5"/>
  <c r="L271" i="5"/>
  <c r="T282" i="9" l="1"/>
  <c r="C283" i="9"/>
  <c r="T277" i="10"/>
  <c r="C278" i="10"/>
  <c r="O219" i="9"/>
  <c r="P219" i="9" s="1"/>
  <c r="H220" i="9"/>
  <c r="Q220" i="9" s="1"/>
  <c r="N219" i="9"/>
  <c r="H235" i="5"/>
  <c r="Q235" i="5" s="1"/>
  <c r="N234" i="5"/>
  <c r="O234" i="5"/>
  <c r="P234" i="5" s="1"/>
  <c r="C278" i="5"/>
  <c r="T277" i="5"/>
  <c r="I234" i="5"/>
  <c r="I207" i="10"/>
  <c r="N207" i="10"/>
  <c r="O207" i="10"/>
  <c r="P207" i="10" s="1"/>
  <c r="H208" i="10"/>
  <c r="Q208" i="10" s="1"/>
  <c r="F273" i="5"/>
  <c r="F273" i="9"/>
  <c r="K272" i="10"/>
  <c r="M272" i="10" s="1"/>
  <c r="R273" i="10"/>
  <c r="S272" i="10"/>
  <c r="G272" i="10" s="1"/>
  <c r="J272" i="10" s="1"/>
  <c r="R273" i="5"/>
  <c r="K272" i="5"/>
  <c r="M272" i="5" s="1"/>
  <c r="S272" i="5"/>
  <c r="G272" i="5" s="1"/>
  <c r="J272" i="5" s="1"/>
  <c r="L271" i="10"/>
  <c r="R273" i="9"/>
  <c r="K272" i="9"/>
  <c r="M272" i="9" s="1"/>
  <c r="S272" i="9"/>
  <c r="G272" i="9" s="1"/>
  <c r="J272" i="9" s="1"/>
  <c r="F273" i="10"/>
  <c r="I235" i="5" l="1"/>
  <c r="I220" i="9"/>
  <c r="H221" i="9"/>
  <c r="Q221" i="9" s="1"/>
  <c r="O220" i="9"/>
  <c r="P220" i="9" s="1"/>
  <c r="N220" i="9"/>
  <c r="T278" i="10"/>
  <c r="C279" i="10"/>
  <c r="H236" i="5"/>
  <c r="I236" i="5" s="1"/>
  <c r="N235" i="5"/>
  <c r="O235" i="5"/>
  <c r="P235" i="5" s="1"/>
  <c r="T283" i="9"/>
  <c r="C284" i="9"/>
  <c r="L272" i="9"/>
  <c r="C279" i="5"/>
  <c r="T278" i="5"/>
  <c r="I208" i="10"/>
  <c r="N208" i="10"/>
  <c r="H209" i="10"/>
  <c r="Q209" i="10" s="1"/>
  <c r="O208" i="10"/>
  <c r="P208" i="10" s="1"/>
  <c r="F274" i="10"/>
  <c r="S273" i="5"/>
  <c r="G273" i="5" s="1"/>
  <c r="J273" i="5" s="1"/>
  <c r="R274" i="5"/>
  <c r="K273" i="5"/>
  <c r="M273" i="5" s="1"/>
  <c r="R274" i="10"/>
  <c r="K273" i="10"/>
  <c r="M273" i="10" s="1"/>
  <c r="S273" i="10"/>
  <c r="G273" i="10" s="1"/>
  <c r="J273" i="10" s="1"/>
  <c r="F274" i="5"/>
  <c r="L272" i="10"/>
  <c r="L273" i="10" s="1"/>
  <c r="R274" i="9"/>
  <c r="K273" i="9"/>
  <c r="M273" i="9" s="1"/>
  <c r="S273" i="9"/>
  <c r="G273" i="9" s="1"/>
  <c r="J273" i="9" s="1"/>
  <c r="F274" i="9"/>
  <c r="L272" i="5"/>
  <c r="L273" i="9" l="1"/>
  <c r="Q236" i="5"/>
  <c r="L273" i="5"/>
  <c r="O221" i="9"/>
  <c r="P221" i="9" s="1"/>
  <c r="H222" i="9"/>
  <c r="N221" i="9"/>
  <c r="Q222" i="9"/>
  <c r="T279" i="10"/>
  <c r="C280" i="10"/>
  <c r="T279" i="5"/>
  <c r="C280" i="5"/>
  <c r="T284" i="9"/>
  <c r="C285" i="9"/>
  <c r="O236" i="5"/>
  <c r="P236" i="5" s="1"/>
  <c r="H237" i="5"/>
  <c r="Q237" i="5" s="1"/>
  <c r="N236" i="5"/>
  <c r="I221" i="9"/>
  <c r="I209" i="10"/>
  <c r="N209" i="10"/>
  <c r="H210" i="10"/>
  <c r="Q210" i="10" s="1"/>
  <c r="O209" i="10"/>
  <c r="P209" i="10" s="1"/>
  <c r="K274" i="9"/>
  <c r="M274" i="9" s="1"/>
  <c r="R275" i="9"/>
  <c r="S274" i="9"/>
  <c r="G274" i="9" s="1"/>
  <c r="J274" i="9" s="1"/>
  <c r="F275" i="10"/>
  <c r="F275" i="9"/>
  <c r="S274" i="5"/>
  <c r="G274" i="5" s="1"/>
  <c r="J274" i="5" s="1"/>
  <c r="K274" i="5"/>
  <c r="M274" i="5" s="1"/>
  <c r="R275" i="5"/>
  <c r="F275" i="5"/>
  <c r="R275" i="10"/>
  <c r="K274" i="10"/>
  <c r="M274" i="10" s="1"/>
  <c r="S274" i="10"/>
  <c r="G274" i="10" s="1"/>
  <c r="J274" i="10" s="1"/>
  <c r="L274" i="5" l="1"/>
  <c r="L274" i="9"/>
  <c r="I222" i="9"/>
  <c r="H223" i="9"/>
  <c r="I223" i="9" s="1"/>
  <c r="N222" i="9"/>
  <c r="O222" i="9"/>
  <c r="P222" i="9" s="1"/>
  <c r="C281" i="10"/>
  <c r="T280" i="10"/>
  <c r="C286" i="9"/>
  <c r="T285" i="9"/>
  <c r="O237" i="5"/>
  <c r="P237" i="5" s="1"/>
  <c r="N237" i="5"/>
  <c r="H238" i="5"/>
  <c r="Q238" i="5" s="1"/>
  <c r="C281" i="5"/>
  <c r="T280" i="5"/>
  <c r="I237" i="5"/>
  <c r="H211" i="10"/>
  <c r="O210" i="10"/>
  <c r="P210" i="10" s="1"/>
  <c r="N210" i="10"/>
  <c r="I210" i="10"/>
  <c r="L274" i="10"/>
  <c r="K275" i="9"/>
  <c r="M275" i="9" s="1"/>
  <c r="R276" i="9"/>
  <c r="S275" i="9"/>
  <c r="K275" i="10"/>
  <c r="M275" i="10" s="1"/>
  <c r="R276" i="10"/>
  <c r="S275" i="10"/>
  <c r="G275" i="10" s="1"/>
  <c r="J275" i="10" s="1"/>
  <c r="K275" i="5"/>
  <c r="M275" i="5" s="1"/>
  <c r="R276" i="5"/>
  <c r="S275" i="5"/>
  <c r="G275" i="5" s="1"/>
  <c r="J275" i="5" s="1"/>
  <c r="F276" i="9"/>
  <c r="G275" i="9"/>
  <c r="J275" i="9" s="1"/>
  <c r="F276" i="10"/>
  <c r="F276" i="5"/>
  <c r="L275" i="5"/>
  <c r="Q223" i="9" l="1"/>
  <c r="I238" i="5"/>
  <c r="N238" i="5"/>
  <c r="H239" i="5"/>
  <c r="Q239" i="5" s="1"/>
  <c r="O238" i="5"/>
  <c r="P238" i="5" s="1"/>
  <c r="I239" i="5"/>
  <c r="O223" i="9"/>
  <c r="P223" i="9" s="1"/>
  <c r="N223" i="9"/>
  <c r="H224" i="9"/>
  <c r="I224" i="9" s="1"/>
  <c r="Q224" i="9"/>
  <c r="T281" i="10"/>
  <c r="C282" i="10"/>
  <c r="T286" i="9"/>
  <c r="C287" i="9"/>
  <c r="C282" i="5"/>
  <c r="T281" i="5"/>
  <c r="I211" i="10"/>
  <c r="Q211" i="10"/>
  <c r="K276" i="10"/>
  <c r="M276" i="10" s="1"/>
  <c r="R277" i="10"/>
  <c r="S276" i="10"/>
  <c r="G276" i="10" s="1"/>
  <c r="J276" i="10" s="1"/>
  <c r="R277" i="9"/>
  <c r="S276" i="9"/>
  <c r="G276" i="9" s="1"/>
  <c r="J276" i="9" s="1"/>
  <c r="K276" i="9"/>
  <c r="M276" i="9" s="1"/>
  <c r="L275" i="10"/>
  <c r="F277" i="10"/>
  <c r="F277" i="9"/>
  <c r="R277" i="5"/>
  <c r="K276" i="5"/>
  <c r="M276" i="5" s="1"/>
  <c r="S276" i="5"/>
  <c r="G276" i="5"/>
  <c r="J276" i="5" s="1"/>
  <c r="F277" i="5"/>
  <c r="L275" i="9"/>
  <c r="L276" i="10" l="1"/>
  <c r="N224" i="9"/>
  <c r="O224" i="9"/>
  <c r="P224" i="9" s="1"/>
  <c r="H225" i="9"/>
  <c r="I225" i="9" s="1"/>
  <c r="T287" i="9"/>
  <c r="C288" i="9"/>
  <c r="T282" i="10"/>
  <c r="C283" i="10"/>
  <c r="H240" i="5"/>
  <c r="Q240" i="5" s="1"/>
  <c r="N239" i="5"/>
  <c r="O239" i="5"/>
  <c r="P239" i="5" s="1"/>
  <c r="C283" i="5"/>
  <c r="T282" i="5"/>
  <c r="O211" i="10"/>
  <c r="P211" i="10" s="1"/>
  <c r="N211" i="10"/>
  <c r="H212" i="10"/>
  <c r="I212" i="10" s="1"/>
  <c r="R278" i="10"/>
  <c r="K277" i="10"/>
  <c r="M277" i="10" s="1"/>
  <c r="S277" i="10"/>
  <c r="G277" i="10" s="1"/>
  <c r="J277" i="10" s="1"/>
  <c r="R278" i="9"/>
  <c r="K277" i="9"/>
  <c r="M277" i="9" s="1"/>
  <c r="S277" i="9"/>
  <c r="G277" i="9" s="1"/>
  <c r="J277" i="9" s="1"/>
  <c r="F278" i="9"/>
  <c r="F278" i="10"/>
  <c r="F278" i="5"/>
  <c r="S277" i="5"/>
  <c r="G277" i="5" s="1"/>
  <c r="J277" i="5" s="1"/>
  <c r="R278" i="5"/>
  <c r="K277" i="5"/>
  <c r="M277" i="5" s="1"/>
  <c r="L276" i="5"/>
  <c r="L276" i="9"/>
  <c r="L277" i="9" s="1"/>
  <c r="Q225" i="9" l="1"/>
  <c r="T288" i="9"/>
  <c r="C289" i="9"/>
  <c r="O225" i="9"/>
  <c r="P225" i="9" s="1"/>
  <c r="H226" i="9"/>
  <c r="I226" i="9" s="1"/>
  <c r="N225" i="9"/>
  <c r="Q226" i="9"/>
  <c r="H241" i="5"/>
  <c r="Q241" i="5" s="1"/>
  <c r="O240" i="5"/>
  <c r="P240" i="5" s="1"/>
  <c r="N240" i="5"/>
  <c r="T283" i="5"/>
  <c r="C284" i="5"/>
  <c r="T283" i="10"/>
  <c r="C284" i="10"/>
  <c r="I240" i="5"/>
  <c r="Q212" i="10"/>
  <c r="S278" i="5"/>
  <c r="G278" i="5" s="1"/>
  <c r="J278" i="5" s="1"/>
  <c r="K278" i="5"/>
  <c r="M278" i="5" s="1"/>
  <c r="R279" i="5"/>
  <c r="L277" i="10"/>
  <c r="F279" i="9"/>
  <c r="K278" i="9"/>
  <c r="M278" i="9" s="1"/>
  <c r="R279" i="9"/>
  <c r="S278" i="9"/>
  <c r="G278" i="9" s="1"/>
  <c r="J278" i="9" s="1"/>
  <c r="F279" i="10"/>
  <c r="F279" i="5"/>
  <c r="K278" i="10"/>
  <c r="M278" i="10" s="1"/>
  <c r="R279" i="10"/>
  <c r="S278" i="10"/>
  <c r="G278" i="10" s="1"/>
  <c r="J278" i="10" s="1"/>
  <c r="L278" i="9"/>
  <c r="L277" i="5"/>
  <c r="L278" i="5" s="1"/>
  <c r="I241" i="5" l="1"/>
  <c r="O241" i="5"/>
  <c r="P241" i="5" s="1"/>
  <c r="H242" i="5"/>
  <c r="N241" i="5"/>
  <c r="Q242" i="5"/>
  <c r="C285" i="5"/>
  <c r="T284" i="5"/>
  <c r="I242" i="5"/>
  <c r="N226" i="9"/>
  <c r="O226" i="9"/>
  <c r="P226" i="9" s="1"/>
  <c r="H227" i="9"/>
  <c r="I227" i="9" s="1"/>
  <c r="Q227" i="9"/>
  <c r="C290" i="9"/>
  <c r="T289" i="9"/>
  <c r="C285" i="10"/>
  <c r="T284" i="10"/>
  <c r="N212" i="10"/>
  <c r="H213" i="10"/>
  <c r="O212" i="10"/>
  <c r="P212" i="10" s="1"/>
  <c r="L278" i="10"/>
  <c r="K279" i="10"/>
  <c r="M279" i="10" s="1"/>
  <c r="R280" i="10"/>
  <c r="S279" i="10"/>
  <c r="G279" i="10" s="1"/>
  <c r="J279" i="10" s="1"/>
  <c r="F280" i="5"/>
  <c r="F280" i="9"/>
  <c r="K279" i="5"/>
  <c r="M279" i="5" s="1"/>
  <c r="R280" i="5"/>
  <c r="S279" i="5"/>
  <c r="G279" i="5" s="1"/>
  <c r="J279" i="5" s="1"/>
  <c r="K279" i="9"/>
  <c r="M279" i="9" s="1"/>
  <c r="R280" i="9"/>
  <c r="S279" i="9"/>
  <c r="G279" i="9" s="1"/>
  <c r="J279" i="9" s="1"/>
  <c r="F280" i="10"/>
  <c r="C286" i="5" l="1"/>
  <c r="T285" i="5"/>
  <c r="N242" i="5"/>
  <c r="H243" i="5"/>
  <c r="I243" i="5" s="1"/>
  <c r="O242" i="5"/>
  <c r="P242" i="5" s="1"/>
  <c r="Q243" i="5"/>
  <c r="H228" i="9"/>
  <c r="I228" i="9" s="1"/>
  <c r="N227" i="9"/>
  <c r="O227" i="9"/>
  <c r="P227" i="9" s="1"/>
  <c r="T290" i="9"/>
  <c r="C291" i="9"/>
  <c r="T285" i="10"/>
  <c r="C286" i="10"/>
  <c r="Q213" i="10"/>
  <c r="I213" i="10"/>
  <c r="L279" i="10"/>
  <c r="K280" i="9"/>
  <c r="M280" i="9" s="1"/>
  <c r="R281" i="9"/>
  <c r="S280" i="9"/>
  <c r="V27" i="9" s="1"/>
  <c r="K280" i="5"/>
  <c r="M280" i="5" s="1"/>
  <c r="R281" i="5"/>
  <c r="S280" i="5"/>
  <c r="V27" i="5" s="1"/>
  <c r="L279" i="9"/>
  <c r="F281" i="5"/>
  <c r="F281" i="9"/>
  <c r="K280" i="10"/>
  <c r="M280" i="10" s="1"/>
  <c r="R281" i="10"/>
  <c r="S280" i="10"/>
  <c r="V27" i="10" s="1"/>
  <c r="F281" i="10"/>
  <c r="L279" i="5"/>
  <c r="G280" i="5" l="1"/>
  <c r="J280" i="5" s="1"/>
  <c r="H244" i="5"/>
  <c r="I244" i="5" s="1"/>
  <c r="O243" i="5"/>
  <c r="P243" i="5" s="1"/>
  <c r="N243" i="5"/>
  <c r="Q244" i="5"/>
  <c r="T291" i="9"/>
  <c r="C292" i="9"/>
  <c r="T286" i="10"/>
  <c r="C287" i="10"/>
  <c r="Q228" i="9"/>
  <c r="G280" i="9"/>
  <c r="J280" i="9" s="1"/>
  <c r="L280" i="5"/>
  <c r="C287" i="5"/>
  <c r="T286" i="5"/>
  <c r="G280" i="10"/>
  <c r="J280" i="10" s="1"/>
  <c r="N213" i="10"/>
  <c r="O213" i="10"/>
  <c r="P213" i="10" s="1"/>
  <c r="H214" i="10"/>
  <c r="Q214" i="10" s="1"/>
  <c r="R282" i="10"/>
  <c r="K281" i="10"/>
  <c r="M281" i="10" s="1"/>
  <c r="S281" i="10"/>
  <c r="G281" i="10" s="1"/>
  <c r="J281" i="10" s="1"/>
  <c r="R282" i="9"/>
  <c r="K281" i="9"/>
  <c r="M281" i="9" s="1"/>
  <c r="S281" i="9"/>
  <c r="G281" i="9" s="1"/>
  <c r="J281" i="9" s="1"/>
  <c r="R282" i="5"/>
  <c r="K281" i="5"/>
  <c r="M281" i="5" s="1"/>
  <c r="S281" i="5"/>
  <c r="F282" i="9"/>
  <c r="F282" i="10"/>
  <c r="F282" i="5"/>
  <c r="G281" i="5"/>
  <c r="J281" i="5" s="1"/>
  <c r="L280" i="10"/>
  <c r="L281" i="5"/>
  <c r="L280" i="9"/>
  <c r="T287" i="10" l="1"/>
  <c r="C288" i="10"/>
  <c r="T292" i="9"/>
  <c r="C293" i="9"/>
  <c r="T287" i="5"/>
  <c r="C288" i="5"/>
  <c r="O244" i="5"/>
  <c r="P244" i="5" s="1"/>
  <c r="AC12" i="5"/>
  <c r="H245" i="5"/>
  <c r="Q245" i="5" s="1"/>
  <c r="N244" i="5"/>
  <c r="L281" i="9"/>
  <c r="O228" i="9"/>
  <c r="P228" i="9" s="1"/>
  <c r="H229" i="9"/>
  <c r="I229" i="9" s="1"/>
  <c r="N228" i="9"/>
  <c r="Q229" i="9"/>
  <c r="AC8" i="5"/>
  <c r="I245" i="5"/>
  <c r="N214" i="10"/>
  <c r="O214" i="10"/>
  <c r="P214" i="10" s="1"/>
  <c r="H215" i="10"/>
  <c r="Q215" i="10" s="1"/>
  <c r="I214" i="10"/>
  <c r="F283" i="10"/>
  <c r="R283" i="9"/>
  <c r="K282" i="9"/>
  <c r="M282" i="9" s="1"/>
  <c r="S282" i="9"/>
  <c r="R283" i="10"/>
  <c r="K282" i="10"/>
  <c r="M282" i="10" s="1"/>
  <c r="S282" i="10"/>
  <c r="G282" i="10" s="1"/>
  <c r="J282" i="10" s="1"/>
  <c r="L281" i="10"/>
  <c r="L282" i="10" s="1"/>
  <c r="F283" i="5"/>
  <c r="F283" i="9"/>
  <c r="G282" i="9"/>
  <c r="J282" i="9" s="1"/>
  <c r="K282" i="5"/>
  <c r="M282" i="5" s="1"/>
  <c r="S282" i="5"/>
  <c r="G282" i="5" s="1"/>
  <c r="J282" i="5" s="1"/>
  <c r="R283" i="5"/>
  <c r="O229" i="9" l="1"/>
  <c r="P229" i="9" s="1"/>
  <c r="N229" i="9"/>
  <c r="H230" i="9"/>
  <c r="I230" i="9" s="1"/>
  <c r="Q230" i="9"/>
  <c r="C289" i="5"/>
  <c r="T288" i="5"/>
  <c r="C294" i="9"/>
  <c r="T293" i="9"/>
  <c r="C289" i="10"/>
  <c r="T288" i="10"/>
  <c r="L282" i="9"/>
  <c r="O245" i="5"/>
  <c r="P245" i="5" s="1"/>
  <c r="H246" i="5"/>
  <c r="I246" i="5" s="1"/>
  <c r="N245" i="5"/>
  <c r="N215" i="10"/>
  <c r="O215" i="10"/>
  <c r="P215" i="10" s="1"/>
  <c r="H216" i="10"/>
  <c r="Q216" i="10" s="1"/>
  <c r="I215" i="10"/>
  <c r="F284" i="10"/>
  <c r="F284" i="5"/>
  <c r="L282" i="5"/>
  <c r="R284" i="5"/>
  <c r="S283" i="5"/>
  <c r="G283" i="5" s="1"/>
  <c r="J283" i="5" s="1"/>
  <c r="K283" i="5"/>
  <c r="M283" i="5" s="1"/>
  <c r="K283" i="9"/>
  <c r="M283" i="9" s="1"/>
  <c r="R284" i="9"/>
  <c r="S283" i="9"/>
  <c r="G283" i="9" s="1"/>
  <c r="J283" i="9" s="1"/>
  <c r="F284" i="9"/>
  <c r="K283" i="10"/>
  <c r="M283" i="10" s="1"/>
  <c r="R284" i="10"/>
  <c r="S283" i="10"/>
  <c r="G283" i="10" s="1"/>
  <c r="J283" i="10" s="1"/>
  <c r="C290" i="5" l="1"/>
  <c r="T289" i="5"/>
  <c r="Q246" i="5"/>
  <c r="L283" i="5"/>
  <c r="H231" i="9"/>
  <c r="I231" i="9" s="1"/>
  <c r="N230" i="9"/>
  <c r="O230" i="9"/>
  <c r="P230" i="9" s="1"/>
  <c r="T294" i="9"/>
  <c r="C295" i="9"/>
  <c r="T289" i="10"/>
  <c r="C290" i="10"/>
  <c r="O216" i="10"/>
  <c r="P216" i="10" s="1"/>
  <c r="N216" i="10"/>
  <c r="H217" i="10"/>
  <c r="Q217" i="10" s="1"/>
  <c r="I216" i="10"/>
  <c r="F285" i="9"/>
  <c r="K284" i="9"/>
  <c r="M284" i="9" s="1"/>
  <c r="R285" i="9"/>
  <c r="S284" i="9"/>
  <c r="G284" i="9" s="1"/>
  <c r="J284" i="9" s="1"/>
  <c r="K284" i="5"/>
  <c r="M284" i="5" s="1"/>
  <c r="S284" i="5"/>
  <c r="G284" i="5" s="1"/>
  <c r="J284" i="5" s="1"/>
  <c r="R285" i="5"/>
  <c r="F285" i="10"/>
  <c r="L284" i="5"/>
  <c r="L283" i="10"/>
  <c r="K284" i="10"/>
  <c r="M284" i="10" s="1"/>
  <c r="R285" i="10"/>
  <c r="S284" i="10"/>
  <c r="G284" i="10" s="1"/>
  <c r="J284" i="10" s="1"/>
  <c r="F285" i="5"/>
  <c r="L283" i="9"/>
  <c r="T290" i="10" l="1"/>
  <c r="C291" i="10"/>
  <c r="N246" i="5"/>
  <c r="H247" i="5"/>
  <c r="I247" i="5" s="1"/>
  <c r="O246" i="5"/>
  <c r="P246" i="5" s="1"/>
  <c r="T295" i="9"/>
  <c r="C296" i="9"/>
  <c r="C291" i="5"/>
  <c r="T290" i="5"/>
  <c r="L284" i="9"/>
  <c r="Q231" i="9"/>
  <c r="H218" i="10"/>
  <c r="Q218" i="10" s="1"/>
  <c r="O217" i="10"/>
  <c r="P217" i="10" s="1"/>
  <c r="N217" i="10"/>
  <c r="I217" i="10"/>
  <c r="F286" i="9"/>
  <c r="R286" i="10"/>
  <c r="K285" i="10"/>
  <c r="M285" i="10" s="1"/>
  <c r="S285" i="10"/>
  <c r="G285" i="10" s="1"/>
  <c r="J285" i="10" s="1"/>
  <c r="F286" i="10"/>
  <c r="F286" i="5"/>
  <c r="K285" i="5"/>
  <c r="M285" i="5" s="1"/>
  <c r="S285" i="5"/>
  <c r="G285" i="5" s="1"/>
  <c r="J285" i="5" s="1"/>
  <c r="R286" i="5"/>
  <c r="R286" i="9"/>
  <c r="K285" i="9"/>
  <c r="M285" i="9" s="1"/>
  <c r="S285" i="9"/>
  <c r="G285" i="9" s="1"/>
  <c r="J285" i="9" s="1"/>
  <c r="L285" i="9"/>
  <c r="L284" i="10"/>
  <c r="T296" i="9" l="1"/>
  <c r="C297" i="9"/>
  <c r="L285" i="5"/>
  <c r="Q247" i="5"/>
  <c r="N231" i="9"/>
  <c r="O231" i="9"/>
  <c r="P231" i="9" s="1"/>
  <c r="H232" i="9"/>
  <c r="I232" i="9" s="1"/>
  <c r="T291" i="10"/>
  <c r="C292" i="10"/>
  <c r="T291" i="5"/>
  <c r="C292" i="5"/>
  <c r="O218" i="10"/>
  <c r="P218" i="10" s="1"/>
  <c r="N218" i="10"/>
  <c r="H219" i="10"/>
  <c r="Q219" i="10" s="1"/>
  <c r="I218" i="10"/>
  <c r="L285" i="10"/>
  <c r="F287" i="9"/>
  <c r="R287" i="5"/>
  <c r="S286" i="5"/>
  <c r="G286" i="5" s="1"/>
  <c r="J286" i="5" s="1"/>
  <c r="K286" i="5"/>
  <c r="M286" i="5" s="1"/>
  <c r="F287" i="10"/>
  <c r="L286" i="5"/>
  <c r="R287" i="9"/>
  <c r="K286" i="9"/>
  <c r="M286" i="9" s="1"/>
  <c r="S286" i="9"/>
  <c r="G286" i="9" s="1"/>
  <c r="J286" i="9" s="1"/>
  <c r="F287" i="5"/>
  <c r="R287" i="10"/>
  <c r="K286" i="10"/>
  <c r="M286" i="10" s="1"/>
  <c r="S286" i="10"/>
  <c r="G286" i="10" s="1"/>
  <c r="J286" i="10" s="1"/>
  <c r="Q232" i="9" l="1"/>
  <c r="O247" i="5"/>
  <c r="P247" i="5" s="1"/>
  <c r="H248" i="5"/>
  <c r="N247" i="5"/>
  <c r="C293" i="10"/>
  <c r="T292" i="10"/>
  <c r="C298" i="9"/>
  <c r="T297" i="9"/>
  <c r="N232" i="9"/>
  <c r="O232" i="9"/>
  <c r="P232" i="9" s="1"/>
  <c r="H233" i="9"/>
  <c r="I233" i="9" s="1"/>
  <c r="Q233" i="9"/>
  <c r="C293" i="5"/>
  <c r="T292" i="5"/>
  <c r="L286" i="10"/>
  <c r="N219" i="10"/>
  <c r="H220" i="10"/>
  <c r="Q220" i="10" s="1"/>
  <c r="O219" i="10"/>
  <c r="P219" i="10" s="1"/>
  <c r="I219" i="10"/>
  <c r="K287" i="10"/>
  <c r="M287" i="10" s="1"/>
  <c r="R288" i="10"/>
  <c r="S287" i="10"/>
  <c r="G287" i="10" s="1"/>
  <c r="J287" i="10" s="1"/>
  <c r="F288" i="9"/>
  <c r="R288" i="5"/>
  <c r="S287" i="5"/>
  <c r="G287" i="5" s="1"/>
  <c r="J287" i="5" s="1"/>
  <c r="K287" i="5"/>
  <c r="M287" i="5" s="1"/>
  <c r="F288" i="5"/>
  <c r="K287" i="9"/>
  <c r="M287" i="9" s="1"/>
  <c r="R288" i="9"/>
  <c r="S287" i="9"/>
  <c r="G287" i="9" s="1"/>
  <c r="J287" i="9" s="1"/>
  <c r="F288" i="10"/>
  <c r="L286" i="9"/>
  <c r="T298" i="9" l="1"/>
  <c r="C299" i="9"/>
  <c r="T293" i="10"/>
  <c r="C294" i="10"/>
  <c r="N233" i="9"/>
  <c r="O233" i="9"/>
  <c r="P233" i="9" s="1"/>
  <c r="H234" i="9"/>
  <c r="I234" i="9" s="1"/>
  <c r="Q248" i="5"/>
  <c r="I248" i="5"/>
  <c r="C294" i="5"/>
  <c r="T293" i="5"/>
  <c r="N220" i="10"/>
  <c r="H221" i="10"/>
  <c r="Q221" i="10" s="1"/>
  <c r="O220" i="10"/>
  <c r="P220" i="10" s="1"/>
  <c r="I220" i="10"/>
  <c r="F289" i="5"/>
  <c r="F289" i="10"/>
  <c r="K288" i="5"/>
  <c r="M288" i="5" s="1"/>
  <c r="S288" i="5"/>
  <c r="G288" i="5" s="1"/>
  <c r="J288" i="5" s="1"/>
  <c r="R289" i="5"/>
  <c r="F289" i="9"/>
  <c r="K288" i="10"/>
  <c r="M288" i="10" s="1"/>
  <c r="R289" i="10"/>
  <c r="S288" i="10"/>
  <c r="G288" i="10" s="1"/>
  <c r="J288" i="10" s="1"/>
  <c r="K288" i="9"/>
  <c r="M288" i="9" s="1"/>
  <c r="R289" i="9"/>
  <c r="S288" i="9"/>
  <c r="G288" i="9" s="1"/>
  <c r="J288" i="9" s="1"/>
  <c r="L287" i="9"/>
  <c r="L288" i="9" s="1"/>
  <c r="L287" i="10"/>
  <c r="L287" i="5"/>
  <c r="L288" i="10" l="1"/>
  <c r="T294" i="10"/>
  <c r="C295" i="10"/>
  <c r="Q234" i="9"/>
  <c r="N248" i="5"/>
  <c r="H249" i="5"/>
  <c r="Q249" i="5" s="1"/>
  <c r="O248" i="5"/>
  <c r="P248" i="5" s="1"/>
  <c r="T299" i="9"/>
  <c r="C300" i="9"/>
  <c r="C295" i="5"/>
  <c r="T294" i="5"/>
  <c r="O221" i="10"/>
  <c r="P221" i="10" s="1"/>
  <c r="N221" i="10"/>
  <c r="H222" i="10"/>
  <c r="Q222" i="10" s="1"/>
  <c r="I221" i="10"/>
  <c r="F290" i="5"/>
  <c r="L288" i="5"/>
  <c r="R290" i="10"/>
  <c r="K289" i="10"/>
  <c r="M289" i="10" s="1"/>
  <c r="S289" i="10"/>
  <c r="G289" i="10" s="1"/>
  <c r="J289" i="10" s="1"/>
  <c r="K289" i="5"/>
  <c r="M289" i="5" s="1"/>
  <c r="S289" i="5"/>
  <c r="G289" i="5" s="1"/>
  <c r="J289" i="5" s="1"/>
  <c r="R290" i="5"/>
  <c r="F290" i="10"/>
  <c r="R290" i="9"/>
  <c r="K289" i="9"/>
  <c r="M289" i="9" s="1"/>
  <c r="S289" i="9"/>
  <c r="F290" i="9"/>
  <c r="G289" i="9"/>
  <c r="J289" i="9" s="1"/>
  <c r="L289" i="10"/>
  <c r="L289" i="9" l="1"/>
  <c r="T300" i="9"/>
  <c r="C301" i="9"/>
  <c r="H235" i="9"/>
  <c r="I235" i="9" s="1"/>
  <c r="O234" i="9"/>
  <c r="P234" i="9" s="1"/>
  <c r="N234" i="9"/>
  <c r="Q235" i="9"/>
  <c r="O249" i="5"/>
  <c r="P249" i="5" s="1"/>
  <c r="N249" i="5"/>
  <c r="H250" i="5"/>
  <c r="Q250" i="5" s="1"/>
  <c r="T295" i="10"/>
  <c r="C296" i="10"/>
  <c r="I249" i="5"/>
  <c r="I250" i="5" s="1"/>
  <c r="T295" i="5"/>
  <c r="C296" i="5"/>
  <c r="H223" i="10"/>
  <c r="Q223" i="10" s="1"/>
  <c r="O222" i="10"/>
  <c r="P222" i="10" s="1"/>
  <c r="N222" i="10"/>
  <c r="I222" i="10"/>
  <c r="R291" i="9"/>
  <c r="K290" i="9"/>
  <c r="M290" i="9" s="1"/>
  <c r="S290" i="9"/>
  <c r="G290" i="9" s="1"/>
  <c r="J290" i="9" s="1"/>
  <c r="R291" i="5"/>
  <c r="S290" i="5"/>
  <c r="G290" i="5" s="1"/>
  <c r="J290" i="5" s="1"/>
  <c r="K290" i="5"/>
  <c r="M290" i="5" s="1"/>
  <c r="F291" i="5"/>
  <c r="F291" i="10"/>
  <c r="F291" i="9"/>
  <c r="R291" i="10"/>
  <c r="K290" i="10"/>
  <c r="M290" i="10" s="1"/>
  <c r="S290" i="10"/>
  <c r="G290" i="10" s="1"/>
  <c r="J290" i="10" s="1"/>
  <c r="L289" i="5"/>
  <c r="L290" i="5" s="1"/>
  <c r="H251" i="5" l="1"/>
  <c r="Q251" i="5" s="1"/>
  <c r="O250" i="5"/>
  <c r="P250" i="5" s="1"/>
  <c r="N250" i="5"/>
  <c r="C297" i="5"/>
  <c r="T296" i="5"/>
  <c r="N235" i="9"/>
  <c r="H236" i="9"/>
  <c r="I236" i="9" s="1"/>
  <c r="O235" i="9"/>
  <c r="P235" i="9" s="1"/>
  <c r="C297" i="10"/>
  <c r="T296" i="10"/>
  <c r="I251" i="5"/>
  <c r="L290" i="9"/>
  <c r="C302" i="9"/>
  <c r="T301" i="9"/>
  <c r="N223" i="10"/>
  <c r="H224" i="10"/>
  <c r="Q224" i="10" s="1"/>
  <c r="O223" i="10"/>
  <c r="P223" i="10" s="1"/>
  <c r="I223" i="10"/>
  <c r="K291" i="9"/>
  <c r="M291" i="9" s="1"/>
  <c r="R292" i="9"/>
  <c r="S291" i="9"/>
  <c r="G291" i="9" s="1"/>
  <c r="J291" i="9" s="1"/>
  <c r="K291" i="10"/>
  <c r="M291" i="10" s="1"/>
  <c r="R292" i="10"/>
  <c r="S291" i="10"/>
  <c r="G291" i="10" s="1"/>
  <c r="J291" i="10" s="1"/>
  <c r="L290" i="10"/>
  <c r="F292" i="10"/>
  <c r="F292" i="9"/>
  <c r="F292" i="5"/>
  <c r="R292" i="5"/>
  <c r="S291" i="5"/>
  <c r="G291" i="5" s="1"/>
  <c r="J291" i="5" s="1"/>
  <c r="K291" i="5"/>
  <c r="M291" i="5" s="1"/>
  <c r="T302" i="9" l="1"/>
  <c r="C303" i="9"/>
  <c r="C298" i="5"/>
  <c r="T297" i="5"/>
  <c r="T297" i="10"/>
  <c r="C298" i="10"/>
  <c r="I252" i="5"/>
  <c r="Q236" i="9"/>
  <c r="N251" i="5"/>
  <c r="H252" i="5"/>
  <c r="O251" i="5"/>
  <c r="P251" i="5" s="1"/>
  <c r="Q252" i="5"/>
  <c r="L291" i="10"/>
  <c r="N224" i="10"/>
  <c r="H225" i="10"/>
  <c r="Q225" i="10" s="1"/>
  <c r="O224" i="10"/>
  <c r="P224" i="10" s="1"/>
  <c r="I224" i="10"/>
  <c r="F293" i="5"/>
  <c r="K292" i="10"/>
  <c r="M292" i="10" s="1"/>
  <c r="R293" i="10"/>
  <c r="S292" i="10"/>
  <c r="V28" i="10" s="1"/>
  <c r="R293" i="9"/>
  <c r="S292" i="9"/>
  <c r="V28" i="9" s="1"/>
  <c r="K292" i="9"/>
  <c r="M292" i="9" s="1"/>
  <c r="K292" i="5"/>
  <c r="M292" i="5" s="1"/>
  <c r="S292" i="5"/>
  <c r="V28" i="5" s="1"/>
  <c r="R293" i="5"/>
  <c r="F293" i="9"/>
  <c r="L291" i="9"/>
  <c r="L291" i="5"/>
  <c r="F293" i="10"/>
  <c r="L292" i="9" l="1"/>
  <c r="N236" i="9"/>
  <c r="H237" i="9"/>
  <c r="I237" i="9" s="1"/>
  <c r="O236" i="9"/>
  <c r="P236" i="9" s="1"/>
  <c r="G292" i="9"/>
  <c r="J292" i="9" s="1"/>
  <c r="I253" i="5"/>
  <c r="O252" i="5"/>
  <c r="P252" i="5" s="1"/>
  <c r="N252" i="5"/>
  <c r="H253" i="5"/>
  <c r="Q253" i="5"/>
  <c r="T303" i="9"/>
  <c r="C304" i="9"/>
  <c r="T298" i="10"/>
  <c r="C299" i="10"/>
  <c r="C299" i="5"/>
  <c r="T298" i="5"/>
  <c r="L292" i="10"/>
  <c r="N225" i="10"/>
  <c r="H226" i="10"/>
  <c r="Q226" i="10" s="1"/>
  <c r="O225" i="10"/>
  <c r="P225" i="10" s="1"/>
  <c r="I225" i="10"/>
  <c r="G292" i="10"/>
  <c r="J292" i="10" s="1"/>
  <c r="F294" i="5"/>
  <c r="F294" i="9"/>
  <c r="R294" i="9"/>
  <c r="K293" i="9"/>
  <c r="M293" i="9" s="1"/>
  <c r="S293" i="9"/>
  <c r="G293" i="9" s="1"/>
  <c r="J293" i="9" s="1"/>
  <c r="L292" i="5"/>
  <c r="G292" i="5"/>
  <c r="J292" i="5" s="1"/>
  <c r="F294" i="10"/>
  <c r="K293" i="5"/>
  <c r="M293" i="5" s="1"/>
  <c r="S293" i="5"/>
  <c r="G293" i="5" s="1"/>
  <c r="J293" i="5" s="1"/>
  <c r="R294" i="5"/>
  <c r="R294" i="10"/>
  <c r="K293" i="10"/>
  <c r="M293" i="10" s="1"/>
  <c r="S293" i="10"/>
  <c r="G293" i="10" s="1"/>
  <c r="J293" i="10" s="1"/>
  <c r="T299" i="5" l="1"/>
  <c r="C300" i="5"/>
  <c r="T299" i="10"/>
  <c r="C300" i="10"/>
  <c r="L293" i="9"/>
  <c r="L294" i="9" s="1"/>
  <c r="N253" i="5"/>
  <c r="H254" i="5"/>
  <c r="I254" i="5" s="1"/>
  <c r="O253" i="5"/>
  <c r="P253" i="5" s="1"/>
  <c r="Q237" i="9"/>
  <c r="T304" i="9"/>
  <c r="C305" i="9"/>
  <c r="N226" i="10"/>
  <c r="H227" i="10"/>
  <c r="Q227" i="10" s="1"/>
  <c r="O226" i="10"/>
  <c r="P226" i="10" s="1"/>
  <c r="L293" i="10"/>
  <c r="I226" i="10"/>
  <c r="F295" i="5"/>
  <c r="R295" i="10"/>
  <c r="K294" i="10"/>
  <c r="M294" i="10" s="1"/>
  <c r="S294" i="10"/>
  <c r="G294" i="10" s="1"/>
  <c r="J294" i="10" s="1"/>
  <c r="L293" i="5"/>
  <c r="S294" i="5"/>
  <c r="G294" i="5" s="1"/>
  <c r="J294" i="5" s="1"/>
  <c r="K294" i="5"/>
  <c r="M294" i="5" s="1"/>
  <c r="R295" i="5"/>
  <c r="F295" i="9"/>
  <c r="K294" i="9"/>
  <c r="M294" i="9" s="1"/>
  <c r="R295" i="9"/>
  <c r="S294" i="9"/>
  <c r="G294" i="9" s="1"/>
  <c r="J294" i="9" s="1"/>
  <c r="F295" i="10"/>
  <c r="C301" i="5" l="1"/>
  <c r="T300" i="5"/>
  <c r="C306" i="9"/>
  <c r="T305" i="9"/>
  <c r="Q254" i="5"/>
  <c r="C301" i="10"/>
  <c r="T300" i="10"/>
  <c r="N237" i="9"/>
  <c r="O237" i="9"/>
  <c r="P237" i="9" s="1"/>
  <c r="H238" i="9"/>
  <c r="I227" i="10"/>
  <c r="O227" i="10"/>
  <c r="P227" i="10" s="1"/>
  <c r="H228" i="10"/>
  <c r="Q228" i="10" s="1"/>
  <c r="N227" i="10"/>
  <c r="L294" i="10"/>
  <c r="F296" i="5"/>
  <c r="F296" i="10"/>
  <c r="K295" i="5"/>
  <c r="M295" i="5" s="1"/>
  <c r="R296" i="5"/>
  <c r="S295" i="5"/>
  <c r="G295" i="5" s="1"/>
  <c r="J295" i="5" s="1"/>
  <c r="L294" i="5"/>
  <c r="F296" i="9"/>
  <c r="K295" i="10"/>
  <c r="M295" i="10" s="1"/>
  <c r="R296" i="10"/>
  <c r="S295" i="10"/>
  <c r="G295" i="10" s="1"/>
  <c r="J295" i="10" s="1"/>
  <c r="K295" i="9"/>
  <c r="M295" i="9" s="1"/>
  <c r="R296" i="9"/>
  <c r="S295" i="9"/>
  <c r="G295" i="9" s="1"/>
  <c r="J295" i="9" s="1"/>
  <c r="N254" i="5" l="1"/>
  <c r="O254" i="5"/>
  <c r="P254" i="5" s="1"/>
  <c r="H255" i="5"/>
  <c r="I255" i="5" s="1"/>
  <c r="Q255" i="5"/>
  <c r="T306" i="9"/>
  <c r="C307" i="9"/>
  <c r="T301" i="10"/>
  <c r="C302" i="10"/>
  <c r="I228" i="10"/>
  <c r="Q238" i="9"/>
  <c r="I238" i="9"/>
  <c r="C302" i="5"/>
  <c r="T301" i="5"/>
  <c r="H229" i="10"/>
  <c r="Q229" i="10" s="1"/>
  <c r="N228" i="10"/>
  <c r="O228" i="10"/>
  <c r="P228" i="10" s="1"/>
  <c r="L295" i="10"/>
  <c r="F297" i="9"/>
  <c r="R297" i="5"/>
  <c r="K296" i="5"/>
  <c r="M296" i="5" s="1"/>
  <c r="S296" i="5"/>
  <c r="G296" i="5" s="1"/>
  <c r="J296" i="5" s="1"/>
  <c r="F297" i="5"/>
  <c r="L295" i="9"/>
  <c r="R297" i="9"/>
  <c r="K296" i="9"/>
  <c r="M296" i="9" s="1"/>
  <c r="S296" i="9"/>
  <c r="G296" i="9" s="1"/>
  <c r="J296" i="9" s="1"/>
  <c r="F297" i="10"/>
  <c r="K296" i="10"/>
  <c r="M296" i="10" s="1"/>
  <c r="R297" i="10"/>
  <c r="S296" i="10"/>
  <c r="G296" i="10" s="1"/>
  <c r="J296" i="10" s="1"/>
  <c r="L295" i="5"/>
  <c r="L296" i="5" s="1"/>
  <c r="T307" i="9" l="1"/>
  <c r="C308" i="9"/>
  <c r="C303" i="5"/>
  <c r="T302" i="5"/>
  <c r="H256" i="5"/>
  <c r="I256" i="5" s="1"/>
  <c r="N255" i="5"/>
  <c r="O255" i="5"/>
  <c r="P255" i="5" s="1"/>
  <c r="Q256" i="5"/>
  <c r="H239" i="9"/>
  <c r="Q239" i="9" s="1"/>
  <c r="N238" i="9"/>
  <c r="O238" i="9"/>
  <c r="P238" i="9" s="1"/>
  <c r="T302" i="10"/>
  <c r="C303" i="10"/>
  <c r="H230" i="10"/>
  <c r="Q230" i="10" s="1"/>
  <c r="O229" i="10"/>
  <c r="P229" i="10" s="1"/>
  <c r="N229" i="10"/>
  <c r="I229" i="10"/>
  <c r="F298" i="9"/>
  <c r="R298" i="10"/>
  <c r="K297" i="10"/>
  <c r="M297" i="10" s="1"/>
  <c r="S297" i="10"/>
  <c r="G297" i="10" s="1"/>
  <c r="J297" i="10" s="1"/>
  <c r="R298" i="9"/>
  <c r="K297" i="9"/>
  <c r="M297" i="9" s="1"/>
  <c r="S297" i="9"/>
  <c r="G297" i="9" s="1"/>
  <c r="J297" i="9" s="1"/>
  <c r="F298" i="5"/>
  <c r="S297" i="5"/>
  <c r="G297" i="5" s="1"/>
  <c r="J297" i="5" s="1"/>
  <c r="R298" i="5"/>
  <c r="K297" i="5"/>
  <c r="M297" i="5" s="1"/>
  <c r="F298" i="10"/>
  <c r="L296" i="10"/>
  <c r="L296" i="9"/>
  <c r="L297" i="9" s="1"/>
  <c r="L297" i="5" l="1"/>
  <c r="T303" i="10"/>
  <c r="C304" i="10"/>
  <c r="T303" i="5"/>
  <c r="C304" i="5"/>
  <c r="H257" i="5"/>
  <c r="I257" i="5" s="1"/>
  <c r="N256" i="5"/>
  <c r="O256" i="5"/>
  <c r="P256" i="5" s="1"/>
  <c r="N239" i="9"/>
  <c r="H240" i="9"/>
  <c r="Q240" i="9" s="1"/>
  <c r="O239" i="9"/>
  <c r="P239" i="9" s="1"/>
  <c r="T308" i="9"/>
  <c r="C309" i="9"/>
  <c r="I239" i="9"/>
  <c r="I240" i="9" s="1"/>
  <c r="H231" i="10"/>
  <c r="Q231" i="10" s="1"/>
  <c r="O230" i="10"/>
  <c r="P230" i="10" s="1"/>
  <c r="N230" i="10"/>
  <c r="I230" i="10"/>
  <c r="L297" i="10"/>
  <c r="K298" i="9"/>
  <c r="M298" i="9" s="1"/>
  <c r="R299" i="9"/>
  <c r="S298" i="9"/>
  <c r="G298" i="9" s="1"/>
  <c r="J298" i="9" s="1"/>
  <c r="F299" i="5"/>
  <c r="R299" i="10"/>
  <c r="K298" i="10"/>
  <c r="M298" i="10" s="1"/>
  <c r="S298" i="10"/>
  <c r="G298" i="10" s="1"/>
  <c r="J298" i="10" s="1"/>
  <c r="S298" i="5"/>
  <c r="G298" i="5" s="1"/>
  <c r="J298" i="5" s="1"/>
  <c r="K298" i="5"/>
  <c r="M298" i="5" s="1"/>
  <c r="R299" i="5"/>
  <c r="F299" i="9"/>
  <c r="F299" i="10"/>
  <c r="Q257" i="5" l="1"/>
  <c r="C305" i="5"/>
  <c r="T304" i="5"/>
  <c r="L298" i="5"/>
  <c r="C310" i="9"/>
  <c r="T309" i="9"/>
  <c r="H258" i="5"/>
  <c r="I258" i="5" s="1"/>
  <c r="O257" i="5"/>
  <c r="P257" i="5" s="1"/>
  <c r="N257" i="5"/>
  <c r="H241" i="9"/>
  <c r="Q241" i="9" s="1"/>
  <c r="N240" i="9"/>
  <c r="O240" i="9"/>
  <c r="P240" i="9" s="1"/>
  <c r="C305" i="10"/>
  <c r="T304" i="10"/>
  <c r="H232" i="10"/>
  <c r="Q232" i="10" s="1"/>
  <c r="O231" i="10"/>
  <c r="P231" i="10" s="1"/>
  <c r="N231" i="10"/>
  <c r="I231" i="10"/>
  <c r="F300" i="10"/>
  <c r="K299" i="10"/>
  <c r="M299" i="10" s="1"/>
  <c r="R300" i="10"/>
  <c r="S299" i="10"/>
  <c r="G299" i="10" s="1"/>
  <c r="J299" i="10" s="1"/>
  <c r="K299" i="9"/>
  <c r="M299" i="9" s="1"/>
  <c r="R300" i="9"/>
  <c r="S299" i="9"/>
  <c r="L298" i="10"/>
  <c r="L298" i="9"/>
  <c r="K299" i="5"/>
  <c r="M299" i="5" s="1"/>
  <c r="R300" i="5"/>
  <c r="S299" i="5"/>
  <c r="G299" i="5" s="1"/>
  <c r="J299" i="5" s="1"/>
  <c r="F300" i="9"/>
  <c r="G299" i="9"/>
  <c r="J299" i="9" s="1"/>
  <c r="F300" i="5"/>
  <c r="H242" i="9" l="1"/>
  <c r="Q242" i="9" s="1"/>
  <c r="O241" i="9"/>
  <c r="P241" i="9" s="1"/>
  <c r="N241" i="9"/>
  <c r="T310" i="9"/>
  <c r="C311" i="9"/>
  <c r="Q258" i="5"/>
  <c r="T305" i="10"/>
  <c r="C306" i="10"/>
  <c r="I241" i="9"/>
  <c r="C306" i="5"/>
  <c r="T305" i="5"/>
  <c r="H233" i="10"/>
  <c r="Q233" i="10" s="1"/>
  <c r="O232" i="10"/>
  <c r="P232" i="10" s="1"/>
  <c r="N232" i="10"/>
  <c r="L299" i="10"/>
  <c r="I232" i="10"/>
  <c r="I233" i="10" s="1"/>
  <c r="R301" i="5"/>
  <c r="K300" i="5"/>
  <c r="M300" i="5" s="1"/>
  <c r="S300" i="5"/>
  <c r="G300" i="5" s="1"/>
  <c r="J300" i="5" s="1"/>
  <c r="F301" i="10"/>
  <c r="L299" i="5"/>
  <c r="F301" i="5"/>
  <c r="R301" i="9"/>
  <c r="K300" i="9"/>
  <c r="M300" i="9" s="1"/>
  <c r="S300" i="9"/>
  <c r="G300" i="9" s="1"/>
  <c r="J300" i="9" s="1"/>
  <c r="L299" i="9"/>
  <c r="F301" i="9"/>
  <c r="K300" i="10"/>
  <c r="M300" i="10" s="1"/>
  <c r="R301" i="10"/>
  <c r="S300" i="10"/>
  <c r="G300" i="10" s="1"/>
  <c r="J300" i="10" s="1"/>
  <c r="L300" i="9" l="1"/>
  <c r="H243" i="9"/>
  <c r="N242" i="9"/>
  <c r="O242" i="9"/>
  <c r="P242" i="9" s="1"/>
  <c r="H259" i="5"/>
  <c r="I259" i="5" s="1"/>
  <c r="N258" i="5"/>
  <c r="O258" i="5"/>
  <c r="P258" i="5" s="1"/>
  <c r="Q259" i="5"/>
  <c r="T311" i="9"/>
  <c r="C312" i="9"/>
  <c r="C307" i="5"/>
  <c r="T306" i="5"/>
  <c r="I242" i="9"/>
  <c r="T306" i="10"/>
  <c r="C307" i="10"/>
  <c r="H234" i="10"/>
  <c r="Q234" i="10" s="1"/>
  <c r="N233" i="10"/>
  <c r="O233" i="10"/>
  <c r="P233" i="10" s="1"/>
  <c r="S301" i="5"/>
  <c r="R302" i="5"/>
  <c r="K301" i="5"/>
  <c r="M301" i="5" s="1"/>
  <c r="R302" i="10"/>
  <c r="K301" i="10"/>
  <c r="M301" i="10" s="1"/>
  <c r="S301" i="10"/>
  <c r="G301" i="10" s="1"/>
  <c r="J301" i="10" s="1"/>
  <c r="R302" i="9"/>
  <c r="K301" i="9"/>
  <c r="M301" i="9" s="1"/>
  <c r="S301" i="9"/>
  <c r="G301" i="9" s="1"/>
  <c r="J301" i="9" s="1"/>
  <c r="L301" i="9"/>
  <c r="G301" i="5"/>
  <c r="J301" i="5" s="1"/>
  <c r="F302" i="5"/>
  <c r="F302" i="9"/>
  <c r="F302" i="10"/>
  <c r="L300" i="10"/>
  <c r="L300" i="5"/>
  <c r="T307" i="10" l="1"/>
  <c r="C308" i="10"/>
  <c r="N259" i="5"/>
  <c r="H260" i="5"/>
  <c r="I260" i="5" s="1"/>
  <c r="O259" i="5"/>
  <c r="P259" i="5" s="1"/>
  <c r="Q260" i="5"/>
  <c r="T307" i="5"/>
  <c r="C308" i="5"/>
  <c r="L301" i="5"/>
  <c r="T312" i="9"/>
  <c r="C313" i="9"/>
  <c r="I243" i="9"/>
  <c r="Q243" i="9"/>
  <c r="I234" i="10"/>
  <c r="O234" i="10"/>
  <c r="P234" i="10" s="1"/>
  <c r="N234" i="10"/>
  <c r="H235" i="10"/>
  <c r="Q235" i="10" s="1"/>
  <c r="F303" i="10"/>
  <c r="K302" i="10"/>
  <c r="M302" i="10" s="1"/>
  <c r="R303" i="10"/>
  <c r="S302" i="10"/>
  <c r="G302" i="10" s="1"/>
  <c r="J302" i="10" s="1"/>
  <c r="F303" i="5"/>
  <c r="S302" i="5"/>
  <c r="G302" i="5" s="1"/>
  <c r="J302" i="5" s="1"/>
  <c r="K302" i="5"/>
  <c r="M302" i="5" s="1"/>
  <c r="R303" i="5"/>
  <c r="F303" i="9"/>
  <c r="L301" i="10"/>
  <c r="K302" i="9"/>
  <c r="M302" i="9" s="1"/>
  <c r="R303" i="9"/>
  <c r="S302" i="9"/>
  <c r="G302" i="9" s="1"/>
  <c r="J302" i="9" s="1"/>
  <c r="C309" i="5" l="1"/>
  <c r="T308" i="5"/>
  <c r="O243" i="9"/>
  <c r="P243" i="9" s="1"/>
  <c r="H244" i="9"/>
  <c r="N243" i="9"/>
  <c r="Q244" i="9"/>
  <c r="N260" i="5"/>
  <c r="H261" i="5"/>
  <c r="I261" i="5" s="1"/>
  <c r="O260" i="5"/>
  <c r="P260" i="5" s="1"/>
  <c r="C314" i="9"/>
  <c r="T313" i="9"/>
  <c r="I244" i="9"/>
  <c r="AC8" i="9" s="1"/>
  <c r="C309" i="10"/>
  <c r="T308" i="10"/>
  <c r="H236" i="10"/>
  <c r="Q236" i="10" s="1"/>
  <c r="O235" i="10"/>
  <c r="P235" i="10" s="1"/>
  <c r="N235" i="10"/>
  <c r="I235" i="10"/>
  <c r="L302" i="10"/>
  <c r="K303" i="9"/>
  <c r="M303" i="9" s="1"/>
  <c r="R304" i="9"/>
  <c r="S303" i="9"/>
  <c r="G303" i="9" s="1"/>
  <c r="J303" i="9" s="1"/>
  <c r="L302" i="5"/>
  <c r="K303" i="5"/>
  <c r="M303" i="5" s="1"/>
  <c r="R304" i="5"/>
  <c r="S303" i="5"/>
  <c r="G303" i="5" s="1"/>
  <c r="J303" i="5" s="1"/>
  <c r="F304" i="5"/>
  <c r="F304" i="10"/>
  <c r="F304" i="9"/>
  <c r="K303" i="10"/>
  <c r="M303" i="10" s="1"/>
  <c r="R304" i="10"/>
  <c r="S303" i="10"/>
  <c r="G303" i="10" s="1"/>
  <c r="J303" i="10" s="1"/>
  <c r="L302" i="9"/>
  <c r="T309" i="10" l="1"/>
  <c r="C310" i="10"/>
  <c r="H245" i="9"/>
  <c r="I245" i="9" s="1"/>
  <c r="O244" i="9"/>
  <c r="P244" i="9" s="1"/>
  <c r="AC12" i="9"/>
  <c r="N244" i="9"/>
  <c r="Q245" i="9"/>
  <c r="T314" i="9"/>
  <c r="C315" i="9"/>
  <c r="L303" i="9"/>
  <c r="Q261" i="5"/>
  <c r="C310" i="5"/>
  <c r="T309" i="5"/>
  <c r="H237" i="10"/>
  <c r="Q237" i="10" s="1"/>
  <c r="O236" i="10"/>
  <c r="P236" i="10" s="1"/>
  <c r="N236" i="10"/>
  <c r="I236" i="10"/>
  <c r="R305" i="5"/>
  <c r="K304" i="5"/>
  <c r="M304" i="5" s="1"/>
  <c r="S304" i="5"/>
  <c r="G304" i="5" s="1"/>
  <c r="F305" i="10"/>
  <c r="L303" i="10"/>
  <c r="K304" i="10"/>
  <c r="M304" i="10" s="1"/>
  <c r="R305" i="10"/>
  <c r="S304" i="10"/>
  <c r="G304" i="10" s="1"/>
  <c r="F305" i="5"/>
  <c r="K304" i="9"/>
  <c r="M304" i="9" s="1"/>
  <c r="S304" i="9"/>
  <c r="G304" i="9" s="1"/>
  <c r="R305" i="9"/>
  <c r="L303" i="5"/>
  <c r="L304" i="5" s="1"/>
  <c r="F305" i="9"/>
  <c r="C311" i="5" l="1"/>
  <c r="T310" i="5"/>
  <c r="H262" i="5"/>
  <c r="N261" i="5"/>
  <c r="O261" i="5"/>
  <c r="P261" i="5" s="1"/>
  <c r="O245" i="9"/>
  <c r="P245" i="9" s="1"/>
  <c r="H246" i="9"/>
  <c r="I246" i="9" s="1"/>
  <c r="N245" i="9"/>
  <c r="T315" i="9"/>
  <c r="C316" i="9"/>
  <c r="T310" i="10"/>
  <c r="C311" i="10"/>
  <c r="H238" i="10"/>
  <c r="Q238" i="10" s="1"/>
  <c r="O237" i="10"/>
  <c r="P237" i="10" s="1"/>
  <c r="N237" i="10"/>
  <c r="I237" i="10"/>
  <c r="L304" i="10"/>
  <c r="R306" i="10"/>
  <c r="S305" i="10"/>
  <c r="G305" i="10" s="1"/>
  <c r="J305" i="10" s="1"/>
  <c r="K305" i="10"/>
  <c r="M305" i="10" s="1"/>
  <c r="AE44" i="10"/>
  <c r="J304" i="10"/>
  <c r="AF44" i="10" s="1"/>
  <c r="R306" i="5"/>
  <c r="S305" i="5"/>
  <c r="G305" i="5" s="1"/>
  <c r="J305" i="5" s="1"/>
  <c r="K305" i="5"/>
  <c r="M305" i="5" s="1"/>
  <c r="F306" i="9"/>
  <c r="V29" i="9"/>
  <c r="AD44" i="9"/>
  <c r="V29" i="10"/>
  <c r="AD44" i="10"/>
  <c r="L304" i="9"/>
  <c r="J304" i="9"/>
  <c r="AF44" i="9" s="1"/>
  <c r="W32" i="8" s="1"/>
  <c r="AE44" i="9"/>
  <c r="R32" i="8" s="1"/>
  <c r="V29" i="5"/>
  <c r="AD44" i="5"/>
  <c r="M24" i="3" s="1"/>
  <c r="R306" i="9"/>
  <c r="K305" i="9"/>
  <c r="M305" i="9" s="1"/>
  <c r="S305" i="9"/>
  <c r="G305" i="9" s="1"/>
  <c r="J305" i="9" s="1"/>
  <c r="AE44" i="5"/>
  <c r="M9" i="3" s="1"/>
  <c r="J304" i="5"/>
  <c r="AF44" i="5" s="1"/>
  <c r="O9" i="3" s="1"/>
  <c r="F306" i="5"/>
  <c r="F306" i="10"/>
  <c r="Q246" i="9" l="1"/>
  <c r="T311" i="10"/>
  <c r="C312" i="10"/>
  <c r="T316" i="9"/>
  <c r="C317" i="9"/>
  <c r="Q262" i="5"/>
  <c r="I262" i="5"/>
  <c r="L305" i="10"/>
  <c r="N246" i="9"/>
  <c r="H247" i="9"/>
  <c r="I247" i="9" s="1"/>
  <c r="O246" i="9"/>
  <c r="P246" i="9" s="1"/>
  <c r="L305" i="5"/>
  <c r="T311" i="5"/>
  <c r="C312" i="5"/>
  <c r="I238" i="10"/>
  <c r="O238" i="10"/>
  <c r="P238" i="10" s="1"/>
  <c r="N238" i="10"/>
  <c r="H239" i="10"/>
  <c r="Q239" i="10" s="1"/>
  <c r="R307" i="5"/>
  <c r="S306" i="5"/>
  <c r="G306" i="5" s="1"/>
  <c r="J306" i="5" s="1"/>
  <c r="K306" i="5"/>
  <c r="M306" i="5" s="1"/>
  <c r="F307" i="5"/>
  <c r="F307" i="9"/>
  <c r="R307" i="10"/>
  <c r="K306" i="10"/>
  <c r="M306" i="10" s="1"/>
  <c r="S306" i="10"/>
  <c r="G306" i="10" s="1"/>
  <c r="J306" i="10" s="1"/>
  <c r="F307" i="10"/>
  <c r="R307" i="9"/>
  <c r="K306" i="9"/>
  <c r="M306" i="9" s="1"/>
  <c r="S306" i="9"/>
  <c r="G306" i="9" s="1"/>
  <c r="J306" i="9" s="1"/>
  <c r="L305" i="9"/>
  <c r="L306" i="9" s="1"/>
  <c r="L306" i="5"/>
  <c r="C318" i="9" l="1"/>
  <c r="T317" i="9"/>
  <c r="Q247" i="9"/>
  <c r="T312" i="5"/>
  <c r="C313" i="5"/>
  <c r="N262" i="5"/>
  <c r="H263" i="5"/>
  <c r="Q263" i="5" s="1"/>
  <c r="O262" i="5"/>
  <c r="P262" i="5" s="1"/>
  <c r="C313" i="10"/>
  <c r="T312" i="10"/>
  <c r="N239" i="10"/>
  <c r="O239" i="10"/>
  <c r="P239" i="10" s="1"/>
  <c r="H240" i="10"/>
  <c r="Q240" i="10" s="1"/>
  <c r="I239" i="10"/>
  <c r="L306" i="10"/>
  <c r="K307" i="10"/>
  <c r="M307" i="10" s="1"/>
  <c r="R308" i="10"/>
  <c r="S307" i="10"/>
  <c r="G307" i="10" s="1"/>
  <c r="J307" i="10" s="1"/>
  <c r="F308" i="10"/>
  <c r="K307" i="9"/>
  <c r="M307" i="9" s="1"/>
  <c r="R308" i="9"/>
  <c r="S307" i="9"/>
  <c r="G307" i="9" s="1"/>
  <c r="J307" i="9" s="1"/>
  <c r="F308" i="5"/>
  <c r="R308" i="5"/>
  <c r="S307" i="5"/>
  <c r="G307" i="5" s="1"/>
  <c r="J307" i="5" s="1"/>
  <c r="K307" i="5"/>
  <c r="M307" i="5" s="1"/>
  <c r="F308" i="9"/>
  <c r="O263" i="5" l="1"/>
  <c r="P263" i="5" s="1"/>
  <c r="H264" i="5"/>
  <c r="Q264" i="5"/>
  <c r="N263" i="5"/>
  <c r="C314" i="5"/>
  <c r="T313" i="5"/>
  <c r="T313" i="10"/>
  <c r="C314" i="10"/>
  <c r="O247" i="9"/>
  <c r="P247" i="9" s="1"/>
  <c r="N247" i="9"/>
  <c r="H248" i="9"/>
  <c r="I248" i="9" s="1"/>
  <c r="L307" i="9"/>
  <c r="I263" i="5"/>
  <c r="I264" i="5" s="1"/>
  <c r="C319" i="9"/>
  <c r="T318" i="9"/>
  <c r="I240" i="10"/>
  <c r="L307" i="10"/>
  <c r="O240" i="10"/>
  <c r="P240" i="10" s="1"/>
  <c r="H241" i="10"/>
  <c r="Q241" i="10" s="1"/>
  <c r="N240" i="10"/>
  <c r="F309" i="10"/>
  <c r="K308" i="9"/>
  <c r="M308" i="9" s="1"/>
  <c r="R309" i="9"/>
  <c r="S308" i="9"/>
  <c r="G308" i="9" s="1"/>
  <c r="J308" i="9" s="1"/>
  <c r="F309" i="9"/>
  <c r="K308" i="10"/>
  <c r="M308" i="10" s="1"/>
  <c r="R309" i="10"/>
  <c r="S308" i="10"/>
  <c r="G308" i="10" s="1"/>
  <c r="J308" i="10" s="1"/>
  <c r="L307" i="5"/>
  <c r="K308" i="5"/>
  <c r="M308" i="5" s="1"/>
  <c r="S308" i="5"/>
  <c r="G308" i="5" s="1"/>
  <c r="J308" i="5" s="1"/>
  <c r="R309" i="5"/>
  <c r="F309" i="5"/>
  <c r="L308" i="9" l="1"/>
  <c r="T314" i="5"/>
  <c r="C315" i="5"/>
  <c r="T314" i="10"/>
  <c r="C315" i="10"/>
  <c r="T319" i="9"/>
  <c r="C320" i="9"/>
  <c r="Q248" i="9"/>
  <c r="N264" i="5"/>
  <c r="H265" i="5"/>
  <c r="O264" i="5"/>
  <c r="P264" i="5" s="1"/>
  <c r="Q265" i="5"/>
  <c r="L308" i="5"/>
  <c r="L309" i="5" s="1"/>
  <c r="I265" i="5"/>
  <c r="H242" i="10"/>
  <c r="Q242" i="10" s="1"/>
  <c r="N241" i="10"/>
  <c r="O241" i="10"/>
  <c r="P241" i="10" s="1"/>
  <c r="I241" i="10"/>
  <c r="L308" i="10"/>
  <c r="K309" i="5"/>
  <c r="M309" i="5" s="1"/>
  <c r="S309" i="5"/>
  <c r="G309" i="5" s="1"/>
  <c r="J309" i="5" s="1"/>
  <c r="R310" i="5"/>
  <c r="F310" i="10"/>
  <c r="F310" i="5"/>
  <c r="F310" i="9"/>
  <c r="R310" i="10"/>
  <c r="K309" i="10"/>
  <c r="M309" i="10" s="1"/>
  <c r="S309" i="10"/>
  <c r="G309" i="10" s="1"/>
  <c r="J309" i="10" s="1"/>
  <c r="R310" i="9"/>
  <c r="K309" i="9"/>
  <c r="M309" i="9" s="1"/>
  <c r="S309" i="9"/>
  <c r="G309" i="9" s="1"/>
  <c r="J309" i="9" s="1"/>
  <c r="T315" i="10" l="1"/>
  <c r="C316" i="10"/>
  <c r="C321" i="9"/>
  <c r="T320" i="9"/>
  <c r="O265" i="5"/>
  <c r="P265" i="5" s="1"/>
  <c r="H266" i="5"/>
  <c r="Q266" i="5" s="1"/>
  <c r="N265" i="5"/>
  <c r="T315" i="5"/>
  <c r="C316" i="5"/>
  <c r="N248" i="9"/>
  <c r="H249" i="9"/>
  <c r="I249" i="9" s="1"/>
  <c r="O248" i="9"/>
  <c r="P248" i="9" s="1"/>
  <c r="Q249" i="9"/>
  <c r="N242" i="10"/>
  <c r="H243" i="10"/>
  <c r="Q243" i="10" s="1"/>
  <c r="O242" i="10"/>
  <c r="P242" i="10" s="1"/>
  <c r="I242" i="10"/>
  <c r="F311" i="9"/>
  <c r="L309" i="9"/>
  <c r="R311" i="5"/>
  <c r="S310" i="5"/>
  <c r="G310" i="5" s="1"/>
  <c r="J310" i="5" s="1"/>
  <c r="K310" i="5"/>
  <c r="M310" i="5" s="1"/>
  <c r="R311" i="9"/>
  <c r="K310" i="9"/>
  <c r="M310" i="9" s="1"/>
  <c r="S310" i="9"/>
  <c r="G310" i="9" s="1"/>
  <c r="J310" i="9" s="1"/>
  <c r="F311" i="5"/>
  <c r="R311" i="10"/>
  <c r="K310" i="10"/>
  <c r="M310" i="10" s="1"/>
  <c r="S310" i="10"/>
  <c r="G310" i="10" s="1"/>
  <c r="J310" i="10" s="1"/>
  <c r="F311" i="10"/>
  <c r="L309" i="10"/>
  <c r="H267" i="5" l="1"/>
  <c r="Q267" i="5" s="1"/>
  <c r="N266" i="5"/>
  <c r="O266" i="5"/>
  <c r="P266" i="5" s="1"/>
  <c r="C322" i="9"/>
  <c r="T321" i="9"/>
  <c r="I266" i="5"/>
  <c r="I267" i="5" s="1"/>
  <c r="O249" i="9"/>
  <c r="P249" i="9" s="1"/>
  <c r="N249" i="9"/>
  <c r="H250" i="9"/>
  <c r="I250" i="9" s="1"/>
  <c r="Q250" i="9"/>
  <c r="T316" i="5"/>
  <c r="C317" i="5"/>
  <c r="C317" i="10"/>
  <c r="T316" i="10"/>
  <c r="L310" i="10"/>
  <c r="I243" i="10"/>
  <c r="O243" i="10"/>
  <c r="P243" i="10" s="1"/>
  <c r="H244" i="10"/>
  <c r="Q244" i="10" s="1"/>
  <c r="N243" i="10"/>
  <c r="F312" i="5"/>
  <c r="K311" i="9"/>
  <c r="M311" i="9" s="1"/>
  <c r="R312" i="9"/>
  <c r="S311" i="9"/>
  <c r="G311" i="9" s="1"/>
  <c r="J311" i="9" s="1"/>
  <c r="F312" i="9"/>
  <c r="L310" i="9"/>
  <c r="K311" i="10"/>
  <c r="M311" i="10" s="1"/>
  <c r="R312" i="10"/>
  <c r="S311" i="10"/>
  <c r="G311" i="10" s="1"/>
  <c r="J311" i="10" s="1"/>
  <c r="R312" i="5"/>
  <c r="S311" i="5"/>
  <c r="G311" i="5" s="1"/>
  <c r="J311" i="5" s="1"/>
  <c r="K311" i="5"/>
  <c r="M311" i="5" s="1"/>
  <c r="L310" i="5"/>
  <c r="F312" i="10"/>
  <c r="L311" i="5" l="1"/>
  <c r="C318" i="5"/>
  <c r="T317" i="5"/>
  <c r="C323" i="9"/>
  <c r="T322" i="9"/>
  <c r="L311" i="9"/>
  <c r="O250" i="9"/>
  <c r="P250" i="9" s="1"/>
  <c r="N250" i="9"/>
  <c r="H251" i="9"/>
  <c r="I251" i="9" s="1"/>
  <c r="T317" i="10"/>
  <c r="C318" i="10"/>
  <c r="H268" i="5"/>
  <c r="I268" i="5" s="1"/>
  <c r="Q268" i="5"/>
  <c r="N267" i="5"/>
  <c r="O267" i="5"/>
  <c r="P267" i="5" s="1"/>
  <c r="I244" i="10"/>
  <c r="AC8" i="10" s="1"/>
  <c r="H245" i="10"/>
  <c r="Q245" i="10" s="1"/>
  <c r="AC12" i="10"/>
  <c r="N244" i="10"/>
  <c r="O244" i="10"/>
  <c r="P244" i="10" s="1"/>
  <c r="L311" i="10"/>
  <c r="F313" i="10"/>
  <c r="K312" i="5"/>
  <c r="M312" i="5" s="1"/>
  <c r="S312" i="5"/>
  <c r="G312" i="5" s="1"/>
  <c r="J312" i="5" s="1"/>
  <c r="R313" i="5"/>
  <c r="F313" i="5"/>
  <c r="F313" i="9"/>
  <c r="K312" i="9"/>
  <c r="M312" i="9" s="1"/>
  <c r="R313" i="9"/>
  <c r="S312" i="9"/>
  <c r="G312" i="9" s="1"/>
  <c r="J312" i="9" s="1"/>
  <c r="K312" i="10"/>
  <c r="M312" i="10" s="1"/>
  <c r="R313" i="10"/>
  <c r="S312" i="10"/>
  <c r="G312" i="10" s="1"/>
  <c r="J312" i="10" s="1"/>
  <c r="N268" i="5" l="1"/>
  <c r="H269" i="5"/>
  <c r="I269" i="5" s="1"/>
  <c r="O268" i="5"/>
  <c r="P268" i="5" s="1"/>
  <c r="T318" i="10"/>
  <c r="C319" i="10"/>
  <c r="T323" i="9"/>
  <c r="C324" i="9"/>
  <c r="L312" i="5"/>
  <c r="L312" i="9"/>
  <c r="Q251" i="9"/>
  <c r="T318" i="5"/>
  <c r="C319" i="5"/>
  <c r="I245" i="10"/>
  <c r="O245" i="10"/>
  <c r="P245" i="10" s="1"/>
  <c r="H246" i="10"/>
  <c r="Q246" i="10" s="1"/>
  <c r="N245" i="10"/>
  <c r="L312" i="10"/>
  <c r="K313" i="5"/>
  <c r="M313" i="5" s="1"/>
  <c r="R314" i="5"/>
  <c r="S313" i="5"/>
  <c r="G313" i="5" s="1"/>
  <c r="J313" i="5" s="1"/>
  <c r="F314" i="10"/>
  <c r="R314" i="9"/>
  <c r="K313" i="9"/>
  <c r="M313" i="9" s="1"/>
  <c r="S313" i="9"/>
  <c r="G313" i="9" s="1"/>
  <c r="J313" i="9" s="1"/>
  <c r="R314" i="10"/>
  <c r="K313" i="10"/>
  <c r="M313" i="10" s="1"/>
  <c r="S313" i="10"/>
  <c r="G313" i="10" s="1"/>
  <c r="J313" i="10" s="1"/>
  <c r="F314" i="9"/>
  <c r="F314" i="5"/>
  <c r="C320" i="10" l="1"/>
  <c r="T319" i="10"/>
  <c r="T319" i="5"/>
  <c r="C320" i="5"/>
  <c r="O251" i="9"/>
  <c r="P251" i="9" s="1"/>
  <c r="H252" i="9"/>
  <c r="I252" i="9" s="1"/>
  <c r="N251" i="9"/>
  <c r="Q269" i="5"/>
  <c r="C325" i="9"/>
  <c r="T324" i="9"/>
  <c r="I246" i="10"/>
  <c r="N246" i="10"/>
  <c r="H247" i="10"/>
  <c r="Q247" i="10" s="1"/>
  <c r="O246" i="10"/>
  <c r="P246" i="10" s="1"/>
  <c r="R315" i="9"/>
  <c r="K314" i="9"/>
  <c r="M314" i="9" s="1"/>
  <c r="S314" i="9"/>
  <c r="G314" i="9" s="1"/>
  <c r="J314" i="9" s="1"/>
  <c r="F315" i="5"/>
  <c r="K314" i="5"/>
  <c r="M314" i="5" s="1"/>
  <c r="S314" i="5"/>
  <c r="G314" i="5" s="1"/>
  <c r="J314" i="5" s="1"/>
  <c r="R315" i="5"/>
  <c r="L313" i="5"/>
  <c r="F315" i="9"/>
  <c r="R315" i="10"/>
  <c r="K314" i="10"/>
  <c r="M314" i="10" s="1"/>
  <c r="S314" i="10"/>
  <c r="G314" i="10" s="1"/>
  <c r="J314" i="10" s="1"/>
  <c r="F315" i="10"/>
  <c r="L313" i="10"/>
  <c r="L313" i="9"/>
  <c r="L314" i="9" s="1"/>
  <c r="Q252" i="9" l="1"/>
  <c r="L314" i="5"/>
  <c r="T320" i="5"/>
  <c r="C321" i="5"/>
  <c r="N252" i="9"/>
  <c r="O252" i="9"/>
  <c r="P252" i="9" s="1"/>
  <c r="H253" i="9"/>
  <c r="I253" i="9" s="1"/>
  <c r="C326" i="9"/>
  <c r="T325" i="9"/>
  <c r="N269" i="5"/>
  <c r="H270" i="5"/>
  <c r="I270" i="5" s="1"/>
  <c r="O269" i="5"/>
  <c r="P269" i="5" s="1"/>
  <c r="C321" i="10"/>
  <c r="T320" i="10"/>
  <c r="I247" i="10"/>
  <c r="I248" i="10" s="1"/>
  <c r="O247" i="10"/>
  <c r="P247" i="10" s="1"/>
  <c r="N247" i="10"/>
  <c r="H248" i="10"/>
  <c r="Q248" i="10" s="1"/>
  <c r="L314" i="10"/>
  <c r="F316" i="5"/>
  <c r="K315" i="9"/>
  <c r="M315" i="9" s="1"/>
  <c r="R316" i="9"/>
  <c r="S315" i="9"/>
  <c r="G315" i="9" s="1"/>
  <c r="J315" i="9" s="1"/>
  <c r="K315" i="10"/>
  <c r="M315" i="10" s="1"/>
  <c r="R316" i="10"/>
  <c r="S315" i="10"/>
  <c r="G315" i="10" s="1"/>
  <c r="J315" i="10" s="1"/>
  <c r="F316" i="10"/>
  <c r="F316" i="9"/>
  <c r="R316" i="5"/>
  <c r="S315" i="5"/>
  <c r="G315" i="5" s="1"/>
  <c r="J315" i="5" s="1"/>
  <c r="K315" i="5"/>
  <c r="M315" i="5" s="1"/>
  <c r="Q253" i="9" l="1"/>
  <c r="C322" i="10"/>
  <c r="T321" i="10"/>
  <c r="L315" i="5"/>
  <c r="Q270" i="5"/>
  <c r="C327" i="9"/>
  <c r="T326" i="9"/>
  <c r="C322" i="5"/>
  <c r="T321" i="5"/>
  <c r="L315" i="9"/>
  <c r="L315" i="10"/>
  <c r="H249" i="10"/>
  <c r="Q249" i="10" s="1"/>
  <c r="N248" i="10"/>
  <c r="O248" i="10"/>
  <c r="P248" i="10" s="1"/>
  <c r="F317" i="5"/>
  <c r="F317" i="9"/>
  <c r="F317" i="10"/>
  <c r="K316" i="10"/>
  <c r="M316" i="10" s="1"/>
  <c r="R317" i="10"/>
  <c r="S316" i="10"/>
  <c r="V30" i="10" s="1"/>
  <c r="K316" i="5"/>
  <c r="M316" i="5" s="1"/>
  <c r="S316" i="5"/>
  <c r="V30" i="5" s="1"/>
  <c r="R317" i="5"/>
  <c r="R317" i="9"/>
  <c r="K316" i="9"/>
  <c r="M316" i="9" s="1"/>
  <c r="S316" i="9"/>
  <c r="V30" i="9" s="1"/>
  <c r="T327" i="9" l="1"/>
  <c r="C328" i="9"/>
  <c r="O270" i="5"/>
  <c r="P270" i="5" s="1"/>
  <c r="N270" i="5"/>
  <c r="H271" i="5"/>
  <c r="I271" i="5" s="1"/>
  <c r="Q271" i="5"/>
  <c r="L316" i="10"/>
  <c r="T322" i="10"/>
  <c r="C323" i="10"/>
  <c r="T322" i="5"/>
  <c r="C323" i="5"/>
  <c r="O253" i="9"/>
  <c r="P253" i="9" s="1"/>
  <c r="N253" i="9"/>
  <c r="H254" i="9"/>
  <c r="I254" i="9" s="1"/>
  <c r="Q254" i="9"/>
  <c r="I249" i="10"/>
  <c r="O249" i="10"/>
  <c r="P249" i="10" s="1"/>
  <c r="N249" i="10"/>
  <c r="H250" i="10"/>
  <c r="Q250" i="10" s="1"/>
  <c r="F318" i="5"/>
  <c r="G316" i="10"/>
  <c r="J316" i="10" s="1"/>
  <c r="G316" i="5"/>
  <c r="J316" i="5" s="1"/>
  <c r="R318" i="10"/>
  <c r="K317" i="10"/>
  <c r="M317" i="10" s="1"/>
  <c r="S317" i="10"/>
  <c r="G317" i="10" s="1"/>
  <c r="J317" i="10" s="1"/>
  <c r="F318" i="10"/>
  <c r="K317" i="5"/>
  <c r="M317" i="5" s="1"/>
  <c r="S317" i="5"/>
  <c r="G317" i="5" s="1"/>
  <c r="J317" i="5" s="1"/>
  <c r="R318" i="5"/>
  <c r="F318" i="9"/>
  <c r="L316" i="5"/>
  <c r="R318" i="9"/>
  <c r="K317" i="9"/>
  <c r="M317" i="9" s="1"/>
  <c r="S317" i="9"/>
  <c r="G317" i="9" s="1"/>
  <c r="J317" i="9" s="1"/>
  <c r="L316" i="9"/>
  <c r="G316" i="9"/>
  <c r="J316" i="9" s="1"/>
  <c r="L317" i="9" l="1"/>
  <c r="L317" i="5"/>
  <c r="H255" i="9"/>
  <c r="I255" i="9" s="1"/>
  <c r="N254" i="9"/>
  <c r="Q255" i="9"/>
  <c r="O254" i="9"/>
  <c r="P254" i="9" s="1"/>
  <c r="C329" i="9"/>
  <c r="T328" i="9"/>
  <c r="O271" i="5"/>
  <c r="P271" i="5" s="1"/>
  <c r="N271" i="5"/>
  <c r="H272" i="5"/>
  <c r="I272" i="5" s="1"/>
  <c r="T323" i="5"/>
  <c r="C324" i="5"/>
  <c r="C324" i="10"/>
  <c r="T323" i="10"/>
  <c r="I250" i="10"/>
  <c r="N250" i="10"/>
  <c r="O250" i="10"/>
  <c r="P250" i="10" s="1"/>
  <c r="H251" i="10"/>
  <c r="Q251" i="10" s="1"/>
  <c r="L317" i="10"/>
  <c r="S318" i="5"/>
  <c r="G318" i="5" s="1"/>
  <c r="J318" i="5" s="1"/>
  <c r="K318" i="5"/>
  <c r="M318" i="5" s="1"/>
  <c r="R319" i="5"/>
  <c r="F319" i="10"/>
  <c r="F319" i="5"/>
  <c r="K318" i="9"/>
  <c r="M318" i="9" s="1"/>
  <c r="R319" i="9"/>
  <c r="S318" i="9"/>
  <c r="G318" i="9" s="1"/>
  <c r="J318" i="9" s="1"/>
  <c r="F319" i="9"/>
  <c r="R319" i="10"/>
  <c r="K318" i="10"/>
  <c r="M318" i="10" s="1"/>
  <c r="S318" i="10"/>
  <c r="G318" i="10" s="1"/>
  <c r="J318" i="10" s="1"/>
  <c r="Q272" i="5" l="1"/>
  <c r="I251" i="10"/>
  <c r="C330" i="9"/>
  <c r="T329" i="9"/>
  <c r="C325" i="10"/>
  <c r="T324" i="10"/>
  <c r="H256" i="9"/>
  <c r="I256" i="9" s="1"/>
  <c r="N255" i="9"/>
  <c r="O255" i="9"/>
  <c r="P255" i="9" s="1"/>
  <c r="T324" i="5"/>
  <c r="C325" i="5"/>
  <c r="O272" i="5"/>
  <c r="P272" i="5" s="1"/>
  <c r="N272" i="5"/>
  <c r="H273" i="5"/>
  <c r="I273" i="5" s="1"/>
  <c r="Q273" i="5"/>
  <c r="N251" i="10"/>
  <c r="O251" i="10"/>
  <c r="P251" i="10" s="1"/>
  <c r="H252" i="10"/>
  <c r="Q252" i="10" s="1"/>
  <c r="F320" i="5"/>
  <c r="F320" i="9"/>
  <c r="K319" i="10"/>
  <c r="M319" i="10" s="1"/>
  <c r="R320" i="10"/>
  <c r="S319" i="10"/>
  <c r="G319" i="10" s="1"/>
  <c r="J319" i="10" s="1"/>
  <c r="K319" i="9"/>
  <c r="M319" i="9" s="1"/>
  <c r="R320" i="9"/>
  <c r="S319" i="9"/>
  <c r="G319" i="9" s="1"/>
  <c r="J319" i="9" s="1"/>
  <c r="K319" i="5"/>
  <c r="M319" i="5" s="1"/>
  <c r="R320" i="5"/>
  <c r="S319" i="5"/>
  <c r="G319" i="5" s="1"/>
  <c r="J319" i="5" s="1"/>
  <c r="L318" i="5"/>
  <c r="F320" i="10"/>
  <c r="L318" i="9"/>
  <c r="L319" i="9" s="1"/>
  <c r="L318" i="10"/>
  <c r="Q256" i="9" l="1"/>
  <c r="L319" i="10"/>
  <c r="H257" i="9"/>
  <c r="I257" i="9" s="1"/>
  <c r="O256" i="9"/>
  <c r="P256" i="9" s="1"/>
  <c r="Q257" i="9"/>
  <c r="N256" i="9"/>
  <c r="C326" i="10"/>
  <c r="T325" i="10"/>
  <c r="C326" i="5"/>
  <c r="T325" i="5"/>
  <c r="N273" i="5"/>
  <c r="O273" i="5"/>
  <c r="P273" i="5" s="1"/>
  <c r="H274" i="5"/>
  <c r="I274" i="5" s="1"/>
  <c r="C331" i="9"/>
  <c r="T330" i="9"/>
  <c r="I252" i="10"/>
  <c r="N252" i="10"/>
  <c r="H253" i="10"/>
  <c r="O252" i="10"/>
  <c r="P252" i="10" s="1"/>
  <c r="R321" i="5"/>
  <c r="K320" i="5"/>
  <c r="M320" i="5" s="1"/>
  <c r="S320" i="5"/>
  <c r="G320" i="5" s="1"/>
  <c r="J320" i="5" s="1"/>
  <c r="F321" i="5"/>
  <c r="F321" i="10"/>
  <c r="R321" i="9"/>
  <c r="S320" i="9"/>
  <c r="G320" i="9" s="1"/>
  <c r="J320" i="9" s="1"/>
  <c r="K320" i="9"/>
  <c r="M320" i="9" s="1"/>
  <c r="F321" i="9"/>
  <c r="L320" i="9"/>
  <c r="K320" i="10"/>
  <c r="M320" i="10" s="1"/>
  <c r="R321" i="10"/>
  <c r="S320" i="10"/>
  <c r="G320" i="10" s="1"/>
  <c r="J320" i="10" s="1"/>
  <c r="L319" i="5"/>
  <c r="T331" i="9" l="1"/>
  <c r="C332" i="9"/>
  <c r="O257" i="9"/>
  <c r="P257" i="9" s="1"/>
  <c r="N257" i="9"/>
  <c r="H258" i="9"/>
  <c r="I258" i="9" s="1"/>
  <c r="Q258" i="9"/>
  <c r="T326" i="10"/>
  <c r="C327" i="10"/>
  <c r="T326" i="5"/>
  <c r="C327" i="5"/>
  <c r="Q274" i="5"/>
  <c r="I253" i="10"/>
  <c r="Q253" i="10"/>
  <c r="L320" i="10"/>
  <c r="F322" i="9"/>
  <c r="F322" i="10"/>
  <c r="F322" i="5"/>
  <c r="S321" i="5"/>
  <c r="G321" i="5" s="1"/>
  <c r="J321" i="5" s="1"/>
  <c r="R322" i="5"/>
  <c r="K321" i="5"/>
  <c r="M321" i="5" s="1"/>
  <c r="L320" i="5"/>
  <c r="R322" i="9"/>
  <c r="K321" i="9"/>
  <c r="M321" i="9" s="1"/>
  <c r="S321" i="9"/>
  <c r="G321" i="9" s="1"/>
  <c r="J321" i="9" s="1"/>
  <c r="R322" i="10"/>
  <c r="K321" i="10"/>
  <c r="M321" i="10" s="1"/>
  <c r="S321" i="10"/>
  <c r="G321" i="10" s="1"/>
  <c r="J321" i="10" s="1"/>
  <c r="O258" i="9" l="1"/>
  <c r="P258" i="9" s="1"/>
  <c r="N258" i="9"/>
  <c r="H259" i="9"/>
  <c r="I259" i="9" s="1"/>
  <c r="N274" i="5"/>
  <c r="O274" i="5"/>
  <c r="P274" i="5" s="1"/>
  <c r="H275" i="5"/>
  <c r="I275" i="5" s="1"/>
  <c r="L321" i="9"/>
  <c r="T327" i="5"/>
  <c r="C328" i="5"/>
  <c r="C333" i="9"/>
  <c r="T332" i="9"/>
  <c r="C328" i="10"/>
  <c r="T327" i="10"/>
  <c r="L321" i="5"/>
  <c r="N253" i="10"/>
  <c r="H254" i="10"/>
  <c r="I254" i="10" s="1"/>
  <c r="O253" i="10"/>
  <c r="P253" i="10" s="1"/>
  <c r="L321" i="10"/>
  <c r="K322" i="10"/>
  <c r="M322" i="10" s="1"/>
  <c r="R323" i="10"/>
  <c r="S322" i="10"/>
  <c r="G322" i="10" s="1"/>
  <c r="J322" i="10" s="1"/>
  <c r="S322" i="5"/>
  <c r="G322" i="5" s="1"/>
  <c r="J322" i="5" s="1"/>
  <c r="K322" i="5"/>
  <c r="M322" i="5" s="1"/>
  <c r="R323" i="5"/>
  <c r="F323" i="9"/>
  <c r="F323" i="5"/>
  <c r="R323" i="9"/>
  <c r="K322" i="9"/>
  <c r="M322" i="9" s="1"/>
  <c r="S322" i="9"/>
  <c r="G322" i="9" s="1"/>
  <c r="J322" i="9" s="1"/>
  <c r="F323" i="10"/>
  <c r="Q275" i="5" l="1"/>
  <c r="C334" i="9"/>
  <c r="T333" i="9"/>
  <c r="T328" i="5"/>
  <c r="C329" i="5"/>
  <c r="N275" i="5"/>
  <c r="O275" i="5"/>
  <c r="P275" i="5" s="1"/>
  <c r="H276" i="5"/>
  <c r="I276" i="5" s="1"/>
  <c r="C329" i="10"/>
  <c r="T328" i="10"/>
  <c r="Q259" i="9"/>
  <c r="Q254" i="10"/>
  <c r="L322" i="10"/>
  <c r="K323" i="5"/>
  <c r="M323" i="5" s="1"/>
  <c r="R324" i="5"/>
  <c r="S323" i="5"/>
  <c r="G323" i="5" s="1"/>
  <c r="J323" i="5" s="1"/>
  <c r="R324" i="10"/>
  <c r="K323" i="10"/>
  <c r="M323" i="10" s="1"/>
  <c r="S323" i="10"/>
  <c r="G323" i="10" s="1"/>
  <c r="J323" i="10" s="1"/>
  <c r="L322" i="9"/>
  <c r="F324" i="10"/>
  <c r="F324" i="5"/>
  <c r="F324" i="9"/>
  <c r="L322" i="5"/>
  <c r="R324" i="9"/>
  <c r="K323" i="9"/>
  <c r="M323" i="9" s="1"/>
  <c r="S323" i="9"/>
  <c r="G323" i="9" s="1"/>
  <c r="J323" i="9" s="1"/>
  <c r="C330" i="5" l="1"/>
  <c r="T329" i="5"/>
  <c r="Q276" i="5"/>
  <c r="N259" i="9"/>
  <c r="H260" i="9"/>
  <c r="I260" i="9" s="1"/>
  <c r="O259" i="9"/>
  <c r="P259" i="9" s="1"/>
  <c r="C330" i="10"/>
  <c r="T329" i="10"/>
  <c r="C335" i="9"/>
  <c r="T334" i="9"/>
  <c r="H255" i="10"/>
  <c r="I255" i="10" s="1"/>
  <c r="O254" i="10"/>
  <c r="P254" i="10" s="1"/>
  <c r="N254" i="10"/>
  <c r="F325" i="5"/>
  <c r="R325" i="5"/>
  <c r="K324" i="5"/>
  <c r="M324" i="5" s="1"/>
  <c r="S324" i="5"/>
  <c r="G324" i="5" s="1"/>
  <c r="J324" i="5" s="1"/>
  <c r="L323" i="10"/>
  <c r="F325" i="9"/>
  <c r="F325" i="10"/>
  <c r="L323" i="5"/>
  <c r="L323" i="9"/>
  <c r="R325" i="9"/>
  <c r="K324" i="9"/>
  <c r="M324" i="9" s="1"/>
  <c r="S324" i="9"/>
  <c r="G324" i="9" s="1"/>
  <c r="J324" i="9" s="1"/>
  <c r="K324" i="10"/>
  <c r="M324" i="10" s="1"/>
  <c r="R325" i="10"/>
  <c r="S324" i="10"/>
  <c r="G324" i="10" s="1"/>
  <c r="J324" i="10" s="1"/>
  <c r="Q260" i="9" l="1"/>
  <c r="N276" i="5"/>
  <c r="O276" i="5"/>
  <c r="P276" i="5" s="1"/>
  <c r="H277" i="5"/>
  <c r="I277" i="5" s="1"/>
  <c r="Q277" i="5"/>
  <c r="L324" i="5"/>
  <c r="T330" i="5"/>
  <c r="C331" i="5"/>
  <c r="T335" i="9"/>
  <c r="C336" i="9"/>
  <c r="T330" i="10"/>
  <c r="C331" i="10"/>
  <c r="Q255" i="10"/>
  <c r="F326" i="10"/>
  <c r="F326" i="5"/>
  <c r="L324" i="9"/>
  <c r="L325" i="9" s="1"/>
  <c r="L324" i="10"/>
  <c r="R326" i="10"/>
  <c r="K325" i="10"/>
  <c r="M325" i="10" s="1"/>
  <c r="S325" i="10"/>
  <c r="G325" i="10" s="1"/>
  <c r="J325" i="10" s="1"/>
  <c r="R326" i="9"/>
  <c r="K325" i="9"/>
  <c r="M325" i="9" s="1"/>
  <c r="S325" i="9"/>
  <c r="G325" i="9" s="1"/>
  <c r="J325" i="9" s="1"/>
  <c r="S325" i="5"/>
  <c r="G325" i="5" s="1"/>
  <c r="J325" i="5" s="1"/>
  <c r="R326" i="5"/>
  <c r="K325" i="5"/>
  <c r="M325" i="5" s="1"/>
  <c r="L325" i="5"/>
  <c r="F326" i="9"/>
  <c r="O277" i="5" l="1"/>
  <c r="P277" i="5" s="1"/>
  <c r="N277" i="5"/>
  <c r="H278" i="5"/>
  <c r="I278" i="5" s="1"/>
  <c r="C332" i="10"/>
  <c r="T331" i="10"/>
  <c r="O260" i="9"/>
  <c r="P260" i="9" s="1"/>
  <c r="N260" i="9"/>
  <c r="H261" i="9"/>
  <c r="I261" i="9" s="1"/>
  <c r="C337" i="9"/>
  <c r="T336" i="9"/>
  <c r="T331" i="5"/>
  <c r="C332" i="5"/>
  <c r="O255" i="10"/>
  <c r="P255" i="10" s="1"/>
  <c r="N255" i="10"/>
  <c r="H256" i="10"/>
  <c r="I256" i="10" s="1"/>
  <c r="F327" i="10"/>
  <c r="S326" i="5"/>
  <c r="G326" i="5" s="1"/>
  <c r="J326" i="5" s="1"/>
  <c r="K326" i="5"/>
  <c r="M326" i="5" s="1"/>
  <c r="R327" i="5"/>
  <c r="K326" i="9"/>
  <c r="M326" i="9" s="1"/>
  <c r="R327" i="9"/>
  <c r="S326" i="9"/>
  <c r="G326" i="9" s="1"/>
  <c r="J326" i="9" s="1"/>
  <c r="L325" i="10"/>
  <c r="F327" i="9"/>
  <c r="K326" i="10"/>
  <c r="M326" i="10" s="1"/>
  <c r="R327" i="10"/>
  <c r="S326" i="10"/>
  <c r="G326" i="10" s="1"/>
  <c r="J326" i="10" s="1"/>
  <c r="L326" i="9"/>
  <c r="F327" i="5"/>
  <c r="T332" i="5" l="1"/>
  <c r="C333" i="5"/>
  <c r="Q278" i="5"/>
  <c r="C338" i="9"/>
  <c r="T337" i="9"/>
  <c r="L326" i="5"/>
  <c r="C333" i="10"/>
  <c r="T332" i="10"/>
  <c r="Q261" i="9"/>
  <c r="Q256" i="10"/>
  <c r="N256" i="10" s="1"/>
  <c r="K327" i="5"/>
  <c r="M327" i="5" s="1"/>
  <c r="R328" i="5"/>
  <c r="S327" i="5"/>
  <c r="G327" i="5" s="1"/>
  <c r="J327" i="5" s="1"/>
  <c r="F328" i="10"/>
  <c r="F328" i="5"/>
  <c r="K327" i="10"/>
  <c r="M327" i="10" s="1"/>
  <c r="R328" i="10"/>
  <c r="S327" i="10"/>
  <c r="G327" i="10" s="1"/>
  <c r="J327" i="10" s="1"/>
  <c r="L326" i="10"/>
  <c r="F328" i="9"/>
  <c r="G327" i="9"/>
  <c r="J327" i="9" s="1"/>
  <c r="K327" i="9"/>
  <c r="M327" i="9" s="1"/>
  <c r="R328" i="9"/>
  <c r="S327" i="9"/>
  <c r="C339" i="9" l="1"/>
  <c r="T338" i="9"/>
  <c r="O278" i="5"/>
  <c r="P278" i="5" s="1"/>
  <c r="N278" i="5"/>
  <c r="H279" i="5"/>
  <c r="I279" i="5" s="1"/>
  <c r="Q279" i="5"/>
  <c r="C334" i="10"/>
  <c r="T333" i="10"/>
  <c r="C334" i="5"/>
  <c r="T333" i="5"/>
  <c r="L327" i="9"/>
  <c r="L327" i="10"/>
  <c r="O261" i="9"/>
  <c r="P261" i="9" s="1"/>
  <c r="H262" i="9"/>
  <c r="I262" i="9" s="1"/>
  <c r="N261" i="9"/>
  <c r="Q262" i="9"/>
  <c r="H257" i="10"/>
  <c r="I257" i="10" s="1"/>
  <c r="O256" i="10"/>
  <c r="P256" i="10" s="1"/>
  <c r="F329" i="9"/>
  <c r="F329" i="5"/>
  <c r="R329" i="5"/>
  <c r="K328" i="5"/>
  <c r="M328" i="5" s="1"/>
  <c r="S328" i="5"/>
  <c r="V31" i="5" s="1"/>
  <c r="L328" i="9"/>
  <c r="K328" i="9"/>
  <c r="M328" i="9" s="1"/>
  <c r="R329" i="9"/>
  <c r="S328" i="9"/>
  <c r="V31" i="9" s="1"/>
  <c r="K328" i="10"/>
  <c r="M328" i="10" s="1"/>
  <c r="R329" i="10"/>
  <c r="S328" i="10"/>
  <c r="V31" i="10" s="1"/>
  <c r="F329" i="10"/>
  <c r="L327" i="5"/>
  <c r="T334" i="10" l="1"/>
  <c r="C335" i="10"/>
  <c r="O262" i="9"/>
  <c r="P262" i="9" s="1"/>
  <c r="H263" i="9"/>
  <c r="I263" i="9" s="1"/>
  <c r="N262" i="9"/>
  <c r="Q263" i="9"/>
  <c r="H280" i="5"/>
  <c r="I280" i="5" s="1"/>
  <c r="N279" i="5"/>
  <c r="O279" i="5"/>
  <c r="P279" i="5" s="1"/>
  <c r="L328" i="5"/>
  <c r="T334" i="5"/>
  <c r="C335" i="5"/>
  <c r="T339" i="9"/>
  <c r="C340" i="9"/>
  <c r="Q257" i="10"/>
  <c r="N257" i="10" s="1"/>
  <c r="R330" i="9"/>
  <c r="K329" i="9"/>
  <c r="M329" i="9" s="1"/>
  <c r="S329" i="9"/>
  <c r="R330" i="5"/>
  <c r="K329" i="5"/>
  <c r="M329" i="5" s="1"/>
  <c r="S329" i="5"/>
  <c r="G329" i="5" s="1"/>
  <c r="J329" i="5" s="1"/>
  <c r="F330" i="9"/>
  <c r="G329" i="9"/>
  <c r="J329" i="9" s="1"/>
  <c r="L328" i="10"/>
  <c r="F330" i="5"/>
  <c r="F330" i="10"/>
  <c r="G328" i="10"/>
  <c r="J328" i="10" s="1"/>
  <c r="G328" i="9"/>
  <c r="J328" i="9" s="1"/>
  <c r="R330" i="10"/>
  <c r="K329" i="10"/>
  <c r="M329" i="10" s="1"/>
  <c r="S329" i="10"/>
  <c r="G329" i="10" s="1"/>
  <c r="J329" i="10" s="1"/>
  <c r="G328" i="5"/>
  <c r="J328" i="5" s="1"/>
  <c r="O263" i="9" l="1"/>
  <c r="P263" i="9" s="1"/>
  <c r="H264" i="9"/>
  <c r="Q264" i="9" s="1"/>
  <c r="N263" i="9"/>
  <c r="L329" i="9"/>
  <c r="T335" i="5"/>
  <c r="C336" i="5"/>
  <c r="Q280" i="5"/>
  <c r="C341" i="9"/>
  <c r="T340" i="9"/>
  <c r="C336" i="10"/>
  <c r="T335" i="10"/>
  <c r="H258" i="10"/>
  <c r="I258" i="10" s="1"/>
  <c r="O257" i="10"/>
  <c r="P257" i="10" s="1"/>
  <c r="L329" i="10"/>
  <c r="L329" i="5"/>
  <c r="F331" i="5"/>
  <c r="F331" i="9"/>
  <c r="R331" i="9"/>
  <c r="K330" i="9"/>
  <c r="M330" i="9" s="1"/>
  <c r="S330" i="9"/>
  <c r="G330" i="9" s="1"/>
  <c r="J330" i="9" s="1"/>
  <c r="R331" i="10"/>
  <c r="K330" i="10"/>
  <c r="M330" i="10" s="1"/>
  <c r="S330" i="10"/>
  <c r="G330" i="10" s="1"/>
  <c r="J330" i="10" s="1"/>
  <c r="F331" i="10"/>
  <c r="K330" i="5"/>
  <c r="M330" i="5" s="1"/>
  <c r="S330" i="5"/>
  <c r="G330" i="5" s="1"/>
  <c r="J330" i="5" s="1"/>
  <c r="R331" i="5"/>
  <c r="I264" i="9" l="1"/>
  <c r="N280" i="5"/>
  <c r="H281" i="5"/>
  <c r="I281" i="5" s="1"/>
  <c r="Q281" i="5"/>
  <c r="O280" i="5"/>
  <c r="P280" i="5" s="1"/>
  <c r="T336" i="5"/>
  <c r="C337" i="5"/>
  <c r="O264" i="9"/>
  <c r="P264" i="9" s="1"/>
  <c r="H265" i="9"/>
  <c r="Q265" i="9" s="1"/>
  <c r="N264" i="9"/>
  <c r="C337" i="10"/>
  <c r="T336" i="10"/>
  <c r="C342" i="9"/>
  <c r="T341" i="9"/>
  <c r="Q258" i="10"/>
  <c r="H259" i="10" s="1"/>
  <c r="I259" i="10" s="1"/>
  <c r="F332" i="5"/>
  <c r="L330" i="10"/>
  <c r="F332" i="10"/>
  <c r="K331" i="10"/>
  <c r="M331" i="10" s="1"/>
  <c r="R332" i="10"/>
  <c r="S331" i="10"/>
  <c r="G331" i="10" s="1"/>
  <c r="J331" i="10" s="1"/>
  <c r="L330" i="9"/>
  <c r="R332" i="5"/>
  <c r="S331" i="5"/>
  <c r="G331" i="5" s="1"/>
  <c r="J331" i="5" s="1"/>
  <c r="K331" i="5"/>
  <c r="M331" i="5" s="1"/>
  <c r="K331" i="9"/>
  <c r="M331" i="9" s="1"/>
  <c r="R332" i="9"/>
  <c r="S331" i="9"/>
  <c r="G331" i="9" s="1"/>
  <c r="J331" i="9" s="1"/>
  <c r="F332" i="9"/>
  <c r="L330" i="5"/>
  <c r="H266" i="9" l="1"/>
  <c r="O265" i="9"/>
  <c r="P265" i="9" s="1"/>
  <c r="Q266" i="9"/>
  <c r="N265" i="9"/>
  <c r="C338" i="5"/>
  <c r="T337" i="5"/>
  <c r="Q282" i="5"/>
  <c r="O281" i="5"/>
  <c r="P281" i="5" s="1"/>
  <c r="N281" i="5"/>
  <c r="H282" i="5"/>
  <c r="I282" i="5" s="1"/>
  <c r="L331" i="5"/>
  <c r="C343" i="9"/>
  <c r="T342" i="9"/>
  <c r="C338" i="10"/>
  <c r="T337" i="10"/>
  <c r="I265" i="9"/>
  <c r="I266" i="9" s="1"/>
  <c r="O258" i="10"/>
  <c r="P258" i="10" s="1"/>
  <c r="N258" i="10"/>
  <c r="Q259" i="10"/>
  <c r="F333" i="10"/>
  <c r="F333" i="5"/>
  <c r="F333" i="9"/>
  <c r="L331" i="9"/>
  <c r="K332" i="9"/>
  <c r="M332" i="9" s="1"/>
  <c r="R333" i="9"/>
  <c r="S332" i="9"/>
  <c r="G332" i="9" s="1"/>
  <c r="J332" i="9" s="1"/>
  <c r="K332" i="5"/>
  <c r="M332" i="5" s="1"/>
  <c r="S332" i="5"/>
  <c r="G332" i="5" s="1"/>
  <c r="J332" i="5" s="1"/>
  <c r="R333" i="5"/>
  <c r="K332" i="10"/>
  <c r="M332" i="10" s="1"/>
  <c r="R333" i="10"/>
  <c r="S332" i="10"/>
  <c r="G332" i="10" s="1"/>
  <c r="J332" i="10" s="1"/>
  <c r="L331" i="10"/>
  <c r="N282" i="5" l="1"/>
  <c r="O282" i="5"/>
  <c r="P282" i="5" s="1"/>
  <c r="H283" i="5"/>
  <c r="Q283" i="5" s="1"/>
  <c r="L332" i="5"/>
  <c r="T338" i="5"/>
  <c r="C339" i="5"/>
  <c r="T338" i="10"/>
  <c r="C339" i="10"/>
  <c r="T343" i="9"/>
  <c r="C344" i="9"/>
  <c r="H267" i="9"/>
  <c r="Q267" i="9" s="1"/>
  <c r="N266" i="9"/>
  <c r="O266" i="9"/>
  <c r="P266" i="9" s="1"/>
  <c r="L332" i="10"/>
  <c r="N259" i="10"/>
  <c r="O259" i="10"/>
  <c r="P259" i="10" s="1"/>
  <c r="H260" i="10"/>
  <c r="I260" i="10" s="1"/>
  <c r="R334" i="9"/>
  <c r="K333" i="9"/>
  <c r="M333" i="9" s="1"/>
  <c r="S333" i="9"/>
  <c r="F334" i="10"/>
  <c r="R334" i="10"/>
  <c r="K333" i="10"/>
  <c r="M333" i="10" s="1"/>
  <c r="S333" i="10"/>
  <c r="G333" i="10" s="1"/>
  <c r="J333" i="10" s="1"/>
  <c r="F334" i="5"/>
  <c r="K333" i="5"/>
  <c r="M333" i="5" s="1"/>
  <c r="S333" i="5"/>
  <c r="G333" i="5" s="1"/>
  <c r="J333" i="5" s="1"/>
  <c r="R334" i="5"/>
  <c r="F334" i="9"/>
  <c r="G333" i="9"/>
  <c r="J333" i="9" s="1"/>
  <c r="L332" i="9"/>
  <c r="L333" i="9" s="1"/>
  <c r="I283" i="5" l="1"/>
  <c r="T339" i="5"/>
  <c r="C340" i="5"/>
  <c r="H284" i="5"/>
  <c r="I284" i="5" s="1"/>
  <c r="O283" i="5"/>
  <c r="P283" i="5" s="1"/>
  <c r="N283" i="5"/>
  <c r="Q284" i="5"/>
  <c r="C345" i="9"/>
  <c r="T344" i="9"/>
  <c r="C340" i="10"/>
  <c r="T339" i="10"/>
  <c r="N267" i="9"/>
  <c r="H268" i="9"/>
  <c r="Q268" i="9" s="1"/>
  <c r="O267" i="9"/>
  <c r="P267" i="9" s="1"/>
  <c r="I267" i="9"/>
  <c r="I268" i="9" s="1"/>
  <c r="Q260" i="10"/>
  <c r="L333" i="10"/>
  <c r="F335" i="10"/>
  <c r="R335" i="9"/>
  <c r="K334" i="9"/>
  <c r="M334" i="9" s="1"/>
  <c r="S334" i="9"/>
  <c r="G334" i="9" s="1"/>
  <c r="J334" i="9" s="1"/>
  <c r="F335" i="9"/>
  <c r="F335" i="5"/>
  <c r="R335" i="10"/>
  <c r="K334" i="10"/>
  <c r="M334" i="10" s="1"/>
  <c r="S334" i="10"/>
  <c r="G334" i="10" s="1"/>
  <c r="J334" i="10" s="1"/>
  <c r="R335" i="5"/>
  <c r="S334" i="5"/>
  <c r="G334" i="5" s="1"/>
  <c r="J334" i="5" s="1"/>
  <c r="K334" i="5"/>
  <c r="M334" i="5" s="1"/>
  <c r="L334" i="9"/>
  <c r="L333" i="5"/>
  <c r="C346" i="9" l="1"/>
  <c r="T345" i="9"/>
  <c r="N268" i="9"/>
  <c r="O268" i="9"/>
  <c r="P268" i="9" s="1"/>
  <c r="H269" i="9"/>
  <c r="Q269" i="9" s="1"/>
  <c r="T340" i="5"/>
  <c r="C341" i="5"/>
  <c r="I269" i="9"/>
  <c r="O284" i="5"/>
  <c r="P284" i="5" s="1"/>
  <c r="N284" i="5"/>
  <c r="H285" i="5"/>
  <c r="I285" i="5" s="1"/>
  <c r="Q285" i="5"/>
  <c r="C341" i="10"/>
  <c r="T340" i="10"/>
  <c r="O260" i="10"/>
  <c r="P260" i="10" s="1"/>
  <c r="H261" i="10"/>
  <c r="N260" i="10"/>
  <c r="F336" i="9"/>
  <c r="F336" i="10"/>
  <c r="F336" i="5"/>
  <c r="K335" i="9"/>
  <c r="M335" i="9" s="1"/>
  <c r="R336" i="9"/>
  <c r="S335" i="9"/>
  <c r="G335" i="9" s="1"/>
  <c r="J335" i="9" s="1"/>
  <c r="R336" i="5"/>
  <c r="S335" i="5"/>
  <c r="G335" i="5" s="1"/>
  <c r="J335" i="5" s="1"/>
  <c r="K335" i="5"/>
  <c r="M335" i="5" s="1"/>
  <c r="K335" i="10"/>
  <c r="M335" i="10" s="1"/>
  <c r="R336" i="10"/>
  <c r="S335" i="10"/>
  <c r="G335" i="10" s="1"/>
  <c r="J335" i="10" s="1"/>
  <c r="L334" i="5"/>
  <c r="L335" i="5" s="1"/>
  <c r="L334" i="10"/>
  <c r="N269" i="9" l="1"/>
  <c r="O269" i="9"/>
  <c r="P269" i="9" s="1"/>
  <c r="H270" i="9"/>
  <c r="I270" i="9" s="1"/>
  <c r="C342" i="5"/>
  <c r="T341" i="5"/>
  <c r="C342" i="10"/>
  <c r="T341" i="10"/>
  <c r="H286" i="5"/>
  <c r="I286" i="5" s="1"/>
  <c r="N285" i="5"/>
  <c r="O285" i="5"/>
  <c r="P285" i="5" s="1"/>
  <c r="L335" i="9"/>
  <c r="C347" i="9"/>
  <c r="T346" i="9"/>
  <c r="L335" i="10"/>
  <c r="Q261" i="10"/>
  <c r="I261" i="10"/>
  <c r="K336" i="9"/>
  <c r="M336" i="9" s="1"/>
  <c r="R337" i="9"/>
  <c r="S336" i="9"/>
  <c r="G336" i="9" s="1"/>
  <c r="J336" i="9" s="1"/>
  <c r="F337" i="5"/>
  <c r="K336" i="10"/>
  <c r="M336" i="10" s="1"/>
  <c r="R337" i="10"/>
  <c r="S336" i="10"/>
  <c r="G336" i="10" s="1"/>
  <c r="J336" i="10" s="1"/>
  <c r="F337" i="9"/>
  <c r="K336" i="5"/>
  <c r="M336" i="5" s="1"/>
  <c r="S336" i="5"/>
  <c r="G336" i="5" s="1"/>
  <c r="J336" i="5" s="1"/>
  <c r="R337" i="5"/>
  <c r="F337" i="10"/>
  <c r="L336" i="9" l="1"/>
  <c r="Q286" i="5"/>
  <c r="T342" i="10"/>
  <c r="C343" i="10"/>
  <c r="T342" i="5"/>
  <c r="C343" i="5"/>
  <c r="Q270" i="9"/>
  <c r="T347" i="9"/>
  <c r="C348" i="9"/>
  <c r="L336" i="5"/>
  <c r="N286" i="5"/>
  <c r="O286" i="5"/>
  <c r="P286" i="5" s="1"/>
  <c r="H287" i="5"/>
  <c r="I287" i="5" s="1"/>
  <c r="Q287" i="5"/>
  <c r="N261" i="10"/>
  <c r="H262" i="10"/>
  <c r="Q262" i="10" s="1"/>
  <c r="O261" i="10"/>
  <c r="P261" i="10" s="1"/>
  <c r="L336" i="10"/>
  <c r="F338" i="10"/>
  <c r="F338" i="9"/>
  <c r="R338" i="9"/>
  <c r="K337" i="9"/>
  <c r="M337" i="9" s="1"/>
  <c r="S337" i="9"/>
  <c r="G337" i="9" s="1"/>
  <c r="J337" i="9" s="1"/>
  <c r="R338" i="10"/>
  <c r="K337" i="10"/>
  <c r="M337" i="10" s="1"/>
  <c r="S337" i="10"/>
  <c r="G337" i="10" s="1"/>
  <c r="J337" i="10" s="1"/>
  <c r="K337" i="5"/>
  <c r="M337" i="5" s="1"/>
  <c r="S337" i="5"/>
  <c r="R338" i="5"/>
  <c r="G337" i="5"/>
  <c r="J337" i="5" s="1"/>
  <c r="F338" i="5"/>
  <c r="L337" i="9"/>
  <c r="C349" i="9" l="1"/>
  <c r="T348" i="9"/>
  <c r="N287" i="5"/>
  <c r="O287" i="5"/>
  <c r="P287" i="5" s="1"/>
  <c r="H288" i="5"/>
  <c r="Q288" i="5" s="1"/>
  <c r="T343" i="5"/>
  <c r="C344" i="5"/>
  <c r="O270" i="9"/>
  <c r="P270" i="9" s="1"/>
  <c r="H271" i="9"/>
  <c r="N270" i="9"/>
  <c r="C344" i="10"/>
  <c r="T343" i="10"/>
  <c r="I288" i="5"/>
  <c r="L337" i="5"/>
  <c r="I262" i="10"/>
  <c r="I263" i="10" s="1"/>
  <c r="O262" i="10"/>
  <c r="P262" i="10" s="1"/>
  <c r="H263" i="10"/>
  <c r="N262" i="10"/>
  <c r="Q263" i="10"/>
  <c r="R339" i="9"/>
  <c r="K338" i="9"/>
  <c r="M338" i="9" s="1"/>
  <c r="S338" i="9"/>
  <c r="G338" i="9" s="1"/>
  <c r="J338" i="9" s="1"/>
  <c r="F339" i="5"/>
  <c r="F339" i="9"/>
  <c r="F339" i="10"/>
  <c r="R339" i="5"/>
  <c r="S338" i="5"/>
  <c r="G338" i="5" s="1"/>
  <c r="J338" i="5" s="1"/>
  <c r="K338" i="5"/>
  <c r="M338" i="5" s="1"/>
  <c r="R339" i="10"/>
  <c r="K338" i="10"/>
  <c r="M338" i="10" s="1"/>
  <c r="S338" i="10"/>
  <c r="G338" i="10" s="1"/>
  <c r="J338" i="10" s="1"/>
  <c r="L337" i="10"/>
  <c r="L338" i="9" l="1"/>
  <c r="N288" i="5"/>
  <c r="H289" i="5"/>
  <c r="Q289" i="5" s="1"/>
  <c r="O288" i="5"/>
  <c r="P288" i="5" s="1"/>
  <c r="T344" i="5"/>
  <c r="C345" i="5"/>
  <c r="I289" i="5"/>
  <c r="C345" i="10"/>
  <c r="T344" i="10"/>
  <c r="Q271" i="9"/>
  <c r="I271" i="9"/>
  <c r="C350" i="9"/>
  <c r="T349" i="9"/>
  <c r="H264" i="10"/>
  <c r="Q264" i="10" s="1"/>
  <c r="N263" i="10"/>
  <c r="O263" i="10"/>
  <c r="P263" i="10" s="1"/>
  <c r="L338" i="10"/>
  <c r="F340" i="9"/>
  <c r="F340" i="5"/>
  <c r="F340" i="10"/>
  <c r="R340" i="5"/>
  <c r="S339" i="5"/>
  <c r="G339" i="5" s="1"/>
  <c r="J339" i="5" s="1"/>
  <c r="K339" i="5"/>
  <c r="M339" i="5" s="1"/>
  <c r="K339" i="9"/>
  <c r="M339" i="9" s="1"/>
  <c r="R340" i="9"/>
  <c r="S339" i="9"/>
  <c r="G339" i="9" s="1"/>
  <c r="J339" i="9" s="1"/>
  <c r="K339" i="10"/>
  <c r="M339" i="10" s="1"/>
  <c r="R340" i="10"/>
  <c r="S339" i="10"/>
  <c r="G339" i="10" s="1"/>
  <c r="J339" i="10" s="1"/>
  <c r="L338" i="5"/>
  <c r="C346" i="5" l="1"/>
  <c r="T345" i="5"/>
  <c r="C351" i="9"/>
  <c r="T350" i="9"/>
  <c r="C346" i="10"/>
  <c r="T345" i="10"/>
  <c r="I290" i="5"/>
  <c r="O289" i="5"/>
  <c r="P289" i="5" s="1"/>
  <c r="N289" i="5"/>
  <c r="H290" i="5"/>
  <c r="Q290" i="5" s="1"/>
  <c r="L339" i="5"/>
  <c r="O271" i="9"/>
  <c r="P271" i="9" s="1"/>
  <c r="H272" i="9"/>
  <c r="I272" i="9" s="1"/>
  <c r="Q272" i="9"/>
  <c r="N271" i="9"/>
  <c r="I264" i="10"/>
  <c r="N264" i="10"/>
  <c r="H265" i="10"/>
  <c r="Q265" i="10" s="1"/>
  <c r="O264" i="10"/>
  <c r="P264" i="10" s="1"/>
  <c r="F341" i="5"/>
  <c r="F341" i="9"/>
  <c r="R341" i="9"/>
  <c r="K340" i="9"/>
  <c r="M340" i="9" s="1"/>
  <c r="S340" i="9"/>
  <c r="V32" i="9" s="1"/>
  <c r="K340" i="5"/>
  <c r="M340" i="5" s="1"/>
  <c r="S340" i="5"/>
  <c r="V32" i="5" s="1"/>
  <c r="R341" i="5"/>
  <c r="L339" i="10"/>
  <c r="K340" i="10"/>
  <c r="M340" i="10" s="1"/>
  <c r="R341" i="10"/>
  <c r="S340" i="10"/>
  <c r="V32" i="10" s="1"/>
  <c r="F341" i="10"/>
  <c r="L339" i="9"/>
  <c r="L340" i="9" s="1"/>
  <c r="N290" i="5" l="1"/>
  <c r="H291" i="5"/>
  <c r="I291" i="5" s="1"/>
  <c r="O290" i="5"/>
  <c r="P290" i="5" s="1"/>
  <c r="Q291" i="5"/>
  <c r="I273" i="9"/>
  <c r="T346" i="10"/>
  <c r="C347" i="10"/>
  <c r="Q273" i="9"/>
  <c r="N272" i="9"/>
  <c r="H273" i="9"/>
  <c r="O272" i="9"/>
  <c r="P272" i="9" s="1"/>
  <c r="T351" i="9"/>
  <c r="C352" i="9"/>
  <c r="G340" i="9"/>
  <c r="J340" i="9" s="1"/>
  <c r="T346" i="5"/>
  <c r="C347" i="5"/>
  <c r="H266" i="10"/>
  <c r="Q266" i="10" s="1"/>
  <c r="N265" i="10"/>
  <c r="O265" i="10"/>
  <c r="P265" i="10" s="1"/>
  <c r="I265" i="10"/>
  <c r="G340" i="10"/>
  <c r="J340" i="10" s="1"/>
  <c r="R342" i="10"/>
  <c r="K341" i="10"/>
  <c r="M341" i="10" s="1"/>
  <c r="S341" i="10"/>
  <c r="G341" i="10" s="1"/>
  <c r="J341" i="10" s="1"/>
  <c r="K341" i="5"/>
  <c r="M341" i="5" s="1"/>
  <c r="S341" i="5"/>
  <c r="G341" i="5" s="1"/>
  <c r="J341" i="5" s="1"/>
  <c r="R342" i="5"/>
  <c r="F342" i="5"/>
  <c r="R342" i="9"/>
  <c r="K341" i="9"/>
  <c r="M341" i="9" s="1"/>
  <c r="S341" i="9"/>
  <c r="G341" i="9" s="1"/>
  <c r="J341" i="9" s="1"/>
  <c r="L340" i="5"/>
  <c r="L341" i="5" s="1"/>
  <c r="G340" i="5"/>
  <c r="J340" i="5" s="1"/>
  <c r="H292" i="5"/>
  <c r="I292" i="5" s="1"/>
  <c r="Q292" i="5"/>
  <c r="N291" i="5"/>
  <c r="O291" i="5"/>
  <c r="P291" i="5" s="1"/>
  <c r="F342" i="10"/>
  <c r="F342" i="9"/>
  <c r="L340" i="10"/>
  <c r="L341" i="9" l="1"/>
  <c r="T347" i="5"/>
  <c r="C348" i="5"/>
  <c r="C348" i="10"/>
  <c r="T347" i="10"/>
  <c r="N273" i="9"/>
  <c r="H274" i="9"/>
  <c r="I274" i="9" s="1"/>
  <c r="O273" i="9"/>
  <c r="P273" i="9" s="1"/>
  <c r="C353" i="9"/>
  <c r="T352" i="9"/>
  <c r="L341" i="10"/>
  <c r="H267" i="10"/>
  <c r="Q267" i="10" s="1"/>
  <c r="O266" i="10"/>
  <c r="P266" i="10" s="1"/>
  <c r="N266" i="10"/>
  <c r="I266" i="10"/>
  <c r="R343" i="10"/>
  <c r="K342" i="10"/>
  <c r="M342" i="10" s="1"/>
  <c r="S342" i="10"/>
  <c r="G342" i="10" s="1"/>
  <c r="J342" i="10" s="1"/>
  <c r="F343" i="9"/>
  <c r="G342" i="9"/>
  <c r="J342" i="9" s="1"/>
  <c r="S342" i="5"/>
  <c r="G342" i="5" s="1"/>
  <c r="J342" i="5" s="1"/>
  <c r="K342" i="5"/>
  <c r="M342" i="5" s="1"/>
  <c r="R343" i="5"/>
  <c r="K342" i="9"/>
  <c r="M342" i="9" s="1"/>
  <c r="R343" i="9"/>
  <c r="S342" i="9"/>
  <c r="F343" i="5"/>
  <c r="N292" i="5"/>
  <c r="H293" i="5"/>
  <c r="Q293" i="5" s="1"/>
  <c r="O292" i="5"/>
  <c r="P292" i="5" s="1"/>
  <c r="F343" i="10"/>
  <c r="Q274" i="9" l="1"/>
  <c r="I293" i="5"/>
  <c r="L342" i="5"/>
  <c r="O274" i="9"/>
  <c r="P274" i="9" s="1"/>
  <c r="H275" i="9"/>
  <c r="I275" i="9" s="1"/>
  <c r="N274" i="9"/>
  <c r="Q275" i="9"/>
  <c r="C349" i="10"/>
  <c r="T348" i="10"/>
  <c r="L342" i="9"/>
  <c r="C354" i="9"/>
  <c r="T353" i="9"/>
  <c r="T348" i="5"/>
  <c r="C349" i="5"/>
  <c r="H268" i="10"/>
  <c r="Q268" i="10" s="1"/>
  <c r="O267" i="10"/>
  <c r="P267" i="10" s="1"/>
  <c r="N267" i="10"/>
  <c r="L342" i="10"/>
  <c r="I267" i="10"/>
  <c r="N293" i="5"/>
  <c r="H294" i="5"/>
  <c r="Q294" i="5"/>
  <c r="O293" i="5"/>
  <c r="P293" i="5" s="1"/>
  <c r="F344" i="10"/>
  <c r="F344" i="5"/>
  <c r="K343" i="9"/>
  <c r="M343" i="9" s="1"/>
  <c r="R344" i="9"/>
  <c r="S343" i="9"/>
  <c r="G343" i="9" s="1"/>
  <c r="J343" i="9" s="1"/>
  <c r="K343" i="10"/>
  <c r="M343" i="10" s="1"/>
  <c r="R344" i="10"/>
  <c r="S343" i="10"/>
  <c r="G343" i="10" s="1"/>
  <c r="J343" i="10" s="1"/>
  <c r="K343" i="5"/>
  <c r="M343" i="5" s="1"/>
  <c r="S343" i="5"/>
  <c r="G343" i="5" s="1"/>
  <c r="J343" i="5" s="1"/>
  <c r="R344" i="5"/>
  <c r="F344" i="9"/>
  <c r="I294" i="5"/>
  <c r="C350" i="10" l="1"/>
  <c r="T349" i="10"/>
  <c r="H276" i="9"/>
  <c r="Q276" i="9" s="1"/>
  <c r="N275" i="9"/>
  <c r="O275" i="9"/>
  <c r="P275" i="9" s="1"/>
  <c r="C350" i="5"/>
  <c r="T349" i="5"/>
  <c r="I268" i="10"/>
  <c r="C355" i="9"/>
  <c r="T354" i="9"/>
  <c r="N268" i="10"/>
  <c r="H269" i="10"/>
  <c r="I269" i="10" s="1"/>
  <c r="O268" i="10"/>
  <c r="P268" i="10" s="1"/>
  <c r="L343" i="10"/>
  <c r="K344" i="10"/>
  <c r="M344" i="10" s="1"/>
  <c r="R345" i="10"/>
  <c r="S344" i="10"/>
  <c r="G344" i="10" s="1"/>
  <c r="J344" i="10" s="1"/>
  <c r="F345" i="10"/>
  <c r="F345" i="9"/>
  <c r="R345" i="9"/>
  <c r="K344" i="9"/>
  <c r="M344" i="9" s="1"/>
  <c r="S344" i="9"/>
  <c r="G344" i="9" s="1"/>
  <c r="J344" i="9" s="1"/>
  <c r="F345" i="5"/>
  <c r="O294" i="5"/>
  <c r="P294" i="5" s="1"/>
  <c r="H295" i="5"/>
  <c r="Q295" i="5" s="1"/>
  <c r="N294" i="5"/>
  <c r="L343" i="9"/>
  <c r="R345" i="5"/>
  <c r="K344" i="5"/>
  <c r="M344" i="5" s="1"/>
  <c r="S344" i="5"/>
  <c r="G344" i="5" s="1"/>
  <c r="J344" i="5" s="1"/>
  <c r="L343" i="5"/>
  <c r="L344" i="5" s="1"/>
  <c r="L344" i="9" l="1"/>
  <c r="N276" i="9"/>
  <c r="H277" i="9"/>
  <c r="Q277" i="9" s="1"/>
  <c r="O276" i="9"/>
  <c r="P276" i="9" s="1"/>
  <c r="T350" i="5"/>
  <c r="C351" i="5"/>
  <c r="T355" i="9"/>
  <c r="C356" i="9"/>
  <c r="T350" i="10"/>
  <c r="C351" i="10"/>
  <c r="I276" i="9"/>
  <c r="Q269" i="10"/>
  <c r="O269" i="10" s="1"/>
  <c r="P269" i="10" s="1"/>
  <c r="L344" i="10"/>
  <c r="O295" i="5"/>
  <c r="P295" i="5" s="1"/>
  <c r="H296" i="5"/>
  <c r="Q296" i="5" s="1"/>
  <c r="N295" i="5"/>
  <c r="R346" i="10"/>
  <c r="K345" i="10"/>
  <c r="M345" i="10" s="1"/>
  <c r="S345" i="10"/>
  <c r="G345" i="10" s="1"/>
  <c r="J345" i="10" s="1"/>
  <c r="F346" i="9"/>
  <c r="S345" i="5"/>
  <c r="G345" i="5" s="1"/>
  <c r="J345" i="5" s="1"/>
  <c r="K345" i="5"/>
  <c r="M345" i="5" s="1"/>
  <c r="R346" i="5"/>
  <c r="F346" i="5"/>
  <c r="R346" i="9"/>
  <c r="K345" i="9"/>
  <c r="M345" i="9" s="1"/>
  <c r="S345" i="9"/>
  <c r="G345" i="9" s="1"/>
  <c r="J345" i="9" s="1"/>
  <c r="F346" i="10"/>
  <c r="I295" i="5"/>
  <c r="H278" i="9" l="1"/>
  <c r="Q278" i="9" s="1"/>
  <c r="N277" i="9"/>
  <c r="O277" i="9"/>
  <c r="P277" i="9" s="1"/>
  <c r="T351" i="5"/>
  <c r="C352" i="5"/>
  <c r="C357" i="9"/>
  <c r="T356" i="9"/>
  <c r="I277" i="9"/>
  <c r="I278" i="9" s="1"/>
  <c r="L345" i="5"/>
  <c r="C352" i="10"/>
  <c r="T351" i="10"/>
  <c r="I296" i="5"/>
  <c r="N269" i="10"/>
  <c r="H270" i="10"/>
  <c r="Q270" i="10" s="1"/>
  <c r="N270" i="10" s="1"/>
  <c r="L345" i="10"/>
  <c r="R347" i="10"/>
  <c r="K346" i="10"/>
  <c r="M346" i="10" s="1"/>
  <c r="S346" i="10"/>
  <c r="G346" i="10" s="1"/>
  <c r="J346" i="10" s="1"/>
  <c r="N296" i="5"/>
  <c r="H297" i="5"/>
  <c r="Q297" i="5" s="1"/>
  <c r="O296" i="5"/>
  <c r="P296" i="5" s="1"/>
  <c r="L345" i="9"/>
  <c r="F347" i="10"/>
  <c r="F347" i="5"/>
  <c r="K346" i="9"/>
  <c r="M346" i="9" s="1"/>
  <c r="R347" i="9"/>
  <c r="S346" i="9"/>
  <c r="G346" i="9" s="1"/>
  <c r="J346" i="9" s="1"/>
  <c r="S346" i="5"/>
  <c r="G346" i="5" s="1"/>
  <c r="J346" i="5" s="1"/>
  <c r="K346" i="5"/>
  <c r="M346" i="5" s="1"/>
  <c r="R347" i="5"/>
  <c r="F347" i="9"/>
  <c r="L346" i="5"/>
  <c r="C358" i="9" l="1"/>
  <c r="T357" i="9"/>
  <c r="C353" i="10"/>
  <c r="T352" i="10"/>
  <c r="I297" i="5"/>
  <c r="T352" i="5"/>
  <c r="C353" i="5"/>
  <c r="N278" i="9"/>
  <c r="O278" i="9"/>
  <c r="P278" i="9" s="1"/>
  <c r="H279" i="9"/>
  <c r="I279" i="9" s="1"/>
  <c r="O270" i="10"/>
  <c r="P270" i="10" s="1"/>
  <c r="I270" i="10"/>
  <c r="H271" i="10"/>
  <c r="Q271" i="10" s="1"/>
  <c r="O271" i="10" s="1"/>
  <c r="P271" i="10" s="1"/>
  <c r="N297" i="5"/>
  <c r="H298" i="5"/>
  <c r="Q298" i="5" s="1"/>
  <c r="O297" i="5"/>
  <c r="P297" i="5" s="1"/>
  <c r="F348" i="9"/>
  <c r="F348" i="5"/>
  <c r="L346" i="9"/>
  <c r="L346" i="10"/>
  <c r="F348" i="10"/>
  <c r="K347" i="10"/>
  <c r="M347" i="10" s="1"/>
  <c r="R348" i="10"/>
  <c r="S347" i="10"/>
  <c r="G347" i="10" s="1"/>
  <c r="J347" i="10" s="1"/>
  <c r="K347" i="5"/>
  <c r="M347" i="5" s="1"/>
  <c r="R348" i="5"/>
  <c r="S347" i="5"/>
  <c r="G347" i="5" s="1"/>
  <c r="J347" i="5" s="1"/>
  <c r="K347" i="9"/>
  <c r="M347" i="9" s="1"/>
  <c r="R348" i="9"/>
  <c r="S347" i="9"/>
  <c r="G347" i="9" s="1"/>
  <c r="J347" i="9" s="1"/>
  <c r="L347" i="5"/>
  <c r="Q279" i="9" l="1"/>
  <c r="I298" i="5"/>
  <c r="C354" i="5"/>
  <c r="T353" i="5"/>
  <c r="C354" i="10"/>
  <c r="T353" i="10"/>
  <c r="C359" i="9"/>
  <c r="T358" i="9"/>
  <c r="N279" i="9"/>
  <c r="H280" i="9"/>
  <c r="I280" i="9" s="1"/>
  <c r="O279" i="9"/>
  <c r="P279" i="9" s="1"/>
  <c r="I271" i="10"/>
  <c r="N271" i="10"/>
  <c r="H272" i="10"/>
  <c r="Q272" i="10" s="1"/>
  <c r="N272" i="10" s="1"/>
  <c r="O298" i="5"/>
  <c r="P298" i="5" s="1"/>
  <c r="H299" i="5"/>
  <c r="Q299" i="5" s="1"/>
  <c r="N298" i="5"/>
  <c r="F349" i="9"/>
  <c r="R349" i="9"/>
  <c r="K348" i="9"/>
  <c r="M348" i="9" s="1"/>
  <c r="S348" i="9"/>
  <c r="G348" i="9" s="1"/>
  <c r="J348" i="9" s="1"/>
  <c r="K348" i="10"/>
  <c r="M348" i="10" s="1"/>
  <c r="R349" i="10"/>
  <c r="S348" i="10"/>
  <c r="G348" i="10" s="1"/>
  <c r="J348" i="10" s="1"/>
  <c r="L347" i="10"/>
  <c r="R349" i="5"/>
  <c r="K348" i="5"/>
  <c r="M348" i="5" s="1"/>
  <c r="S348" i="5"/>
  <c r="G348" i="5" s="1"/>
  <c r="J348" i="5" s="1"/>
  <c r="F349" i="10"/>
  <c r="F349" i="5"/>
  <c r="L347" i="9"/>
  <c r="T354" i="10" l="1"/>
  <c r="C355" i="10"/>
  <c r="T359" i="9"/>
  <c r="C360" i="9"/>
  <c r="I299" i="5"/>
  <c r="Q280" i="9"/>
  <c r="T354" i="5"/>
  <c r="C355" i="5"/>
  <c r="L348" i="9"/>
  <c r="I272" i="10"/>
  <c r="O272" i="10"/>
  <c r="P272" i="10" s="1"/>
  <c r="H273" i="10"/>
  <c r="Q273" i="10" s="1"/>
  <c r="H274" i="10" s="1"/>
  <c r="Q274" i="10" s="1"/>
  <c r="L348" i="10"/>
  <c r="O273" i="10"/>
  <c r="P273" i="10" s="1"/>
  <c r="O299" i="5"/>
  <c r="P299" i="5" s="1"/>
  <c r="H300" i="5"/>
  <c r="Q300" i="5" s="1"/>
  <c r="N299" i="5"/>
  <c r="F350" i="9"/>
  <c r="F350" i="10"/>
  <c r="L348" i="5"/>
  <c r="F350" i="5"/>
  <c r="S349" i="5"/>
  <c r="G349" i="5" s="1"/>
  <c r="J349" i="5" s="1"/>
  <c r="R350" i="5"/>
  <c r="K349" i="5"/>
  <c r="M349" i="5" s="1"/>
  <c r="R350" i="10"/>
  <c r="K349" i="10"/>
  <c r="M349" i="10" s="1"/>
  <c r="S349" i="10"/>
  <c r="G349" i="10" s="1"/>
  <c r="J349" i="10" s="1"/>
  <c r="R350" i="9"/>
  <c r="K349" i="9"/>
  <c r="M349" i="9" s="1"/>
  <c r="S349" i="9"/>
  <c r="G349" i="9" s="1"/>
  <c r="J349" i="9" s="1"/>
  <c r="L349" i="9" l="1"/>
  <c r="I300" i="5"/>
  <c r="N280" i="9"/>
  <c r="H281" i="9"/>
  <c r="I281" i="9" s="1"/>
  <c r="O280" i="9"/>
  <c r="P280" i="9" s="1"/>
  <c r="C361" i="9"/>
  <c r="T360" i="9"/>
  <c r="C356" i="10"/>
  <c r="T355" i="10"/>
  <c r="L349" i="5"/>
  <c r="T355" i="5"/>
  <c r="C356" i="5"/>
  <c r="N273" i="10"/>
  <c r="I273" i="10"/>
  <c r="I274" i="10" s="1"/>
  <c r="H275" i="10"/>
  <c r="Q275" i="10" s="1"/>
  <c r="O274" i="10"/>
  <c r="P274" i="10" s="1"/>
  <c r="N274" i="10"/>
  <c r="S350" i="5"/>
  <c r="G350" i="5" s="1"/>
  <c r="J350" i="5" s="1"/>
  <c r="K350" i="5"/>
  <c r="M350" i="5" s="1"/>
  <c r="R351" i="5"/>
  <c r="L349" i="10"/>
  <c r="K350" i="9"/>
  <c r="M350" i="9" s="1"/>
  <c r="R351" i="9"/>
  <c r="S350" i="9"/>
  <c r="G350" i="9" s="1"/>
  <c r="J350" i="9" s="1"/>
  <c r="F351" i="10"/>
  <c r="N300" i="5"/>
  <c r="H301" i="5"/>
  <c r="I301" i="5" s="1"/>
  <c r="O300" i="5"/>
  <c r="P300" i="5" s="1"/>
  <c r="F351" i="9"/>
  <c r="K350" i="10"/>
  <c r="M350" i="10" s="1"/>
  <c r="R351" i="10"/>
  <c r="S350" i="10"/>
  <c r="G350" i="10" s="1"/>
  <c r="J350" i="10" s="1"/>
  <c r="F351" i="5"/>
  <c r="L350" i="9" l="1"/>
  <c r="C362" i="9"/>
  <c r="T361" i="9"/>
  <c r="C357" i="10"/>
  <c r="T356" i="10"/>
  <c r="T356" i="5"/>
  <c r="C357" i="5"/>
  <c r="L350" i="5"/>
  <c r="L351" i="5" s="1"/>
  <c r="Q281" i="9"/>
  <c r="O275" i="10"/>
  <c r="P275" i="10" s="1"/>
  <c r="N275" i="10"/>
  <c r="H276" i="10"/>
  <c r="Q276" i="10" s="1"/>
  <c r="I275" i="10"/>
  <c r="F352" i="9"/>
  <c r="F352" i="10"/>
  <c r="Q301" i="5"/>
  <c r="L350" i="10"/>
  <c r="K351" i="10"/>
  <c r="M351" i="10" s="1"/>
  <c r="R352" i="10"/>
  <c r="S351" i="10"/>
  <c r="G351" i="10" s="1"/>
  <c r="J351" i="10" s="1"/>
  <c r="F352" i="5"/>
  <c r="K351" i="5"/>
  <c r="M351" i="5" s="1"/>
  <c r="R352" i="5"/>
  <c r="S351" i="5"/>
  <c r="G351" i="5" s="1"/>
  <c r="J351" i="5" s="1"/>
  <c r="K351" i="9"/>
  <c r="M351" i="9" s="1"/>
  <c r="R352" i="9"/>
  <c r="S351" i="9"/>
  <c r="G351" i="9" s="1"/>
  <c r="J351" i="9" s="1"/>
  <c r="C358" i="5" l="1"/>
  <c r="T357" i="5"/>
  <c r="C358" i="10"/>
  <c r="T357" i="10"/>
  <c r="L351" i="9"/>
  <c r="H282" i="9"/>
  <c r="O281" i="9"/>
  <c r="P281" i="9" s="1"/>
  <c r="N281" i="9"/>
  <c r="C363" i="9"/>
  <c r="T362" i="9"/>
  <c r="N276" i="10"/>
  <c r="O276" i="10"/>
  <c r="P276" i="10" s="1"/>
  <c r="H277" i="10"/>
  <c r="Q277" i="10" s="1"/>
  <c r="I276" i="10"/>
  <c r="K352" i="10"/>
  <c r="M352" i="10" s="1"/>
  <c r="R353" i="10"/>
  <c r="S352" i="10"/>
  <c r="V33" i="10" s="1"/>
  <c r="F353" i="9"/>
  <c r="R353" i="5"/>
  <c r="K352" i="5"/>
  <c r="M352" i="5" s="1"/>
  <c r="S352" i="5"/>
  <c r="V33" i="5" s="1"/>
  <c r="N301" i="5"/>
  <c r="H302" i="5"/>
  <c r="I302" i="5" s="1"/>
  <c r="Q302" i="5"/>
  <c r="O301" i="5"/>
  <c r="P301" i="5" s="1"/>
  <c r="K352" i="9"/>
  <c r="M352" i="9" s="1"/>
  <c r="R353" i="9"/>
  <c r="S352" i="9"/>
  <c r="V33" i="9" s="1"/>
  <c r="F353" i="5"/>
  <c r="F353" i="10"/>
  <c r="L351" i="10"/>
  <c r="Q282" i="9" l="1"/>
  <c r="I282" i="9"/>
  <c r="L352" i="10"/>
  <c r="T358" i="10"/>
  <c r="C359" i="10"/>
  <c r="G352" i="5"/>
  <c r="J352" i="5" s="1"/>
  <c r="T363" i="9"/>
  <c r="C364" i="9"/>
  <c r="T358" i="5"/>
  <c r="C359" i="5"/>
  <c r="I277" i="10"/>
  <c r="H278" i="10"/>
  <c r="Q278" i="10" s="1"/>
  <c r="O277" i="10"/>
  <c r="P277" i="10" s="1"/>
  <c r="N277" i="10"/>
  <c r="G352" i="10"/>
  <c r="J352" i="10" s="1"/>
  <c r="F354" i="10"/>
  <c r="O302" i="5"/>
  <c r="P302" i="5" s="1"/>
  <c r="H303" i="5"/>
  <c r="Q303" i="5"/>
  <c r="N302" i="5"/>
  <c r="F354" i="9"/>
  <c r="G352" i="9"/>
  <c r="J352" i="9" s="1"/>
  <c r="K353" i="9"/>
  <c r="M353" i="9" s="1"/>
  <c r="R354" i="9"/>
  <c r="S353" i="9"/>
  <c r="G353" i="9" s="1"/>
  <c r="J353" i="9" s="1"/>
  <c r="K353" i="10"/>
  <c r="M353" i="10" s="1"/>
  <c r="R354" i="10"/>
  <c r="S353" i="10"/>
  <c r="G353" i="10" s="1"/>
  <c r="J353" i="10" s="1"/>
  <c r="L352" i="5"/>
  <c r="L352" i="9"/>
  <c r="F354" i="5"/>
  <c r="R354" i="5"/>
  <c r="K353" i="5"/>
  <c r="M353" i="5" s="1"/>
  <c r="S353" i="5"/>
  <c r="G353" i="5" s="1"/>
  <c r="J353" i="5" s="1"/>
  <c r="I303" i="5"/>
  <c r="L353" i="5" l="1"/>
  <c r="C365" i="9"/>
  <c r="T364" i="9"/>
  <c r="C360" i="10"/>
  <c r="T359" i="10"/>
  <c r="T359" i="5"/>
  <c r="C360" i="5"/>
  <c r="I283" i="9"/>
  <c r="L353" i="9"/>
  <c r="N282" i="9"/>
  <c r="H283" i="9"/>
  <c r="Q283" i="9" s="1"/>
  <c r="O282" i="9"/>
  <c r="P282" i="9" s="1"/>
  <c r="N278" i="10"/>
  <c r="H279" i="10"/>
  <c r="Q279" i="10" s="1"/>
  <c r="O278" i="10"/>
  <c r="P278" i="10" s="1"/>
  <c r="I278" i="10"/>
  <c r="L353" i="10"/>
  <c r="F355" i="5"/>
  <c r="O303" i="5"/>
  <c r="P303" i="5" s="1"/>
  <c r="H304" i="5"/>
  <c r="Q304" i="5" s="1"/>
  <c r="N303" i="5"/>
  <c r="K354" i="5"/>
  <c r="M354" i="5" s="1"/>
  <c r="S354" i="5"/>
  <c r="G354" i="5" s="1"/>
  <c r="J354" i="5" s="1"/>
  <c r="R355" i="5"/>
  <c r="R355" i="10"/>
  <c r="K354" i="10"/>
  <c r="M354" i="10" s="1"/>
  <c r="S354" i="10"/>
  <c r="G354" i="10" s="1"/>
  <c r="J354" i="10" s="1"/>
  <c r="R355" i="9"/>
  <c r="K354" i="9"/>
  <c r="M354" i="9" s="1"/>
  <c r="S354" i="9"/>
  <c r="G354" i="9" s="1"/>
  <c r="J354" i="9" s="1"/>
  <c r="F355" i="9"/>
  <c r="F355" i="10"/>
  <c r="C361" i="10" l="1"/>
  <c r="T360" i="10"/>
  <c r="O283" i="9"/>
  <c r="P283" i="9" s="1"/>
  <c r="N283" i="9"/>
  <c r="H284" i="9"/>
  <c r="Q284" i="9" s="1"/>
  <c r="T360" i="5"/>
  <c r="C361" i="5"/>
  <c r="L354" i="5"/>
  <c r="C366" i="9"/>
  <c r="T365" i="9"/>
  <c r="O279" i="10"/>
  <c r="P279" i="10" s="1"/>
  <c r="N279" i="10"/>
  <c r="H280" i="10"/>
  <c r="Q280" i="10" s="1"/>
  <c r="I279" i="10"/>
  <c r="L354" i="10"/>
  <c r="O304" i="5"/>
  <c r="P304" i="5" s="1"/>
  <c r="N304" i="5"/>
  <c r="H305" i="5"/>
  <c r="Q305" i="5" s="1"/>
  <c r="K355" i="5"/>
  <c r="M355" i="5" s="1"/>
  <c r="S355" i="5"/>
  <c r="G355" i="5" s="1"/>
  <c r="J355" i="5" s="1"/>
  <c r="R356" i="5"/>
  <c r="F356" i="5"/>
  <c r="I304" i="5"/>
  <c r="F356" i="9"/>
  <c r="K355" i="10"/>
  <c r="M355" i="10" s="1"/>
  <c r="R356" i="10"/>
  <c r="S355" i="10"/>
  <c r="G355" i="10" s="1"/>
  <c r="J355" i="10" s="1"/>
  <c r="L354" i="9"/>
  <c r="F356" i="10"/>
  <c r="K355" i="9"/>
  <c r="M355" i="9" s="1"/>
  <c r="R356" i="9"/>
  <c r="S355" i="9"/>
  <c r="G355" i="9" s="1"/>
  <c r="J355" i="9" s="1"/>
  <c r="C362" i="5" l="1"/>
  <c r="T361" i="5"/>
  <c r="L355" i="9"/>
  <c r="C367" i="9"/>
  <c r="T366" i="9"/>
  <c r="C362" i="10"/>
  <c r="T361" i="10"/>
  <c r="N284" i="9"/>
  <c r="O284" i="9"/>
  <c r="P284" i="9" s="1"/>
  <c r="H285" i="9"/>
  <c r="Q285" i="9" s="1"/>
  <c r="L355" i="5"/>
  <c r="I305" i="5"/>
  <c r="I284" i="9"/>
  <c r="I285" i="9" s="1"/>
  <c r="O280" i="10"/>
  <c r="P280" i="10" s="1"/>
  <c r="N280" i="10"/>
  <c r="H281" i="10"/>
  <c r="Q281" i="10" s="1"/>
  <c r="I280" i="10"/>
  <c r="K356" i="9"/>
  <c r="M356" i="9" s="1"/>
  <c r="R357" i="9"/>
  <c r="S356" i="9"/>
  <c r="G356" i="9" s="1"/>
  <c r="J356" i="9" s="1"/>
  <c r="F357" i="5"/>
  <c r="L356" i="5"/>
  <c r="F357" i="10"/>
  <c r="K356" i="10"/>
  <c r="M356" i="10" s="1"/>
  <c r="R357" i="10"/>
  <c r="S356" i="10"/>
  <c r="G356" i="10" s="1"/>
  <c r="J356" i="10" s="1"/>
  <c r="R357" i="5"/>
  <c r="S356" i="5"/>
  <c r="G356" i="5" s="1"/>
  <c r="J356" i="5" s="1"/>
  <c r="K356" i="5"/>
  <c r="M356" i="5" s="1"/>
  <c r="O305" i="5"/>
  <c r="P305" i="5" s="1"/>
  <c r="N305" i="5"/>
  <c r="H306" i="5"/>
  <c r="I306" i="5" s="1"/>
  <c r="L356" i="9"/>
  <c r="F357" i="9"/>
  <c r="L355" i="10"/>
  <c r="T362" i="10" l="1"/>
  <c r="C363" i="10"/>
  <c r="T367" i="9"/>
  <c r="C368" i="9"/>
  <c r="H286" i="9"/>
  <c r="Q286" i="9" s="1"/>
  <c r="O285" i="9"/>
  <c r="P285" i="9" s="1"/>
  <c r="N285" i="9"/>
  <c r="Q306" i="5"/>
  <c r="O306" i="5" s="1"/>
  <c r="P306" i="5" s="1"/>
  <c r="T362" i="5"/>
  <c r="C363" i="5"/>
  <c r="O281" i="10"/>
  <c r="P281" i="10" s="1"/>
  <c r="N281" i="10"/>
  <c r="H282" i="10"/>
  <c r="Q282" i="10" s="1"/>
  <c r="I281" i="10"/>
  <c r="H307" i="5"/>
  <c r="Q307" i="5" s="1"/>
  <c r="N306" i="5"/>
  <c r="R358" i="5"/>
  <c r="S357" i="5"/>
  <c r="G357" i="5" s="1"/>
  <c r="J357" i="5" s="1"/>
  <c r="K357" i="5"/>
  <c r="M357" i="5" s="1"/>
  <c r="F358" i="5"/>
  <c r="F358" i="9"/>
  <c r="R358" i="9"/>
  <c r="K357" i="9"/>
  <c r="M357" i="9" s="1"/>
  <c r="S357" i="9"/>
  <c r="G357" i="9" s="1"/>
  <c r="J357" i="9" s="1"/>
  <c r="R358" i="10"/>
  <c r="K357" i="10"/>
  <c r="M357" i="10" s="1"/>
  <c r="S357" i="10"/>
  <c r="G357" i="10" s="1"/>
  <c r="J357" i="10" s="1"/>
  <c r="F358" i="10"/>
  <c r="L356" i="10"/>
  <c r="L357" i="5" l="1"/>
  <c r="H287" i="9"/>
  <c r="Q287" i="9"/>
  <c r="N286" i="9"/>
  <c r="O286" i="9"/>
  <c r="P286" i="9" s="1"/>
  <c r="T363" i="5"/>
  <c r="C364" i="5"/>
  <c r="I286" i="9"/>
  <c r="I287" i="9" s="1"/>
  <c r="C364" i="10"/>
  <c r="T363" i="10"/>
  <c r="L357" i="9"/>
  <c r="C369" i="9"/>
  <c r="T368" i="9"/>
  <c r="L357" i="10"/>
  <c r="O282" i="10"/>
  <c r="P282" i="10" s="1"/>
  <c r="N282" i="10"/>
  <c r="H283" i="10"/>
  <c r="Q283" i="10" s="1"/>
  <c r="I282" i="10"/>
  <c r="H308" i="5"/>
  <c r="Q308" i="5"/>
  <c r="N307" i="5"/>
  <c r="O307" i="5"/>
  <c r="P307" i="5" s="1"/>
  <c r="F359" i="10"/>
  <c r="F359" i="9"/>
  <c r="F359" i="5"/>
  <c r="I307" i="5"/>
  <c r="I308" i="5" s="1"/>
  <c r="R359" i="10"/>
  <c r="K358" i="10"/>
  <c r="M358" i="10" s="1"/>
  <c r="S358" i="10"/>
  <c r="G358" i="10" s="1"/>
  <c r="J358" i="10" s="1"/>
  <c r="K358" i="5"/>
  <c r="M358" i="5" s="1"/>
  <c r="S358" i="5"/>
  <c r="G358" i="5" s="1"/>
  <c r="J358" i="5" s="1"/>
  <c r="R359" i="5"/>
  <c r="R359" i="9"/>
  <c r="K358" i="9"/>
  <c r="M358" i="9" s="1"/>
  <c r="S358" i="9"/>
  <c r="G358" i="9" s="1"/>
  <c r="J358" i="9" s="1"/>
  <c r="C365" i="10" l="1"/>
  <c r="T364" i="10"/>
  <c r="T364" i="5"/>
  <c r="C365" i="5"/>
  <c r="C370" i="9"/>
  <c r="T369" i="9"/>
  <c r="O287" i="9"/>
  <c r="P287" i="9" s="1"/>
  <c r="H288" i="9"/>
  <c r="Q288" i="9" s="1"/>
  <c r="N287" i="9"/>
  <c r="N283" i="10"/>
  <c r="O283" i="10"/>
  <c r="P283" i="10" s="1"/>
  <c r="H284" i="10"/>
  <c r="Q284" i="10" s="1"/>
  <c r="I283" i="10"/>
  <c r="K359" i="10"/>
  <c r="M359" i="10" s="1"/>
  <c r="R360" i="10"/>
  <c r="S359" i="10"/>
  <c r="G359" i="10" s="1"/>
  <c r="J359" i="10" s="1"/>
  <c r="F360" i="10"/>
  <c r="L358" i="9"/>
  <c r="R360" i="5"/>
  <c r="S359" i="5"/>
  <c r="G359" i="5" s="1"/>
  <c r="J359" i="5" s="1"/>
  <c r="K359" i="5"/>
  <c r="M359" i="5" s="1"/>
  <c r="F360" i="5"/>
  <c r="O308" i="5"/>
  <c r="P308" i="5" s="1"/>
  <c r="N308" i="5"/>
  <c r="H309" i="5"/>
  <c r="I309" i="5" s="1"/>
  <c r="Q309" i="5"/>
  <c r="L358" i="5"/>
  <c r="L359" i="5" s="1"/>
  <c r="K359" i="9"/>
  <c r="M359" i="9" s="1"/>
  <c r="R360" i="9"/>
  <c r="S359" i="9"/>
  <c r="G359" i="9" s="1"/>
  <c r="J359" i="9" s="1"/>
  <c r="F360" i="9"/>
  <c r="L358" i="10"/>
  <c r="I288" i="9" l="1"/>
  <c r="C371" i="9"/>
  <c r="T370" i="9"/>
  <c r="C366" i="5"/>
  <c r="T365" i="5"/>
  <c r="H289" i="9"/>
  <c r="Q289" i="9" s="1"/>
  <c r="N288" i="9"/>
  <c r="O288" i="9"/>
  <c r="P288" i="9" s="1"/>
  <c r="C366" i="10"/>
  <c r="T365" i="10"/>
  <c r="H285" i="10"/>
  <c r="Q285" i="10" s="1"/>
  <c r="N284" i="10"/>
  <c r="O284" i="10"/>
  <c r="P284" i="10" s="1"/>
  <c r="L359" i="10"/>
  <c r="I284" i="10"/>
  <c r="I285" i="10" s="1"/>
  <c r="F361" i="9"/>
  <c r="F361" i="10"/>
  <c r="K360" i="9"/>
  <c r="M360" i="9" s="1"/>
  <c r="R361" i="9"/>
  <c r="S360" i="9"/>
  <c r="G360" i="9" s="1"/>
  <c r="J360" i="9" s="1"/>
  <c r="F361" i="5"/>
  <c r="G360" i="5"/>
  <c r="J360" i="5" s="1"/>
  <c r="K360" i="10"/>
  <c r="M360" i="10" s="1"/>
  <c r="R361" i="10"/>
  <c r="S360" i="10"/>
  <c r="G360" i="10" s="1"/>
  <c r="J360" i="10" s="1"/>
  <c r="L359" i="9"/>
  <c r="O309" i="5"/>
  <c r="P309" i="5" s="1"/>
  <c r="N309" i="5"/>
  <c r="H310" i="5"/>
  <c r="Q310" i="5" s="1"/>
  <c r="K360" i="5"/>
  <c r="M360" i="5" s="1"/>
  <c r="S360" i="5"/>
  <c r="R361" i="5"/>
  <c r="H290" i="9" l="1"/>
  <c r="Q290" i="9" s="1"/>
  <c r="N289" i="9"/>
  <c r="O289" i="9"/>
  <c r="P289" i="9" s="1"/>
  <c r="I289" i="9"/>
  <c r="I290" i="9" s="1"/>
  <c r="T366" i="5"/>
  <c r="C367" i="5"/>
  <c r="T366" i="10"/>
  <c r="C367" i="10"/>
  <c r="T371" i="9"/>
  <c r="C372" i="9"/>
  <c r="N285" i="10"/>
  <c r="H286" i="10"/>
  <c r="Q286" i="10" s="1"/>
  <c r="O285" i="10"/>
  <c r="P285" i="10" s="1"/>
  <c r="L360" i="10"/>
  <c r="H311" i="5"/>
  <c r="Q311" i="5" s="1"/>
  <c r="N310" i="5"/>
  <c r="O310" i="5"/>
  <c r="P310" i="5" s="1"/>
  <c r="F362" i="9"/>
  <c r="R362" i="9"/>
  <c r="K361" i="9"/>
  <c r="M361" i="9" s="1"/>
  <c r="S361" i="9"/>
  <c r="G361" i="9" s="1"/>
  <c r="J361" i="9" s="1"/>
  <c r="L360" i="5"/>
  <c r="K361" i="5"/>
  <c r="M361" i="5" s="1"/>
  <c r="S361" i="5"/>
  <c r="G361" i="5" s="1"/>
  <c r="J361" i="5" s="1"/>
  <c r="R362" i="5"/>
  <c r="R362" i="10"/>
  <c r="K361" i="10"/>
  <c r="M361" i="10" s="1"/>
  <c r="S361" i="10"/>
  <c r="G361" i="10" s="1"/>
  <c r="J361" i="10" s="1"/>
  <c r="F362" i="10"/>
  <c r="I310" i="5"/>
  <c r="F362" i="5"/>
  <c r="L360" i="9"/>
  <c r="L361" i="9" l="1"/>
  <c r="C368" i="10"/>
  <c r="T367" i="10"/>
  <c r="T367" i="5"/>
  <c r="C368" i="5"/>
  <c r="C373" i="9"/>
  <c r="T372" i="9"/>
  <c r="I311" i="5"/>
  <c r="H291" i="9"/>
  <c r="Q291" i="9" s="1"/>
  <c r="N290" i="9"/>
  <c r="O290" i="9"/>
  <c r="P290" i="9" s="1"/>
  <c r="I286" i="10"/>
  <c r="O286" i="10"/>
  <c r="P286" i="10" s="1"/>
  <c r="N286" i="10"/>
  <c r="H287" i="10"/>
  <c r="Q287" i="10" s="1"/>
  <c r="L361" i="10"/>
  <c r="H312" i="5"/>
  <c r="N311" i="5"/>
  <c r="O311" i="5"/>
  <c r="P311" i="5" s="1"/>
  <c r="F363" i="10"/>
  <c r="K362" i="5"/>
  <c r="M362" i="5" s="1"/>
  <c r="S362" i="5"/>
  <c r="G362" i="5" s="1"/>
  <c r="J362" i="5" s="1"/>
  <c r="R363" i="5"/>
  <c r="F363" i="9"/>
  <c r="R363" i="10"/>
  <c r="K362" i="10"/>
  <c r="M362" i="10" s="1"/>
  <c r="S362" i="10"/>
  <c r="G362" i="10" s="1"/>
  <c r="J362" i="10" s="1"/>
  <c r="L361" i="5"/>
  <c r="L362" i="5" s="1"/>
  <c r="R363" i="9"/>
  <c r="K362" i="9"/>
  <c r="M362" i="9" s="1"/>
  <c r="S362" i="9"/>
  <c r="G362" i="9" s="1"/>
  <c r="J362" i="9" s="1"/>
  <c r="F363" i="5"/>
  <c r="C374" i="9" l="1"/>
  <c r="T373" i="9"/>
  <c r="I291" i="9"/>
  <c r="T368" i="5"/>
  <c r="C369" i="5"/>
  <c r="I312" i="5"/>
  <c r="O291" i="9"/>
  <c r="P291" i="9" s="1"/>
  <c r="H292" i="9"/>
  <c r="Q292" i="9" s="1"/>
  <c r="N291" i="9"/>
  <c r="C369" i="10"/>
  <c r="T368" i="10"/>
  <c r="H288" i="10"/>
  <c r="Q288" i="10" s="1"/>
  <c r="O287" i="10"/>
  <c r="P287" i="10" s="1"/>
  <c r="N287" i="10"/>
  <c r="I287" i="10"/>
  <c r="R364" i="5"/>
  <c r="S363" i="5"/>
  <c r="G363" i="5" s="1"/>
  <c r="J363" i="5" s="1"/>
  <c r="K363" i="5"/>
  <c r="M363" i="5" s="1"/>
  <c r="F364" i="9"/>
  <c r="Q312" i="5"/>
  <c r="F364" i="10"/>
  <c r="F364" i="5"/>
  <c r="L362" i="9"/>
  <c r="R364" i="9"/>
  <c r="K363" i="9"/>
  <c r="M363" i="9" s="1"/>
  <c r="S363" i="9"/>
  <c r="G363" i="9" s="1"/>
  <c r="J363" i="9" s="1"/>
  <c r="K363" i="10"/>
  <c r="M363" i="10" s="1"/>
  <c r="R364" i="10"/>
  <c r="S363" i="10"/>
  <c r="G363" i="10" s="1"/>
  <c r="J363" i="10" s="1"/>
  <c r="L362" i="10"/>
  <c r="C370" i="5" l="1"/>
  <c r="T369" i="5"/>
  <c r="I292" i="9"/>
  <c r="L363" i="5"/>
  <c r="L363" i="9"/>
  <c r="C370" i="10"/>
  <c r="T369" i="10"/>
  <c r="O292" i="9"/>
  <c r="P292" i="9" s="1"/>
  <c r="N292" i="9"/>
  <c r="H293" i="9"/>
  <c r="Q293" i="9" s="1"/>
  <c r="C375" i="9"/>
  <c r="T374" i="9"/>
  <c r="L363" i="10"/>
  <c r="N288" i="10"/>
  <c r="H289" i="10"/>
  <c r="Q289" i="10" s="1"/>
  <c r="O288" i="10"/>
  <c r="P288" i="10" s="1"/>
  <c r="I288" i="10"/>
  <c r="F365" i="10"/>
  <c r="F365" i="9"/>
  <c r="R365" i="5"/>
  <c r="K364" i="5"/>
  <c r="M364" i="5" s="1"/>
  <c r="S364" i="5"/>
  <c r="K364" i="10"/>
  <c r="M364" i="10" s="1"/>
  <c r="R365" i="10"/>
  <c r="S364" i="10"/>
  <c r="G364" i="10" s="1"/>
  <c r="K364" i="9"/>
  <c r="M364" i="9" s="1"/>
  <c r="R365" i="9"/>
  <c r="S364" i="9"/>
  <c r="F365" i="5"/>
  <c r="O312" i="5"/>
  <c r="P312" i="5" s="1"/>
  <c r="H313" i="5"/>
  <c r="I313" i="5" s="1"/>
  <c r="N312" i="5"/>
  <c r="L364" i="9"/>
  <c r="I293" i="9" l="1"/>
  <c r="L364" i="5"/>
  <c r="O293" i="9"/>
  <c r="P293" i="9" s="1"/>
  <c r="N293" i="9"/>
  <c r="H294" i="9"/>
  <c r="Q294" i="9" s="1"/>
  <c r="T370" i="10"/>
  <c r="C371" i="10"/>
  <c r="T375" i="9"/>
  <c r="C376" i="9"/>
  <c r="T370" i="5"/>
  <c r="C371" i="5"/>
  <c r="N289" i="10"/>
  <c r="O289" i="10"/>
  <c r="P289" i="10" s="1"/>
  <c r="H290" i="10"/>
  <c r="Q290" i="10" s="1"/>
  <c r="I289" i="10"/>
  <c r="J364" i="10"/>
  <c r="AF45" i="10" s="1"/>
  <c r="AE45" i="10"/>
  <c r="K365" i="9"/>
  <c r="M365" i="9" s="1"/>
  <c r="R366" i="9"/>
  <c r="S365" i="9"/>
  <c r="G365" i="9" s="1"/>
  <c r="J365" i="9" s="1"/>
  <c r="F366" i="10"/>
  <c r="V34" i="9"/>
  <c r="AD45" i="9"/>
  <c r="K365" i="10"/>
  <c r="M365" i="10" s="1"/>
  <c r="R366" i="10"/>
  <c r="S365" i="10"/>
  <c r="G365" i="10" s="1"/>
  <c r="J365" i="10" s="1"/>
  <c r="F366" i="5"/>
  <c r="V34" i="10"/>
  <c r="AD45" i="10"/>
  <c r="V34" i="5"/>
  <c r="AD45" i="5"/>
  <c r="M25" i="3" s="1"/>
  <c r="F366" i="9"/>
  <c r="R366" i="5"/>
  <c r="K365" i="5"/>
  <c r="M365" i="5" s="1"/>
  <c r="S365" i="5"/>
  <c r="G365" i="5" s="1"/>
  <c r="J365" i="5" s="1"/>
  <c r="Q313" i="5"/>
  <c r="G364" i="5"/>
  <c r="L364" i="10"/>
  <c r="G364" i="9"/>
  <c r="C372" i="10" l="1"/>
  <c r="T371" i="10"/>
  <c r="N294" i="9"/>
  <c r="O294" i="9"/>
  <c r="P294" i="9" s="1"/>
  <c r="H295" i="9"/>
  <c r="Q295" i="9" s="1"/>
  <c r="T371" i="5"/>
  <c r="C372" i="5"/>
  <c r="L365" i="9"/>
  <c r="I294" i="9"/>
  <c r="C377" i="9"/>
  <c r="T376" i="9"/>
  <c r="H291" i="10"/>
  <c r="Q291" i="10" s="1"/>
  <c r="N290" i="10"/>
  <c r="O290" i="10"/>
  <c r="P290" i="10" s="1"/>
  <c r="I290" i="10"/>
  <c r="L365" i="10"/>
  <c r="J364" i="9"/>
  <c r="AF45" i="9" s="1"/>
  <c r="W33" i="8" s="1"/>
  <c r="AE45" i="9"/>
  <c r="R33" i="8" s="1"/>
  <c r="O313" i="5"/>
  <c r="P313" i="5" s="1"/>
  <c r="N313" i="5"/>
  <c r="H314" i="5"/>
  <c r="I314" i="5" s="1"/>
  <c r="F367" i="5"/>
  <c r="F367" i="10"/>
  <c r="K366" i="10"/>
  <c r="M366" i="10" s="1"/>
  <c r="R367" i="10"/>
  <c r="S366" i="10"/>
  <c r="G366" i="10" s="1"/>
  <c r="J366" i="10" s="1"/>
  <c r="J364" i="5"/>
  <c r="AF45" i="5" s="1"/>
  <c r="O10" i="3" s="1"/>
  <c r="AE45" i="5"/>
  <c r="M10" i="3" s="1"/>
  <c r="R367" i="5"/>
  <c r="K366" i="5"/>
  <c r="M366" i="5" s="1"/>
  <c r="S366" i="5"/>
  <c r="G366" i="5" s="1"/>
  <c r="J366" i="5" s="1"/>
  <c r="F367" i="9"/>
  <c r="R367" i="9"/>
  <c r="K366" i="9"/>
  <c r="M366" i="9" s="1"/>
  <c r="S366" i="9"/>
  <c r="G366" i="9" s="1"/>
  <c r="J366" i="9" s="1"/>
  <c r="L365" i="5"/>
  <c r="L366" i="5" s="1"/>
  <c r="L366" i="9" l="1"/>
  <c r="T372" i="5"/>
  <c r="C373" i="5"/>
  <c r="N295" i="9"/>
  <c r="H296" i="9"/>
  <c r="Q296" i="9" s="1"/>
  <c r="O295" i="9"/>
  <c r="P295" i="9" s="1"/>
  <c r="Q314" i="5"/>
  <c r="H315" i="5" s="1"/>
  <c r="I315" i="5" s="1"/>
  <c r="C378" i="9"/>
  <c r="T377" i="9"/>
  <c r="I295" i="9"/>
  <c r="C373" i="10"/>
  <c r="T372" i="10"/>
  <c r="N291" i="10"/>
  <c r="H292" i="10"/>
  <c r="Q292" i="10" s="1"/>
  <c r="O291" i="10"/>
  <c r="P291" i="10" s="1"/>
  <c r="L366" i="10"/>
  <c r="I291" i="10"/>
  <c r="S367" i="5"/>
  <c r="G367" i="5" s="1"/>
  <c r="J367" i="5" s="1"/>
  <c r="R368" i="5"/>
  <c r="K367" i="5"/>
  <c r="M367" i="5" s="1"/>
  <c r="F368" i="10"/>
  <c r="R368" i="9"/>
  <c r="K367" i="9"/>
  <c r="M367" i="9" s="1"/>
  <c r="S367" i="9"/>
  <c r="G367" i="9" s="1"/>
  <c r="J367" i="9" s="1"/>
  <c r="F368" i="5"/>
  <c r="R368" i="10"/>
  <c r="K367" i="10"/>
  <c r="M367" i="10" s="1"/>
  <c r="S367" i="10"/>
  <c r="G367" i="10" s="1"/>
  <c r="J367" i="10" s="1"/>
  <c r="F368" i="9"/>
  <c r="L367" i="9"/>
  <c r="H297" i="9" l="1"/>
  <c r="Q297" i="9" s="1"/>
  <c r="O296" i="9"/>
  <c r="P296" i="9" s="1"/>
  <c r="N296" i="9"/>
  <c r="C379" i="9"/>
  <c r="T378" i="9"/>
  <c r="O314" i="5"/>
  <c r="P314" i="5" s="1"/>
  <c r="L367" i="5"/>
  <c r="L368" i="5" s="1"/>
  <c r="N314" i="5"/>
  <c r="Q315" i="5"/>
  <c r="C374" i="10"/>
  <c r="T373" i="10"/>
  <c r="I296" i="9"/>
  <c r="I297" i="9" s="1"/>
  <c r="C374" i="5"/>
  <c r="T373" i="5"/>
  <c r="I292" i="10"/>
  <c r="I293" i="10" s="1"/>
  <c r="O292" i="10"/>
  <c r="P292" i="10" s="1"/>
  <c r="H293" i="10"/>
  <c r="Q293" i="10" s="1"/>
  <c r="N292" i="10"/>
  <c r="K368" i="9"/>
  <c r="M368" i="9" s="1"/>
  <c r="R369" i="9"/>
  <c r="S368" i="9"/>
  <c r="G368" i="9" s="1"/>
  <c r="J368" i="9" s="1"/>
  <c r="K368" i="5"/>
  <c r="M368" i="5" s="1"/>
  <c r="S368" i="5"/>
  <c r="G368" i="5" s="1"/>
  <c r="J368" i="5" s="1"/>
  <c r="R369" i="5"/>
  <c r="L367" i="10"/>
  <c r="F369" i="9"/>
  <c r="H316" i="5"/>
  <c r="I316" i="5" s="1"/>
  <c r="Q316" i="5"/>
  <c r="N315" i="5"/>
  <c r="O315" i="5"/>
  <c r="P315" i="5" s="1"/>
  <c r="R369" i="10"/>
  <c r="K368" i="10"/>
  <c r="M368" i="10" s="1"/>
  <c r="S368" i="10"/>
  <c r="G368" i="10" s="1"/>
  <c r="J368" i="10" s="1"/>
  <c r="F369" i="5"/>
  <c r="F369" i="10"/>
  <c r="T374" i="5" l="1"/>
  <c r="C375" i="5"/>
  <c r="T379" i="9"/>
  <c r="C380" i="9"/>
  <c r="T374" i="10"/>
  <c r="C375" i="10"/>
  <c r="L368" i="9"/>
  <c r="I298" i="9"/>
  <c r="O297" i="9"/>
  <c r="P297" i="9" s="1"/>
  <c r="H298" i="9"/>
  <c r="Q298" i="9" s="1"/>
  <c r="N297" i="9"/>
  <c r="H294" i="10"/>
  <c r="Q294" i="10" s="1"/>
  <c r="O293" i="10"/>
  <c r="P293" i="10" s="1"/>
  <c r="N293" i="10"/>
  <c r="F370" i="5"/>
  <c r="L368" i="10"/>
  <c r="K369" i="10"/>
  <c r="M369" i="10" s="1"/>
  <c r="R370" i="10"/>
  <c r="S369" i="10"/>
  <c r="G369" i="10" s="1"/>
  <c r="J369" i="10" s="1"/>
  <c r="F370" i="10"/>
  <c r="N316" i="5"/>
  <c r="H317" i="5"/>
  <c r="I317" i="5" s="1"/>
  <c r="O316" i="5"/>
  <c r="P316" i="5" s="1"/>
  <c r="F370" i="9"/>
  <c r="K369" i="5"/>
  <c r="M369" i="5" s="1"/>
  <c r="S369" i="5"/>
  <c r="G369" i="5" s="1"/>
  <c r="J369" i="5" s="1"/>
  <c r="R370" i="5"/>
  <c r="K369" i="9"/>
  <c r="M369" i="9" s="1"/>
  <c r="R370" i="9"/>
  <c r="S369" i="9"/>
  <c r="G369" i="9" s="1"/>
  <c r="J369" i="9" s="1"/>
  <c r="L369" i="9" l="1"/>
  <c r="Q317" i="5"/>
  <c r="C376" i="10"/>
  <c r="T375" i="10"/>
  <c r="C381" i="9"/>
  <c r="T380" i="9"/>
  <c r="H299" i="9"/>
  <c r="I299" i="9" s="1"/>
  <c r="O298" i="9"/>
  <c r="P298" i="9" s="1"/>
  <c r="N298" i="9"/>
  <c r="T375" i="5"/>
  <c r="C376" i="5"/>
  <c r="I294" i="10"/>
  <c r="N294" i="10"/>
  <c r="H295" i="10"/>
  <c r="Q295" i="10" s="1"/>
  <c r="O294" i="10"/>
  <c r="P294" i="10" s="1"/>
  <c r="F371" i="9"/>
  <c r="F371" i="5"/>
  <c r="L369" i="5"/>
  <c r="L369" i="10"/>
  <c r="K370" i="5"/>
  <c r="M370" i="5" s="1"/>
  <c r="S370" i="5"/>
  <c r="G370" i="5" s="1"/>
  <c r="J370" i="5" s="1"/>
  <c r="R371" i="5"/>
  <c r="R371" i="9"/>
  <c r="K370" i="9"/>
  <c r="M370" i="9" s="1"/>
  <c r="S370" i="9"/>
  <c r="G370" i="9" s="1"/>
  <c r="J370" i="9" s="1"/>
  <c r="N317" i="5"/>
  <c r="H318" i="5"/>
  <c r="I318" i="5" s="1"/>
  <c r="Q318" i="5"/>
  <c r="O317" i="5"/>
  <c r="P317" i="5" s="1"/>
  <c r="F371" i="10"/>
  <c r="K370" i="10"/>
  <c r="M370" i="10" s="1"/>
  <c r="R371" i="10"/>
  <c r="S370" i="10"/>
  <c r="G370" i="10" s="1"/>
  <c r="J370" i="10" s="1"/>
  <c r="Q299" i="9" l="1"/>
  <c r="C382" i="9"/>
  <c r="T381" i="9"/>
  <c r="L370" i="5"/>
  <c r="T376" i="5"/>
  <c r="C377" i="5"/>
  <c r="C377" i="10"/>
  <c r="T376" i="10"/>
  <c r="H296" i="10"/>
  <c r="Q296" i="10" s="1"/>
  <c r="O295" i="10"/>
  <c r="P295" i="10" s="1"/>
  <c r="N295" i="10"/>
  <c r="I295" i="10"/>
  <c r="K371" i="5"/>
  <c r="M371" i="5" s="1"/>
  <c r="S371" i="5"/>
  <c r="G371" i="5" s="1"/>
  <c r="J371" i="5" s="1"/>
  <c r="R372" i="5"/>
  <c r="F372" i="5"/>
  <c r="R372" i="9"/>
  <c r="K371" i="9"/>
  <c r="M371" i="9" s="1"/>
  <c r="S371" i="9"/>
  <c r="G371" i="9" s="1"/>
  <c r="J371" i="9" s="1"/>
  <c r="F372" i="9"/>
  <c r="L370" i="10"/>
  <c r="L370" i="9"/>
  <c r="F372" i="10"/>
  <c r="O318" i="5"/>
  <c r="P318" i="5" s="1"/>
  <c r="H319" i="5"/>
  <c r="Q319" i="5" s="1"/>
  <c r="N318" i="5"/>
  <c r="R372" i="10"/>
  <c r="K371" i="10"/>
  <c r="M371" i="10" s="1"/>
  <c r="S371" i="10"/>
  <c r="G371" i="10" s="1"/>
  <c r="J371" i="10" s="1"/>
  <c r="C378" i="10" l="1"/>
  <c r="T377" i="10"/>
  <c r="C378" i="5"/>
  <c r="T377" i="5"/>
  <c r="I319" i="5"/>
  <c r="C383" i="9"/>
  <c r="T382" i="9"/>
  <c r="L371" i="9"/>
  <c r="H300" i="9"/>
  <c r="N299" i="9"/>
  <c r="O299" i="9"/>
  <c r="P299" i="9" s="1"/>
  <c r="N296" i="10"/>
  <c r="H297" i="10"/>
  <c r="Q297" i="10" s="1"/>
  <c r="O296" i="10"/>
  <c r="P296" i="10" s="1"/>
  <c r="I296" i="10"/>
  <c r="O319" i="5"/>
  <c r="P319" i="5" s="1"/>
  <c r="H320" i="5"/>
  <c r="N319" i="5"/>
  <c r="F373" i="9"/>
  <c r="K372" i="9"/>
  <c r="M372" i="9" s="1"/>
  <c r="R373" i="9"/>
  <c r="S372" i="9"/>
  <c r="G372" i="9" s="1"/>
  <c r="J372" i="9" s="1"/>
  <c r="F373" i="10"/>
  <c r="K372" i="5"/>
  <c r="M372" i="5" s="1"/>
  <c r="S372" i="5"/>
  <c r="G372" i="5" s="1"/>
  <c r="J372" i="5" s="1"/>
  <c r="R373" i="5"/>
  <c r="L371" i="5"/>
  <c r="L371" i="10"/>
  <c r="K372" i="10"/>
  <c r="M372" i="10" s="1"/>
  <c r="R373" i="10"/>
  <c r="S372" i="10"/>
  <c r="G372" i="10" s="1"/>
  <c r="J372" i="10" s="1"/>
  <c r="F373" i="5"/>
  <c r="L372" i="9" l="1"/>
  <c r="L372" i="5"/>
  <c r="T378" i="5"/>
  <c r="C379" i="5"/>
  <c r="T383" i="9"/>
  <c r="C384" i="9"/>
  <c r="I320" i="5"/>
  <c r="Q300" i="9"/>
  <c r="I300" i="9"/>
  <c r="T378" i="10"/>
  <c r="C379" i="10"/>
  <c r="N297" i="10"/>
  <c r="O297" i="10"/>
  <c r="P297" i="10" s="1"/>
  <c r="H298" i="10"/>
  <c r="Q298" i="10" s="1"/>
  <c r="I297" i="10"/>
  <c r="F374" i="10"/>
  <c r="F374" i="5"/>
  <c r="F374" i="9"/>
  <c r="K373" i="10"/>
  <c r="M373" i="10" s="1"/>
  <c r="R374" i="10"/>
  <c r="S373" i="10"/>
  <c r="G373" i="10" s="1"/>
  <c r="J373" i="10" s="1"/>
  <c r="Q320" i="5"/>
  <c r="K373" i="5"/>
  <c r="M373" i="5" s="1"/>
  <c r="S373" i="5"/>
  <c r="G373" i="5" s="1"/>
  <c r="J373" i="5" s="1"/>
  <c r="R374" i="5"/>
  <c r="R374" i="9"/>
  <c r="K373" i="9"/>
  <c r="M373" i="9" s="1"/>
  <c r="S373" i="9"/>
  <c r="G373" i="9" s="1"/>
  <c r="J373" i="9" s="1"/>
  <c r="L372" i="10"/>
  <c r="C385" i="9" l="1"/>
  <c r="T384" i="9"/>
  <c r="H301" i="9"/>
  <c r="Q301" i="9" s="1"/>
  <c r="N300" i="9"/>
  <c r="O300" i="9"/>
  <c r="P300" i="9" s="1"/>
  <c r="I301" i="9"/>
  <c r="T379" i="5"/>
  <c r="C380" i="5"/>
  <c r="C380" i="10"/>
  <c r="T379" i="10"/>
  <c r="N298" i="10"/>
  <c r="H299" i="10"/>
  <c r="Q299" i="10" s="1"/>
  <c r="O298" i="10"/>
  <c r="P298" i="10" s="1"/>
  <c r="I298" i="10"/>
  <c r="L373" i="10"/>
  <c r="R375" i="9"/>
  <c r="K374" i="9"/>
  <c r="M374" i="9" s="1"/>
  <c r="S374" i="9"/>
  <c r="N320" i="5"/>
  <c r="H321" i="5"/>
  <c r="I321" i="5" s="1"/>
  <c r="O320" i="5"/>
  <c r="P320" i="5" s="1"/>
  <c r="K374" i="10"/>
  <c r="M374" i="10" s="1"/>
  <c r="R375" i="10"/>
  <c r="S374" i="10"/>
  <c r="G374" i="10" s="1"/>
  <c r="J374" i="10" s="1"/>
  <c r="F375" i="10"/>
  <c r="F375" i="9"/>
  <c r="G374" i="9"/>
  <c r="J374" i="9" s="1"/>
  <c r="K374" i="5"/>
  <c r="M374" i="5" s="1"/>
  <c r="S374" i="5"/>
  <c r="G374" i="5" s="1"/>
  <c r="J374" i="5" s="1"/>
  <c r="R375" i="5"/>
  <c r="F375" i="5"/>
  <c r="L373" i="9"/>
  <c r="L374" i="9" s="1"/>
  <c r="L373" i="5"/>
  <c r="H302" i="9" l="1"/>
  <c r="Q302" i="9" s="1"/>
  <c r="N301" i="9"/>
  <c r="O301" i="9"/>
  <c r="P301" i="9" s="1"/>
  <c r="I302" i="9"/>
  <c r="C381" i="10"/>
  <c r="T380" i="10"/>
  <c r="T380" i="5"/>
  <c r="C381" i="5"/>
  <c r="C386" i="9"/>
  <c r="T385" i="9"/>
  <c r="O299" i="10"/>
  <c r="P299" i="10" s="1"/>
  <c r="N299" i="10"/>
  <c r="H300" i="10"/>
  <c r="Q300" i="10" s="1"/>
  <c r="I299" i="10"/>
  <c r="K375" i="9"/>
  <c r="M375" i="9" s="1"/>
  <c r="R376" i="9"/>
  <c r="S375" i="9"/>
  <c r="K375" i="10"/>
  <c r="M375" i="10" s="1"/>
  <c r="R376" i="10"/>
  <c r="S375" i="10"/>
  <c r="G375" i="10" s="1"/>
  <c r="J375" i="10" s="1"/>
  <c r="Q321" i="5"/>
  <c r="F376" i="9"/>
  <c r="G375" i="9"/>
  <c r="J375" i="9" s="1"/>
  <c r="L374" i="5"/>
  <c r="K375" i="5"/>
  <c r="M375" i="5" s="1"/>
  <c r="S375" i="5"/>
  <c r="G375" i="5" s="1"/>
  <c r="J375" i="5" s="1"/>
  <c r="R376" i="5"/>
  <c r="F376" i="5"/>
  <c r="F376" i="10"/>
  <c r="L374" i="10"/>
  <c r="O302" i="9" l="1"/>
  <c r="P302" i="9" s="1"/>
  <c r="H303" i="9"/>
  <c r="I303" i="9" s="1"/>
  <c r="N302" i="9"/>
  <c r="Q303" i="9"/>
  <c r="C382" i="10"/>
  <c r="T381" i="10"/>
  <c r="C387" i="9"/>
  <c r="T386" i="9"/>
  <c r="L375" i="5"/>
  <c r="C382" i="5"/>
  <c r="T381" i="5"/>
  <c r="O300" i="10"/>
  <c r="P300" i="10" s="1"/>
  <c r="N300" i="10"/>
  <c r="H301" i="10"/>
  <c r="Q301" i="10" s="1"/>
  <c r="I300" i="10"/>
  <c r="L375" i="10"/>
  <c r="F377" i="5"/>
  <c r="K376" i="10"/>
  <c r="M376" i="10" s="1"/>
  <c r="R377" i="10"/>
  <c r="S376" i="10"/>
  <c r="V35" i="10" s="1"/>
  <c r="F377" i="9"/>
  <c r="R377" i="9"/>
  <c r="K376" i="9"/>
  <c r="M376" i="9" s="1"/>
  <c r="S376" i="9"/>
  <c r="V35" i="9" s="1"/>
  <c r="N321" i="5"/>
  <c r="H322" i="5"/>
  <c r="I322" i="5" s="1"/>
  <c r="O321" i="5"/>
  <c r="P321" i="5" s="1"/>
  <c r="L375" i="9"/>
  <c r="F377" i="10"/>
  <c r="K376" i="5"/>
  <c r="M376" i="5" s="1"/>
  <c r="S376" i="5"/>
  <c r="V35" i="5" s="1"/>
  <c r="R377" i="5"/>
  <c r="L376" i="9" l="1"/>
  <c r="L376" i="5"/>
  <c r="T387" i="9"/>
  <c r="C388" i="9"/>
  <c r="T382" i="10"/>
  <c r="C383" i="10"/>
  <c r="N303" i="9"/>
  <c r="O303" i="9"/>
  <c r="P303" i="9" s="1"/>
  <c r="H304" i="9"/>
  <c r="Q304" i="9" s="1"/>
  <c r="T382" i="5"/>
  <c r="C383" i="5"/>
  <c r="O301" i="10"/>
  <c r="P301" i="10" s="1"/>
  <c r="H302" i="10"/>
  <c r="Q302" i="10" s="1"/>
  <c r="N301" i="10"/>
  <c r="I301" i="10"/>
  <c r="L376" i="10"/>
  <c r="F378" i="10"/>
  <c r="F378" i="9"/>
  <c r="G376" i="5"/>
  <c r="J376" i="5" s="1"/>
  <c r="F378" i="5"/>
  <c r="S377" i="5"/>
  <c r="G377" i="5" s="1"/>
  <c r="J377" i="5" s="1"/>
  <c r="R378" i="5"/>
  <c r="K377" i="5"/>
  <c r="M377" i="5" s="1"/>
  <c r="G376" i="10"/>
  <c r="J376" i="10" s="1"/>
  <c r="Q322" i="5"/>
  <c r="G376" i="9"/>
  <c r="J376" i="9" s="1"/>
  <c r="K377" i="9"/>
  <c r="M377" i="9" s="1"/>
  <c r="R378" i="9"/>
  <c r="S377" i="9"/>
  <c r="G377" i="9" s="1"/>
  <c r="J377" i="9" s="1"/>
  <c r="K377" i="10"/>
  <c r="M377" i="10" s="1"/>
  <c r="R378" i="10"/>
  <c r="S377" i="10"/>
  <c r="G377" i="10" s="1"/>
  <c r="J377" i="10" s="1"/>
  <c r="L377" i="9" l="1"/>
  <c r="L377" i="5"/>
  <c r="N304" i="9"/>
  <c r="O304" i="9"/>
  <c r="P304" i="9" s="1"/>
  <c r="H305" i="9"/>
  <c r="Q305" i="9"/>
  <c r="C384" i="10"/>
  <c r="T383" i="10"/>
  <c r="I304" i="9"/>
  <c r="C389" i="9"/>
  <c r="T388" i="9"/>
  <c r="T383" i="5"/>
  <c r="C384" i="5"/>
  <c r="O302" i="10"/>
  <c r="P302" i="10" s="1"/>
  <c r="N302" i="10"/>
  <c r="H303" i="10"/>
  <c r="Q303" i="10" s="1"/>
  <c r="I302" i="10"/>
  <c r="K378" i="10"/>
  <c r="M378" i="10" s="1"/>
  <c r="R379" i="10"/>
  <c r="S378" i="10"/>
  <c r="G378" i="10" s="1"/>
  <c r="J378" i="10" s="1"/>
  <c r="O322" i="5"/>
  <c r="P322" i="5" s="1"/>
  <c r="H323" i="5"/>
  <c r="I323" i="5" s="1"/>
  <c r="N322" i="5"/>
  <c r="S378" i="5"/>
  <c r="G378" i="5" s="1"/>
  <c r="J378" i="5" s="1"/>
  <c r="R379" i="5"/>
  <c r="K378" i="5"/>
  <c r="M378" i="5" s="1"/>
  <c r="F379" i="10"/>
  <c r="L377" i="10"/>
  <c r="R379" i="9"/>
  <c r="K378" i="9"/>
  <c r="M378" i="9" s="1"/>
  <c r="S378" i="9"/>
  <c r="G378" i="9" s="1"/>
  <c r="J378" i="9" s="1"/>
  <c r="F379" i="5"/>
  <c r="F379" i="9"/>
  <c r="L378" i="5"/>
  <c r="C390" i="9" l="1"/>
  <c r="T389" i="9"/>
  <c r="C385" i="10"/>
  <c r="T384" i="10"/>
  <c r="H306" i="9"/>
  <c r="O305" i="9"/>
  <c r="P305" i="9" s="1"/>
  <c r="N305" i="9"/>
  <c r="Q306" i="9"/>
  <c r="T384" i="5"/>
  <c r="C385" i="5"/>
  <c r="I305" i="9"/>
  <c r="H304" i="10"/>
  <c r="Q304" i="10" s="1"/>
  <c r="O303" i="10"/>
  <c r="P303" i="10" s="1"/>
  <c r="N303" i="10"/>
  <c r="I303" i="10"/>
  <c r="L378" i="10"/>
  <c r="K379" i="5"/>
  <c r="M379" i="5" s="1"/>
  <c r="S379" i="5"/>
  <c r="R380" i="5"/>
  <c r="F380" i="5"/>
  <c r="G379" i="5"/>
  <c r="J379" i="5" s="1"/>
  <c r="K379" i="9"/>
  <c r="M379" i="9" s="1"/>
  <c r="R380" i="9"/>
  <c r="S379" i="9"/>
  <c r="G379" i="9" s="1"/>
  <c r="J379" i="9" s="1"/>
  <c r="K379" i="10"/>
  <c r="M379" i="10" s="1"/>
  <c r="R380" i="10"/>
  <c r="S379" i="10"/>
  <c r="G379" i="10" s="1"/>
  <c r="J379" i="10" s="1"/>
  <c r="L378" i="9"/>
  <c r="Q323" i="5"/>
  <c r="F380" i="10"/>
  <c r="F380" i="9"/>
  <c r="I306" i="9" l="1"/>
  <c r="O306" i="9"/>
  <c r="P306" i="9" s="1"/>
  <c r="H307" i="9"/>
  <c r="I307" i="9" s="1"/>
  <c r="N306" i="9"/>
  <c r="C386" i="5"/>
  <c r="T385" i="5"/>
  <c r="L379" i="9"/>
  <c r="C386" i="10"/>
  <c r="T385" i="10"/>
  <c r="C391" i="9"/>
  <c r="T390" i="9"/>
  <c r="O304" i="10"/>
  <c r="P304" i="10" s="1"/>
  <c r="N304" i="10"/>
  <c r="H305" i="10"/>
  <c r="Q305" i="10" s="1"/>
  <c r="I304" i="10"/>
  <c r="F381" i="9"/>
  <c r="K380" i="10"/>
  <c r="M380" i="10" s="1"/>
  <c r="R381" i="10"/>
  <c r="S380" i="10"/>
  <c r="G380" i="10" s="1"/>
  <c r="J380" i="10" s="1"/>
  <c r="F381" i="10"/>
  <c r="O323" i="5"/>
  <c r="P323" i="5" s="1"/>
  <c r="H324" i="5"/>
  <c r="I324" i="5" s="1"/>
  <c r="N323" i="5"/>
  <c r="R381" i="9"/>
  <c r="K380" i="9"/>
  <c r="M380" i="9" s="1"/>
  <c r="S380" i="9"/>
  <c r="G380" i="9" s="1"/>
  <c r="J380" i="9" s="1"/>
  <c r="K380" i="5"/>
  <c r="M380" i="5" s="1"/>
  <c r="S380" i="5"/>
  <c r="G380" i="5" s="1"/>
  <c r="J380" i="5" s="1"/>
  <c r="R381" i="5"/>
  <c r="L379" i="5"/>
  <c r="L380" i="5" s="1"/>
  <c r="F381" i="5"/>
  <c r="L379" i="10"/>
  <c r="T386" i="10" l="1"/>
  <c r="C387" i="10"/>
  <c r="T386" i="5"/>
  <c r="C387" i="5"/>
  <c r="T391" i="9"/>
  <c r="C392" i="9"/>
  <c r="Q307" i="9"/>
  <c r="Q324" i="5"/>
  <c r="O324" i="5" s="1"/>
  <c r="P324" i="5" s="1"/>
  <c r="O305" i="10"/>
  <c r="P305" i="10" s="1"/>
  <c r="N305" i="10"/>
  <c r="H306" i="10"/>
  <c r="Q306" i="10" s="1"/>
  <c r="L380" i="10"/>
  <c r="I305" i="10"/>
  <c r="I306" i="10" s="1"/>
  <c r="F382" i="10"/>
  <c r="K381" i="10"/>
  <c r="M381" i="10" s="1"/>
  <c r="R382" i="10"/>
  <c r="S381" i="10"/>
  <c r="G381" i="10" s="1"/>
  <c r="J381" i="10" s="1"/>
  <c r="F382" i="5"/>
  <c r="F382" i="9"/>
  <c r="K381" i="9"/>
  <c r="M381" i="9" s="1"/>
  <c r="R382" i="9"/>
  <c r="S381" i="9"/>
  <c r="G381" i="9" s="1"/>
  <c r="J381" i="9" s="1"/>
  <c r="K381" i="5"/>
  <c r="M381" i="5" s="1"/>
  <c r="S381" i="5"/>
  <c r="G381" i="5" s="1"/>
  <c r="J381" i="5" s="1"/>
  <c r="R382" i="5"/>
  <c r="L380" i="9"/>
  <c r="L381" i="9" l="1"/>
  <c r="H308" i="9"/>
  <c r="I308" i="9" s="1"/>
  <c r="O307" i="9"/>
  <c r="P307" i="9" s="1"/>
  <c r="N307" i="9"/>
  <c r="Q308" i="9"/>
  <c r="T387" i="5"/>
  <c r="C388" i="5"/>
  <c r="N324" i="5"/>
  <c r="C393" i="9"/>
  <c r="T392" i="9"/>
  <c r="C388" i="10"/>
  <c r="T387" i="10"/>
  <c r="H325" i="5"/>
  <c r="I325" i="5" s="1"/>
  <c r="H307" i="10"/>
  <c r="Q307" i="10" s="1"/>
  <c r="N306" i="10"/>
  <c r="O306" i="10"/>
  <c r="P306" i="10" s="1"/>
  <c r="L381" i="10"/>
  <c r="K382" i="5"/>
  <c r="M382" i="5" s="1"/>
  <c r="S382" i="5"/>
  <c r="G382" i="5" s="1"/>
  <c r="J382" i="5" s="1"/>
  <c r="R383" i="5"/>
  <c r="F383" i="5"/>
  <c r="L381" i="5"/>
  <c r="F383" i="10"/>
  <c r="R383" i="9"/>
  <c r="K382" i="9"/>
  <c r="M382" i="9" s="1"/>
  <c r="S382" i="9"/>
  <c r="G382" i="9" s="1"/>
  <c r="J382" i="9" s="1"/>
  <c r="F383" i="9"/>
  <c r="K382" i="10"/>
  <c r="M382" i="10" s="1"/>
  <c r="R383" i="10"/>
  <c r="S382" i="10"/>
  <c r="G382" i="10" s="1"/>
  <c r="J382" i="10" s="1"/>
  <c r="Q325" i="5" l="1"/>
  <c r="O325" i="5" s="1"/>
  <c r="P325" i="5" s="1"/>
  <c r="T388" i="5"/>
  <c r="C389" i="5"/>
  <c r="H326" i="5"/>
  <c r="N325" i="5"/>
  <c r="N308" i="9"/>
  <c r="O308" i="9"/>
  <c r="P308" i="9" s="1"/>
  <c r="H309" i="9"/>
  <c r="I309" i="9" s="1"/>
  <c r="C389" i="10"/>
  <c r="T388" i="10"/>
  <c r="C394" i="9"/>
  <c r="T393" i="9"/>
  <c r="O307" i="10"/>
  <c r="P307" i="10" s="1"/>
  <c r="N307" i="10"/>
  <c r="H308" i="10"/>
  <c r="Q308" i="10" s="1"/>
  <c r="I307" i="10"/>
  <c r="L382" i="10"/>
  <c r="F384" i="9"/>
  <c r="K383" i="5"/>
  <c r="M383" i="5" s="1"/>
  <c r="S383" i="5"/>
  <c r="G383" i="5" s="1"/>
  <c r="J383" i="5" s="1"/>
  <c r="R384" i="5"/>
  <c r="L382" i="5"/>
  <c r="L383" i="5" s="1"/>
  <c r="F384" i="5"/>
  <c r="K383" i="10"/>
  <c r="M383" i="10" s="1"/>
  <c r="R384" i="10"/>
  <c r="S383" i="10"/>
  <c r="G383" i="10" s="1"/>
  <c r="J383" i="10" s="1"/>
  <c r="K383" i="9"/>
  <c r="M383" i="9" s="1"/>
  <c r="R384" i="9"/>
  <c r="S383" i="9"/>
  <c r="G383" i="9" s="1"/>
  <c r="J383" i="9" s="1"/>
  <c r="F384" i="10"/>
  <c r="L382" i="9"/>
  <c r="L383" i="9" l="1"/>
  <c r="Q309" i="9"/>
  <c r="C395" i="9"/>
  <c r="T394" i="9"/>
  <c r="Q326" i="5"/>
  <c r="I326" i="5"/>
  <c r="C390" i="5"/>
  <c r="T389" i="5"/>
  <c r="C390" i="10"/>
  <c r="T389" i="10"/>
  <c r="O308" i="10"/>
  <c r="P308" i="10" s="1"/>
  <c r="H309" i="10"/>
  <c r="Q309" i="10" s="1"/>
  <c r="N308" i="10"/>
  <c r="I308" i="10"/>
  <c r="L383" i="10"/>
  <c r="F385" i="10"/>
  <c r="F385" i="5"/>
  <c r="K384" i="5"/>
  <c r="M384" i="5" s="1"/>
  <c r="S384" i="5"/>
  <c r="G384" i="5" s="1"/>
  <c r="J384" i="5" s="1"/>
  <c r="R385" i="5"/>
  <c r="F385" i="9"/>
  <c r="L384" i="9"/>
  <c r="K384" i="10"/>
  <c r="M384" i="10" s="1"/>
  <c r="R385" i="10"/>
  <c r="S384" i="10"/>
  <c r="G384" i="10" s="1"/>
  <c r="J384" i="10" s="1"/>
  <c r="R385" i="9"/>
  <c r="K384" i="9"/>
  <c r="M384" i="9" s="1"/>
  <c r="S384" i="9"/>
  <c r="G384" i="9" s="1"/>
  <c r="J384" i="9" s="1"/>
  <c r="L384" i="5"/>
  <c r="T390" i="10" l="1"/>
  <c r="C391" i="10"/>
  <c r="T390" i="5"/>
  <c r="C391" i="5"/>
  <c r="O326" i="5"/>
  <c r="P326" i="5" s="1"/>
  <c r="H327" i="5"/>
  <c r="Q327" i="5" s="1"/>
  <c r="N326" i="5"/>
  <c r="T395" i="9"/>
  <c r="C396" i="9"/>
  <c r="H310" i="9"/>
  <c r="I310" i="9" s="1"/>
  <c r="O309" i="9"/>
  <c r="P309" i="9" s="1"/>
  <c r="N309" i="9"/>
  <c r="H310" i="10"/>
  <c r="Q310" i="10" s="1"/>
  <c r="N309" i="10"/>
  <c r="O309" i="10"/>
  <c r="P309" i="10" s="1"/>
  <c r="I309" i="10"/>
  <c r="L384" i="10"/>
  <c r="F386" i="10"/>
  <c r="K385" i="5"/>
  <c r="M385" i="5" s="1"/>
  <c r="S385" i="5"/>
  <c r="G385" i="5" s="1"/>
  <c r="J385" i="5" s="1"/>
  <c r="R386" i="5"/>
  <c r="F386" i="5"/>
  <c r="L385" i="5"/>
  <c r="R386" i="9"/>
  <c r="K385" i="9"/>
  <c r="M385" i="9" s="1"/>
  <c r="S385" i="9"/>
  <c r="G385" i="9" s="1"/>
  <c r="J385" i="9" s="1"/>
  <c r="R386" i="10"/>
  <c r="K385" i="10"/>
  <c r="M385" i="10" s="1"/>
  <c r="S385" i="10"/>
  <c r="G385" i="10" s="1"/>
  <c r="J385" i="10" s="1"/>
  <c r="F386" i="9"/>
  <c r="H328" i="5" l="1"/>
  <c r="O327" i="5"/>
  <c r="P327" i="5" s="1"/>
  <c r="N327" i="5"/>
  <c r="Q328" i="5"/>
  <c r="I327" i="5"/>
  <c r="I328" i="5" s="1"/>
  <c r="Q310" i="9"/>
  <c r="T391" i="5"/>
  <c r="C392" i="5"/>
  <c r="C397" i="9"/>
  <c r="T396" i="9"/>
  <c r="C392" i="10"/>
  <c r="T391" i="10"/>
  <c r="H311" i="10"/>
  <c r="Q311" i="10" s="1"/>
  <c r="O310" i="10"/>
  <c r="P310" i="10" s="1"/>
  <c r="N310" i="10"/>
  <c r="I310" i="10"/>
  <c r="K386" i="9"/>
  <c r="M386" i="9" s="1"/>
  <c r="R387" i="9"/>
  <c r="S386" i="9"/>
  <c r="K386" i="5"/>
  <c r="M386" i="5" s="1"/>
  <c r="S386" i="5"/>
  <c r="G386" i="5" s="1"/>
  <c r="J386" i="5" s="1"/>
  <c r="R387" i="5"/>
  <c r="L385" i="9"/>
  <c r="L386" i="9" s="1"/>
  <c r="F387" i="10"/>
  <c r="F387" i="5"/>
  <c r="F387" i="9"/>
  <c r="G386" i="9"/>
  <c r="J386" i="9" s="1"/>
  <c r="K386" i="10"/>
  <c r="M386" i="10" s="1"/>
  <c r="R387" i="10"/>
  <c r="S386" i="10"/>
  <c r="G386" i="10" s="1"/>
  <c r="J386" i="10" s="1"/>
  <c r="L385" i="10"/>
  <c r="H329" i="5" l="1"/>
  <c r="Q329" i="5" s="1"/>
  <c r="N328" i="5"/>
  <c r="O328" i="5"/>
  <c r="P328" i="5" s="1"/>
  <c r="N310" i="9"/>
  <c r="H311" i="9"/>
  <c r="O310" i="9"/>
  <c r="P310" i="9" s="1"/>
  <c r="I329" i="5"/>
  <c r="C393" i="10"/>
  <c r="T392" i="10"/>
  <c r="C398" i="9"/>
  <c r="T397" i="9"/>
  <c r="T392" i="5"/>
  <c r="C393" i="5"/>
  <c r="H312" i="10"/>
  <c r="Q312" i="10" s="1"/>
  <c r="O311" i="10"/>
  <c r="P311" i="10" s="1"/>
  <c r="N311" i="10"/>
  <c r="I311" i="10"/>
  <c r="K387" i="10"/>
  <c r="M387" i="10" s="1"/>
  <c r="R388" i="10"/>
  <c r="S387" i="10"/>
  <c r="G387" i="10" s="1"/>
  <c r="J387" i="10" s="1"/>
  <c r="F388" i="10"/>
  <c r="L386" i="5"/>
  <c r="L387" i="5" s="1"/>
  <c r="F388" i="9"/>
  <c r="K387" i="5"/>
  <c r="M387" i="5" s="1"/>
  <c r="S387" i="5"/>
  <c r="G387" i="5" s="1"/>
  <c r="J387" i="5" s="1"/>
  <c r="R388" i="5"/>
  <c r="K387" i="9"/>
  <c r="M387" i="9" s="1"/>
  <c r="R388" i="9"/>
  <c r="S387" i="9"/>
  <c r="G387" i="9" s="1"/>
  <c r="J387" i="9" s="1"/>
  <c r="F388" i="5"/>
  <c r="L386" i="10"/>
  <c r="O329" i="5" l="1"/>
  <c r="P329" i="5" s="1"/>
  <c r="N329" i="5"/>
  <c r="H330" i="5"/>
  <c r="I330" i="5" s="1"/>
  <c r="Q311" i="9"/>
  <c r="I311" i="9"/>
  <c r="C399" i="9"/>
  <c r="T398" i="9"/>
  <c r="C394" i="5"/>
  <c r="T393" i="5"/>
  <c r="C394" i="10"/>
  <c r="T393" i="10"/>
  <c r="N312" i="10"/>
  <c r="H313" i="10"/>
  <c r="Q313" i="10" s="1"/>
  <c r="O312" i="10"/>
  <c r="P312" i="10" s="1"/>
  <c r="L387" i="10"/>
  <c r="I312" i="10"/>
  <c r="F389" i="10"/>
  <c r="K388" i="5"/>
  <c r="M388" i="5" s="1"/>
  <c r="S388" i="5"/>
  <c r="V36" i="5" s="1"/>
  <c r="R389" i="5"/>
  <c r="F389" i="9"/>
  <c r="F389" i="5"/>
  <c r="R389" i="10"/>
  <c r="K388" i="10"/>
  <c r="M388" i="10" s="1"/>
  <c r="S388" i="10"/>
  <c r="V36" i="10" s="1"/>
  <c r="L388" i="5"/>
  <c r="L387" i="9"/>
  <c r="K388" i="9"/>
  <c r="M388" i="9" s="1"/>
  <c r="R389" i="9"/>
  <c r="S388" i="9"/>
  <c r="V36" i="9" s="1"/>
  <c r="N311" i="9" l="1"/>
  <c r="O311" i="9"/>
  <c r="P311" i="9" s="1"/>
  <c r="H312" i="9"/>
  <c r="Q312" i="9" s="1"/>
  <c r="I312" i="9"/>
  <c r="T394" i="10"/>
  <c r="C395" i="10"/>
  <c r="T399" i="9"/>
  <c r="C400" i="9"/>
  <c r="T394" i="5"/>
  <c r="C395" i="5"/>
  <c r="Q330" i="5"/>
  <c r="L388" i="10"/>
  <c r="I313" i="10"/>
  <c r="O313" i="10"/>
  <c r="P313" i="10" s="1"/>
  <c r="H314" i="10"/>
  <c r="Q314" i="10" s="1"/>
  <c r="N313" i="10"/>
  <c r="F390" i="5"/>
  <c r="K389" i="5"/>
  <c r="M389" i="5" s="1"/>
  <c r="S389" i="5"/>
  <c r="G389" i="5" s="1"/>
  <c r="J389" i="5" s="1"/>
  <c r="R390" i="5"/>
  <c r="F390" i="10"/>
  <c r="K389" i="9"/>
  <c r="M389" i="9" s="1"/>
  <c r="R390" i="9"/>
  <c r="S389" i="9"/>
  <c r="G389" i="9" s="1"/>
  <c r="J389" i="9" s="1"/>
  <c r="F390" i="9"/>
  <c r="L389" i="5"/>
  <c r="G388" i="5"/>
  <c r="J388" i="5" s="1"/>
  <c r="G388" i="10"/>
  <c r="J388" i="10" s="1"/>
  <c r="K389" i="10"/>
  <c r="M389" i="10" s="1"/>
  <c r="R390" i="10"/>
  <c r="S389" i="10"/>
  <c r="G389" i="10" s="1"/>
  <c r="J389" i="10" s="1"/>
  <c r="G388" i="9"/>
  <c r="J388" i="9" s="1"/>
  <c r="L388" i="9"/>
  <c r="H331" i="5" l="1"/>
  <c r="I331" i="5" s="1"/>
  <c r="O330" i="5"/>
  <c r="P330" i="5" s="1"/>
  <c r="N330" i="5"/>
  <c r="I313" i="9"/>
  <c r="L389" i="9"/>
  <c r="T395" i="5"/>
  <c r="C396" i="5"/>
  <c r="N312" i="9"/>
  <c r="O312" i="9"/>
  <c r="P312" i="9" s="1"/>
  <c r="H313" i="9"/>
  <c r="Q313" i="9" s="1"/>
  <c r="C396" i="10"/>
  <c r="T395" i="10"/>
  <c r="C401" i="9"/>
  <c r="T400" i="9"/>
  <c r="H315" i="10"/>
  <c r="Q315" i="10" s="1"/>
  <c r="O314" i="10"/>
  <c r="P314" i="10" s="1"/>
  <c r="N314" i="10"/>
  <c r="I314" i="10"/>
  <c r="L389" i="10"/>
  <c r="K390" i="5"/>
  <c r="M390" i="5" s="1"/>
  <c r="S390" i="5"/>
  <c r="G390" i="5" s="1"/>
  <c r="J390" i="5" s="1"/>
  <c r="R391" i="5"/>
  <c r="F391" i="5"/>
  <c r="F391" i="10"/>
  <c r="R391" i="10"/>
  <c r="K390" i="10"/>
  <c r="M390" i="10" s="1"/>
  <c r="S390" i="10"/>
  <c r="G390" i="10" s="1"/>
  <c r="J390" i="10" s="1"/>
  <c r="K390" i="9"/>
  <c r="M390" i="9" s="1"/>
  <c r="R391" i="9"/>
  <c r="S390" i="9"/>
  <c r="G390" i="9" s="1"/>
  <c r="J390" i="9" s="1"/>
  <c r="F391" i="9"/>
  <c r="L390" i="9" l="1"/>
  <c r="T396" i="5"/>
  <c r="C397" i="5"/>
  <c r="C402" i="9"/>
  <c r="T401" i="9"/>
  <c r="C397" i="10"/>
  <c r="T396" i="10"/>
  <c r="H314" i="9"/>
  <c r="Q314" i="9" s="1"/>
  <c r="N313" i="9"/>
  <c r="O313" i="9"/>
  <c r="P313" i="9" s="1"/>
  <c r="Q331" i="5"/>
  <c r="O315" i="10"/>
  <c r="P315" i="10" s="1"/>
  <c r="H316" i="10"/>
  <c r="Q316" i="10" s="1"/>
  <c r="N315" i="10"/>
  <c r="I315" i="10"/>
  <c r="L390" i="10"/>
  <c r="F392" i="10"/>
  <c r="K391" i="9"/>
  <c r="M391" i="9" s="1"/>
  <c r="R392" i="9"/>
  <c r="S391" i="9"/>
  <c r="G391" i="9" s="1"/>
  <c r="J391" i="9" s="1"/>
  <c r="F392" i="9"/>
  <c r="K391" i="5"/>
  <c r="M391" i="5" s="1"/>
  <c r="S391" i="5"/>
  <c r="G391" i="5" s="1"/>
  <c r="J391" i="5" s="1"/>
  <c r="R392" i="5"/>
  <c r="L390" i="5"/>
  <c r="K391" i="10"/>
  <c r="M391" i="10" s="1"/>
  <c r="R392" i="10"/>
  <c r="S391" i="10"/>
  <c r="G391" i="10" s="1"/>
  <c r="J391" i="10" s="1"/>
  <c r="F392" i="5"/>
  <c r="L391" i="5" l="1"/>
  <c r="N314" i="9"/>
  <c r="H315" i="9"/>
  <c r="Q315" i="9" s="1"/>
  <c r="O314" i="9"/>
  <c r="P314" i="9" s="1"/>
  <c r="N331" i="5"/>
  <c r="O331" i="5"/>
  <c r="P331" i="5" s="1"/>
  <c r="H332" i="5"/>
  <c r="I332" i="5" s="1"/>
  <c r="I314" i="9"/>
  <c r="I315" i="9" s="1"/>
  <c r="C403" i="9"/>
  <c r="T402" i="9"/>
  <c r="C398" i="10"/>
  <c r="T397" i="10"/>
  <c r="T397" i="5"/>
  <c r="C398" i="5"/>
  <c r="I316" i="10"/>
  <c r="L391" i="10"/>
  <c r="O316" i="10"/>
  <c r="P316" i="10" s="1"/>
  <c r="H317" i="10"/>
  <c r="N316" i="10"/>
  <c r="F393" i="10"/>
  <c r="K392" i="9"/>
  <c r="M392" i="9" s="1"/>
  <c r="R393" i="9"/>
  <c r="S392" i="9"/>
  <c r="G392" i="9" s="1"/>
  <c r="J392" i="9" s="1"/>
  <c r="F393" i="5"/>
  <c r="R393" i="10"/>
  <c r="K392" i="10"/>
  <c r="M392" i="10" s="1"/>
  <c r="S392" i="10"/>
  <c r="G392" i="10" s="1"/>
  <c r="J392" i="10" s="1"/>
  <c r="L391" i="9"/>
  <c r="L392" i="9" s="1"/>
  <c r="K392" i="5"/>
  <c r="M392" i="5" s="1"/>
  <c r="S392" i="5"/>
  <c r="G392" i="5" s="1"/>
  <c r="J392" i="5" s="1"/>
  <c r="R393" i="5"/>
  <c r="F393" i="9"/>
  <c r="T403" i="9" l="1"/>
  <c r="C404" i="9"/>
  <c r="T398" i="10"/>
  <c r="C399" i="10"/>
  <c r="T398" i="5"/>
  <c r="C399" i="5"/>
  <c r="Q332" i="5"/>
  <c r="H316" i="9"/>
  <c r="Q316" i="9" s="1"/>
  <c r="N315" i="9"/>
  <c r="O315" i="9"/>
  <c r="P315" i="9" s="1"/>
  <c r="I317" i="10"/>
  <c r="Q317" i="10"/>
  <c r="K393" i="9"/>
  <c r="M393" i="9" s="1"/>
  <c r="R394" i="9"/>
  <c r="S393" i="9"/>
  <c r="G393" i="9" s="1"/>
  <c r="J393" i="9" s="1"/>
  <c r="F394" i="10"/>
  <c r="F394" i="5"/>
  <c r="K393" i="10"/>
  <c r="M393" i="10" s="1"/>
  <c r="R394" i="10"/>
  <c r="S393" i="10"/>
  <c r="G393" i="10" s="1"/>
  <c r="J393" i="10" s="1"/>
  <c r="L392" i="10"/>
  <c r="K393" i="5"/>
  <c r="M393" i="5" s="1"/>
  <c r="S393" i="5"/>
  <c r="G393" i="5" s="1"/>
  <c r="J393" i="5" s="1"/>
  <c r="R394" i="5"/>
  <c r="F394" i="9"/>
  <c r="L392" i="5"/>
  <c r="I316" i="9" l="1"/>
  <c r="T399" i="5"/>
  <c r="C400" i="5"/>
  <c r="H333" i="5"/>
  <c r="I333" i="5" s="1"/>
  <c r="O332" i="5"/>
  <c r="P332" i="5" s="1"/>
  <c r="N332" i="5"/>
  <c r="C400" i="10"/>
  <c r="T399" i="10"/>
  <c r="L393" i="9"/>
  <c r="L393" i="5"/>
  <c r="C405" i="9"/>
  <c r="T404" i="9"/>
  <c r="H317" i="9"/>
  <c r="Q317" i="9" s="1"/>
  <c r="N316" i="9"/>
  <c r="O316" i="9"/>
  <c r="P316" i="9" s="1"/>
  <c r="N317" i="10"/>
  <c r="O317" i="10"/>
  <c r="P317" i="10" s="1"/>
  <c r="H318" i="10"/>
  <c r="I318" i="10" s="1"/>
  <c r="L393" i="10"/>
  <c r="K394" i="5"/>
  <c r="M394" i="5" s="1"/>
  <c r="S394" i="5"/>
  <c r="R395" i="5"/>
  <c r="F395" i="9"/>
  <c r="K394" i="9"/>
  <c r="M394" i="9" s="1"/>
  <c r="R395" i="9"/>
  <c r="S394" i="9"/>
  <c r="G394" i="9" s="1"/>
  <c r="J394" i="9" s="1"/>
  <c r="R395" i="10"/>
  <c r="K394" i="10"/>
  <c r="M394" i="10" s="1"/>
  <c r="S394" i="10"/>
  <c r="G394" i="10" s="1"/>
  <c r="J394" i="10" s="1"/>
  <c r="G394" i="5"/>
  <c r="J394" i="5" s="1"/>
  <c r="F395" i="5"/>
  <c r="F395" i="10"/>
  <c r="L394" i="5" l="1"/>
  <c r="L394" i="9"/>
  <c r="C401" i="10"/>
  <c r="T400" i="10"/>
  <c r="N317" i="9"/>
  <c r="H318" i="9"/>
  <c r="Q318" i="9" s="1"/>
  <c r="O317" i="9"/>
  <c r="P317" i="9" s="1"/>
  <c r="C406" i="9"/>
  <c r="T405" i="9"/>
  <c r="Q333" i="5"/>
  <c r="T400" i="5"/>
  <c r="C401" i="5"/>
  <c r="I317" i="9"/>
  <c r="Q318" i="10"/>
  <c r="L394" i="10"/>
  <c r="F396" i="9"/>
  <c r="F396" i="5"/>
  <c r="K395" i="10"/>
  <c r="M395" i="10" s="1"/>
  <c r="R396" i="10"/>
  <c r="S395" i="10"/>
  <c r="G395" i="10" s="1"/>
  <c r="J395" i="10" s="1"/>
  <c r="F396" i="10"/>
  <c r="K395" i="9"/>
  <c r="M395" i="9" s="1"/>
  <c r="R396" i="9"/>
  <c r="S395" i="9"/>
  <c r="G395" i="9" s="1"/>
  <c r="J395" i="9" s="1"/>
  <c r="K395" i="5"/>
  <c r="M395" i="5" s="1"/>
  <c r="S395" i="5"/>
  <c r="G395" i="5" s="1"/>
  <c r="J395" i="5" s="1"/>
  <c r="R396" i="5"/>
  <c r="N318" i="9" l="1"/>
  <c r="O318" i="9"/>
  <c r="P318" i="9" s="1"/>
  <c r="H319" i="9"/>
  <c r="Q319" i="9" s="1"/>
  <c r="C407" i="9"/>
  <c r="T406" i="9"/>
  <c r="I318" i="9"/>
  <c r="I319" i="9" s="1"/>
  <c r="T401" i="5"/>
  <c r="C402" i="5"/>
  <c r="O333" i="5"/>
  <c r="P333" i="5" s="1"/>
  <c r="N333" i="5"/>
  <c r="H334" i="5"/>
  <c r="C402" i="10"/>
  <c r="T401" i="10"/>
  <c r="O318" i="10"/>
  <c r="P318" i="10" s="1"/>
  <c r="H319" i="10"/>
  <c r="N318" i="10"/>
  <c r="F397" i="9"/>
  <c r="R397" i="10"/>
  <c r="K396" i="10"/>
  <c r="M396" i="10" s="1"/>
  <c r="S396" i="10"/>
  <c r="G396" i="10" s="1"/>
  <c r="J396" i="10" s="1"/>
  <c r="K396" i="5"/>
  <c r="M396" i="5" s="1"/>
  <c r="S396" i="5"/>
  <c r="G396" i="5" s="1"/>
  <c r="J396" i="5" s="1"/>
  <c r="R397" i="5"/>
  <c r="K396" i="9"/>
  <c r="M396" i="9" s="1"/>
  <c r="R397" i="9"/>
  <c r="S396" i="9"/>
  <c r="G396" i="9" s="1"/>
  <c r="J396" i="9" s="1"/>
  <c r="F397" i="5"/>
  <c r="F397" i="10"/>
  <c r="L395" i="10"/>
  <c r="L395" i="9"/>
  <c r="L395" i="5"/>
  <c r="L396" i="9" l="1"/>
  <c r="T402" i="5"/>
  <c r="C403" i="5"/>
  <c r="H320" i="9"/>
  <c r="I320" i="9" s="1"/>
  <c r="N319" i="9"/>
  <c r="O319" i="9"/>
  <c r="P319" i="9" s="1"/>
  <c r="Q320" i="9"/>
  <c r="T402" i="10"/>
  <c r="C403" i="10"/>
  <c r="C408" i="9"/>
  <c r="T407" i="9"/>
  <c r="L396" i="5"/>
  <c r="Q334" i="5"/>
  <c r="I334" i="5"/>
  <c r="Q319" i="10"/>
  <c r="I319" i="10"/>
  <c r="L396" i="10"/>
  <c r="F398" i="9"/>
  <c r="F398" i="10"/>
  <c r="K397" i="9"/>
  <c r="M397" i="9" s="1"/>
  <c r="R398" i="9"/>
  <c r="S397" i="9"/>
  <c r="G397" i="9" s="1"/>
  <c r="J397" i="9" s="1"/>
  <c r="K397" i="10"/>
  <c r="M397" i="10" s="1"/>
  <c r="R398" i="10"/>
  <c r="S397" i="10"/>
  <c r="G397" i="10" s="1"/>
  <c r="J397" i="10" s="1"/>
  <c r="F398" i="5"/>
  <c r="K397" i="5"/>
  <c r="M397" i="5" s="1"/>
  <c r="R398" i="5"/>
  <c r="S397" i="5"/>
  <c r="G397" i="5" s="1"/>
  <c r="J397" i="5" s="1"/>
  <c r="L397" i="9"/>
  <c r="N320" i="9" l="1"/>
  <c r="O320" i="9"/>
  <c r="P320" i="9" s="1"/>
  <c r="H321" i="9"/>
  <c r="Q321" i="9" s="1"/>
  <c r="N334" i="5"/>
  <c r="H335" i="5"/>
  <c r="Q335" i="5" s="1"/>
  <c r="O334" i="5"/>
  <c r="P334" i="5" s="1"/>
  <c r="C409" i="9"/>
  <c r="T408" i="9"/>
  <c r="T403" i="5"/>
  <c r="C404" i="5"/>
  <c r="C404" i="10"/>
  <c r="T403" i="10"/>
  <c r="O319" i="10"/>
  <c r="P319" i="10" s="1"/>
  <c r="N319" i="10"/>
  <c r="H320" i="10"/>
  <c r="Q320" i="10" s="1"/>
  <c r="K398" i="10"/>
  <c r="M398" i="10" s="1"/>
  <c r="R399" i="10"/>
  <c r="S398" i="10"/>
  <c r="G398" i="10" s="1"/>
  <c r="J398" i="10" s="1"/>
  <c r="F399" i="9"/>
  <c r="L397" i="5"/>
  <c r="K398" i="5"/>
  <c r="M398" i="5" s="1"/>
  <c r="R399" i="5"/>
  <c r="S398" i="5"/>
  <c r="G398" i="5" s="1"/>
  <c r="J398" i="5" s="1"/>
  <c r="R399" i="9"/>
  <c r="K398" i="9"/>
  <c r="M398" i="9" s="1"/>
  <c r="S398" i="9"/>
  <c r="G398" i="9" s="1"/>
  <c r="J398" i="9" s="1"/>
  <c r="F399" i="5"/>
  <c r="F399" i="10"/>
  <c r="L397" i="10"/>
  <c r="C405" i="10" l="1"/>
  <c r="T404" i="10"/>
  <c r="I335" i="5"/>
  <c r="N321" i="9"/>
  <c r="H322" i="9"/>
  <c r="O321" i="9"/>
  <c r="P321" i="9" s="1"/>
  <c r="Q322" i="9"/>
  <c r="H336" i="5"/>
  <c r="Q336" i="5" s="1"/>
  <c r="N335" i="5"/>
  <c r="O335" i="5"/>
  <c r="P335" i="5" s="1"/>
  <c r="T404" i="5"/>
  <c r="C405" i="5"/>
  <c r="C410" i="9"/>
  <c r="T409" i="9"/>
  <c r="I321" i="9"/>
  <c r="I322" i="9" s="1"/>
  <c r="O320" i="10"/>
  <c r="P320" i="10" s="1"/>
  <c r="H321" i="10"/>
  <c r="N320" i="10"/>
  <c r="I320" i="10"/>
  <c r="L398" i="10"/>
  <c r="K399" i="9"/>
  <c r="M399" i="9" s="1"/>
  <c r="R400" i="9"/>
  <c r="S399" i="9"/>
  <c r="G399" i="9" s="1"/>
  <c r="J399" i="9" s="1"/>
  <c r="F400" i="9"/>
  <c r="F400" i="5"/>
  <c r="K399" i="5"/>
  <c r="M399" i="5" s="1"/>
  <c r="R400" i="5"/>
  <c r="S399" i="5"/>
  <c r="G399" i="5" s="1"/>
  <c r="J399" i="5" s="1"/>
  <c r="F400" i="10"/>
  <c r="K399" i="10"/>
  <c r="M399" i="10" s="1"/>
  <c r="R400" i="10"/>
  <c r="S399" i="10"/>
  <c r="G399" i="10" s="1"/>
  <c r="J399" i="10" s="1"/>
  <c r="L398" i="9"/>
  <c r="L399" i="9" s="1"/>
  <c r="L398" i="5"/>
  <c r="L399" i="5" s="1"/>
  <c r="N322" i="9" l="1"/>
  <c r="O322" i="9"/>
  <c r="P322" i="9" s="1"/>
  <c r="H323" i="9"/>
  <c r="Q323" i="9" s="1"/>
  <c r="C411" i="9"/>
  <c r="T410" i="9"/>
  <c r="O336" i="5"/>
  <c r="P336" i="5" s="1"/>
  <c r="N336" i="5"/>
  <c r="H337" i="5"/>
  <c r="Q337" i="5"/>
  <c r="T405" i="5"/>
  <c r="C406" i="5"/>
  <c r="C406" i="10"/>
  <c r="T405" i="10"/>
  <c r="I336" i="5"/>
  <c r="L399" i="10"/>
  <c r="I321" i="10"/>
  <c r="Q321" i="10"/>
  <c r="F401" i="9"/>
  <c r="K400" i="5"/>
  <c r="M400" i="5" s="1"/>
  <c r="R401" i="5"/>
  <c r="S400" i="5"/>
  <c r="V37" i="5" s="1"/>
  <c r="L400" i="5"/>
  <c r="K400" i="10"/>
  <c r="M400" i="10" s="1"/>
  <c r="R401" i="10"/>
  <c r="S400" i="10"/>
  <c r="V37" i="10" s="1"/>
  <c r="F401" i="5"/>
  <c r="R401" i="9"/>
  <c r="K400" i="9"/>
  <c r="M400" i="9" s="1"/>
  <c r="S400" i="9"/>
  <c r="V37" i="9" s="1"/>
  <c r="F401" i="10"/>
  <c r="H324" i="9" l="1"/>
  <c r="Q324" i="9" s="1"/>
  <c r="O323" i="9"/>
  <c r="P323" i="9" s="1"/>
  <c r="N323" i="9"/>
  <c r="T406" i="5"/>
  <c r="C407" i="5"/>
  <c r="C412" i="9"/>
  <c r="T411" i="9"/>
  <c r="C407" i="10"/>
  <c r="T406" i="10"/>
  <c r="I323" i="9"/>
  <c r="I324" i="9" s="1"/>
  <c r="O337" i="5"/>
  <c r="P337" i="5" s="1"/>
  <c r="H338" i="5"/>
  <c r="N337" i="5"/>
  <c r="Q338" i="5"/>
  <c r="I337" i="5"/>
  <c r="L400" i="10"/>
  <c r="H322" i="10"/>
  <c r="I322" i="10" s="1"/>
  <c r="N321" i="10"/>
  <c r="O321" i="10"/>
  <c r="P321" i="10" s="1"/>
  <c r="G400" i="10"/>
  <c r="J400" i="10" s="1"/>
  <c r="F402" i="5"/>
  <c r="F402" i="9"/>
  <c r="L400" i="9"/>
  <c r="G400" i="5"/>
  <c r="J400" i="5" s="1"/>
  <c r="G400" i="9"/>
  <c r="J400" i="9" s="1"/>
  <c r="F402" i="10"/>
  <c r="K401" i="9"/>
  <c r="M401" i="9" s="1"/>
  <c r="R402" i="9"/>
  <c r="S401" i="9"/>
  <c r="G401" i="9" s="1"/>
  <c r="J401" i="9" s="1"/>
  <c r="K401" i="10"/>
  <c r="M401" i="10" s="1"/>
  <c r="R402" i="10"/>
  <c r="S401" i="10"/>
  <c r="G401" i="10" s="1"/>
  <c r="J401" i="10" s="1"/>
  <c r="S401" i="5"/>
  <c r="G401" i="5" s="1"/>
  <c r="J401" i="5" s="1"/>
  <c r="R402" i="5"/>
  <c r="K401" i="5"/>
  <c r="M401" i="5" s="1"/>
  <c r="T407" i="5" l="1"/>
  <c r="C408" i="5"/>
  <c r="C413" i="9"/>
  <c r="T412" i="9"/>
  <c r="I338" i="5"/>
  <c r="I325" i="9"/>
  <c r="O338" i="5"/>
  <c r="P338" i="5" s="1"/>
  <c r="N338" i="5"/>
  <c r="H339" i="5"/>
  <c r="O324" i="9"/>
  <c r="P324" i="9" s="1"/>
  <c r="H325" i="9"/>
  <c r="Q325" i="9" s="1"/>
  <c r="N324" i="9"/>
  <c r="C408" i="10"/>
  <c r="T407" i="10"/>
  <c r="Q322" i="10"/>
  <c r="R403" i="9"/>
  <c r="K402" i="9"/>
  <c r="M402" i="9" s="1"/>
  <c r="S402" i="9"/>
  <c r="G402" i="9" s="1"/>
  <c r="J402" i="9" s="1"/>
  <c r="F403" i="5"/>
  <c r="L401" i="5"/>
  <c r="L401" i="10"/>
  <c r="K402" i="10"/>
  <c r="M402" i="10" s="1"/>
  <c r="R403" i="10"/>
  <c r="S402" i="10"/>
  <c r="G402" i="10" s="1"/>
  <c r="J402" i="10" s="1"/>
  <c r="F403" i="10"/>
  <c r="L401" i="9"/>
  <c r="S402" i="5"/>
  <c r="G402" i="5" s="1"/>
  <c r="J402" i="5" s="1"/>
  <c r="R403" i="5"/>
  <c r="K402" i="5"/>
  <c r="M402" i="5" s="1"/>
  <c r="F403" i="9"/>
  <c r="I339" i="5" l="1"/>
  <c r="C409" i="10"/>
  <c r="T408" i="10"/>
  <c r="C414" i="9"/>
  <c r="T413" i="9"/>
  <c r="H326" i="9"/>
  <c r="I326" i="9" s="1"/>
  <c r="O325" i="9"/>
  <c r="P325" i="9" s="1"/>
  <c r="Q326" i="9"/>
  <c r="N325" i="9"/>
  <c r="Q339" i="5"/>
  <c r="T408" i="5"/>
  <c r="C409" i="5"/>
  <c r="L402" i="9"/>
  <c r="O322" i="10"/>
  <c r="P322" i="10" s="1"/>
  <c r="H323" i="10"/>
  <c r="I323" i="10" s="1"/>
  <c r="N322" i="10"/>
  <c r="L402" i="10"/>
  <c r="S403" i="5"/>
  <c r="G403" i="5" s="1"/>
  <c r="J403" i="5" s="1"/>
  <c r="R404" i="5"/>
  <c r="K403" i="5"/>
  <c r="M403" i="5" s="1"/>
  <c r="K403" i="9"/>
  <c r="M403" i="9" s="1"/>
  <c r="R404" i="9"/>
  <c r="S403" i="9"/>
  <c r="G403" i="9" s="1"/>
  <c r="J403" i="9" s="1"/>
  <c r="F404" i="10"/>
  <c r="F404" i="5"/>
  <c r="K403" i="10"/>
  <c r="M403" i="10" s="1"/>
  <c r="R404" i="10"/>
  <c r="S403" i="10"/>
  <c r="G403" i="10" s="1"/>
  <c r="J403" i="10" s="1"/>
  <c r="L402" i="5"/>
  <c r="F404" i="9"/>
  <c r="L403" i="9"/>
  <c r="H327" i="9" l="1"/>
  <c r="I327" i="9" s="1"/>
  <c r="N326" i="9"/>
  <c r="O326" i="9"/>
  <c r="P326" i="9" s="1"/>
  <c r="Q327" i="9"/>
  <c r="T409" i="5"/>
  <c r="C410" i="5"/>
  <c r="C415" i="9"/>
  <c r="T414" i="9"/>
  <c r="L403" i="5"/>
  <c r="O339" i="5"/>
  <c r="P339" i="5" s="1"/>
  <c r="H340" i="5"/>
  <c r="I340" i="5" s="1"/>
  <c r="N339" i="5"/>
  <c r="C410" i="10"/>
  <c r="T409" i="10"/>
  <c r="Q323" i="10"/>
  <c r="L403" i="10"/>
  <c r="F405" i="9"/>
  <c r="F405" i="10"/>
  <c r="K404" i="10"/>
  <c r="M404" i="10" s="1"/>
  <c r="R405" i="10"/>
  <c r="S404" i="10"/>
  <c r="G404" i="10" s="1"/>
  <c r="J404" i="10" s="1"/>
  <c r="R405" i="9"/>
  <c r="K404" i="9"/>
  <c r="M404" i="9" s="1"/>
  <c r="S404" i="9"/>
  <c r="G404" i="9" s="1"/>
  <c r="J404" i="9" s="1"/>
  <c r="F405" i="5"/>
  <c r="S404" i="5"/>
  <c r="G404" i="5" s="1"/>
  <c r="J404" i="5" s="1"/>
  <c r="K404" i="5"/>
  <c r="M404" i="5" s="1"/>
  <c r="R405" i="5"/>
  <c r="L404" i="9"/>
  <c r="L404" i="5" l="1"/>
  <c r="C416" i="9"/>
  <c r="T415" i="9"/>
  <c r="C411" i="10"/>
  <c r="T410" i="10"/>
  <c r="T410" i="5"/>
  <c r="C411" i="5"/>
  <c r="Q340" i="5"/>
  <c r="H328" i="9"/>
  <c r="I328" i="9" s="1"/>
  <c r="N327" i="9"/>
  <c r="O327" i="9"/>
  <c r="P327" i="9" s="1"/>
  <c r="L404" i="10"/>
  <c r="O323" i="10"/>
  <c r="P323" i="10" s="1"/>
  <c r="H324" i="10"/>
  <c r="I324" i="10" s="1"/>
  <c r="N323" i="10"/>
  <c r="Q324" i="10"/>
  <c r="F406" i="9"/>
  <c r="K405" i="10"/>
  <c r="M405" i="10" s="1"/>
  <c r="R406" i="10"/>
  <c r="S405" i="10"/>
  <c r="G405" i="10" s="1"/>
  <c r="J405" i="10" s="1"/>
  <c r="F406" i="10"/>
  <c r="S405" i="5"/>
  <c r="G405" i="5" s="1"/>
  <c r="J405" i="5" s="1"/>
  <c r="R406" i="5"/>
  <c r="K405" i="5"/>
  <c r="M405" i="5" s="1"/>
  <c r="F406" i="5"/>
  <c r="R406" i="9"/>
  <c r="K405" i="9"/>
  <c r="M405" i="9" s="1"/>
  <c r="S405" i="9"/>
  <c r="G405" i="9" s="1"/>
  <c r="J405" i="9" s="1"/>
  <c r="L405" i="10"/>
  <c r="H341" i="5" l="1"/>
  <c r="O340" i="5"/>
  <c r="P340" i="5" s="1"/>
  <c r="N340" i="5"/>
  <c r="C417" i="9"/>
  <c r="T416" i="9"/>
  <c r="T411" i="5"/>
  <c r="C412" i="5"/>
  <c r="Q328" i="9"/>
  <c r="C412" i="10"/>
  <c r="T411" i="10"/>
  <c r="L405" i="5"/>
  <c r="O324" i="10"/>
  <c r="P324" i="10" s="1"/>
  <c r="H325" i="10"/>
  <c r="I325" i="10" s="1"/>
  <c r="N324" i="10"/>
  <c r="R407" i="9"/>
  <c r="K406" i="9"/>
  <c r="M406" i="9" s="1"/>
  <c r="S406" i="9"/>
  <c r="G406" i="9" s="1"/>
  <c r="J406" i="9" s="1"/>
  <c r="F407" i="9"/>
  <c r="L405" i="9"/>
  <c r="S406" i="5"/>
  <c r="G406" i="5" s="1"/>
  <c r="J406" i="5" s="1"/>
  <c r="K406" i="5"/>
  <c r="M406" i="5" s="1"/>
  <c r="R407" i="5"/>
  <c r="F407" i="5"/>
  <c r="F407" i="10"/>
  <c r="K406" i="10"/>
  <c r="M406" i="10" s="1"/>
  <c r="R407" i="10"/>
  <c r="S406" i="10"/>
  <c r="G406" i="10" s="1"/>
  <c r="J406" i="10" s="1"/>
  <c r="L406" i="5"/>
  <c r="L406" i="9" l="1"/>
  <c r="H329" i="9"/>
  <c r="I329" i="9" s="1"/>
  <c r="O328" i="9"/>
  <c r="P328" i="9" s="1"/>
  <c r="N328" i="9"/>
  <c r="C413" i="10"/>
  <c r="T412" i="10"/>
  <c r="Q341" i="5"/>
  <c r="I341" i="5"/>
  <c r="T412" i="5"/>
  <c r="C413" i="5"/>
  <c r="C418" i="9"/>
  <c r="T417" i="9"/>
  <c r="L406" i="10"/>
  <c r="Q325" i="10"/>
  <c r="R408" i="9"/>
  <c r="K407" i="9"/>
  <c r="M407" i="9" s="1"/>
  <c r="S407" i="9"/>
  <c r="G407" i="9" s="1"/>
  <c r="J407" i="9" s="1"/>
  <c r="R408" i="10"/>
  <c r="K407" i="10"/>
  <c r="M407" i="10" s="1"/>
  <c r="S407" i="10"/>
  <c r="G407" i="10" s="1"/>
  <c r="J407" i="10" s="1"/>
  <c r="F408" i="10"/>
  <c r="S407" i="5"/>
  <c r="G407" i="5" s="1"/>
  <c r="J407" i="5" s="1"/>
  <c r="R408" i="5"/>
  <c r="K407" i="5"/>
  <c r="M407" i="5" s="1"/>
  <c r="F408" i="5"/>
  <c r="F408" i="9"/>
  <c r="N341" i="5" l="1"/>
  <c r="H342" i="5"/>
  <c r="I342" i="5" s="1"/>
  <c r="Q342" i="5"/>
  <c r="O341" i="5"/>
  <c r="P341" i="5" s="1"/>
  <c r="C419" i="9"/>
  <c r="T418" i="9"/>
  <c r="C414" i="10"/>
  <c r="T413" i="10"/>
  <c r="T413" i="5"/>
  <c r="C414" i="5"/>
  <c r="L407" i="9"/>
  <c r="Q329" i="9"/>
  <c r="N325" i="10"/>
  <c r="O325" i="10"/>
  <c r="P325" i="10" s="1"/>
  <c r="H326" i="10"/>
  <c r="I326" i="10" s="1"/>
  <c r="L407" i="10"/>
  <c r="S408" i="5"/>
  <c r="G408" i="5" s="1"/>
  <c r="J408" i="5" s="1"/>
  <c r="K408" i="5"/>
  <c r="M408" i="5" s="1"/>
  <c r="R409" i="5"/>
  <c r="R409" i="9"/>
  <c r="K408" i="9"/>
  <c r="M408" i="9" s="1"/>
  <c r="S408" i="9"/>
  <c r="G408" i="9" s="1"/>
  <c r="J408" i="9" s="1"/>
  <c r="K408" i="10"/>
  <c r="M408" i="10" s="1"/>
  <c r="R409" i="10"/>
  <c r="S408" i="10"/>
  <c r="G408" i="10" s="1"/>
  <c r="J408" i="10" s="1"/>
  <c r="F409" i="10"/>
  <c r="F409" i="9"/>
  <c r="F409" i="5"/>
  <c r="L407" i="5"/>
  <c r="L408" i="9" l="1"/>
  <c r="H330" i="9"/>
  <c r="I330" i="9" s="1"/>
  <c r="N329" i="9"/>
  <c r="Q330" i="9"/>
  <c r="O329" i="9"/>
  <c r="P329" i="9" s="1"/>
  <c r="H343" i="5"/>
  <c r="I343" i="5" s="1"/>
  <c r="N342" i="5"/>
  <c r="O342" i="5"/>
  <c r="P342" i="5" s="1"/>
  <c r="T414" i="5"/>
  <c r="C415" i="5"/>
  <c r="L408" i="5"/>
  <c r="C415" i="10"/>
  <c r="T414" i="10"/>
  <c r="C420" i="9"/>
  <c r="T419" i="9"/>
  <c r="Q326" i="10"/>
  <c r="F410" i="5"/>
  <c r="F410" i="10"/>
  <c r="R410" i="10"/>
  <c r="K409" i="10"/>
  <c r="M409" i="10" s="1"/>
  <c r="S409" i="10"/>
  <c r="G409" i="10" s="1"/>
  <c r="J409" i="10" s="1"/>
  <c r="F410" i="9"/>
  <c r="S409" i="5"/>
  <c r="G409" i="5" s="1"/>
  <c r="J409" i="5" s="1"/>
  <c r="R410" i="5"/>
  <c r="K409" i="5"/>
  <c r="M409" i="5" s="1"/>
  <c r="L408" i="10"/>
  <c r="R410" i="9"/>
  <c r="K409" i="9"/>
  <c r="M409" i="9" s="1"/>
  <c r="S409" i="9"/>
  <c r="G409" i="9" s="1"/>
  <c r="J409" i="9" s="1"/>
  <c r="Q343" i="5" l="1"/>
  <c r="O343" i="5"/>
  <c r="P343" i="5" s="1"/>
  <c r="H344" i="5"/>
  <c r="Q344" i="5" s="1"/>
  <c r="N343" i="5"/>
  <c r="C416" i="10"/>
  <c r="T415" i="10"/>
  <c r="N330" i="9"/>
  <c r="O330" i="9"/>
  <c r="P330" i="9" s="1"/>
  <c r="H331" i="9"/>
  <c r="Q331" i="9" s="1"/>
  <c r="T415" i="5"/>
  <c r="C416" i="5"/>
  <c r="C421" i="9"/>
  <c r="T420" i="9"/>
  <c r="I331" i="9"/>
  <c r="H327" i="10"/>
  <c r="I327" i="10" s="1"/>
  <c r="N326" i="10"/>
  <c r="O326" i="10"/>
  <c r="P326" i="10" s="1"/>
  <c r="K410" i="9"/>
  <c r="M410" i="9" s="1"/>
  <c r="R411" i="9"/>
  <c r="S410" i="9"/>
  <c r="G410" i="9" s="1"/>
  <c r="J410" i="9" s="1"/>
  <c r="S410" i="5"/>
  <c r="G410" i="5" s="1"/>
  <c r="J410" i="5" s="1"/>
  <c r="K410" i="5"/>
  <c r="M410" i="5" s="1"/>
  <c r="R411" i="5"/>
  <c r="R411" i="10"/>
  <c r="K410" i="10"/>
  <c r="M410" i="10" s="1"/>
  <c r="S410" i="10"/>
  <c r="G410" i="10" s="1"/>
  <c r="J410" i="10" s="1"/>
  <c r="F411" i="5"/>
  <c r="L409" i="10"/>
  <c r="L409" i="5"/>
  <c r="F411" i="9"/>
  <c r="F411" i="10"/>
  <c r="L409" i="9"/>
  <c r="I344" i="5" l="1"/>
  <c r="C417" i="10"/>
  <c r="T416" i="10"/>
  <c r="O344" i="5"/>
  <c r="P344" i="5" s="1"/>
  <c r="N344" i="5"/>
  <c r="H345" i="5"/>
  <c r="Q345" i="5" s="1"/>
  <c r="C422" i="9"/>
  <c r="T421" i="9"/>
  <c r="L410" i="10"/>
  <c r="T416" i="5"/>
  <c r="C417" i="5"/>
  <c r="N331" i="9"/>
  <c r="O331" i="9"/>
  <c r="P331" i="9" s="1"/>
  <c r="H332" i="9"/>
  <c r="Q332" i="9" s="1"/>
  <c r="I345" i="5"/>
  <c r="Q327" i="10"/>
  <c r="F412" i="5"/>
  <c r="K411" i="9"/>
  <c r="M411" i="9" s="1"/>
  <c r="R412" i="9"/>
  <c r="S411" i="9"/>
  <c r="G411" i="9" s="1"/>
  <c r="J411" i="9" s="1"/>
  <c r="F412" i="10"/>
  <c r="S411" i="5"/>
  <c r="G411" i="5" s="1"/>
  <c r="J411" i="5" s="1"/>
  <c r="R412" i="5"/>
  <c r="K411" i="5"/>
  <c r="M411" i="5" s="1"/>
  <c r="F412" i="9"/>
  <c r="R412" i="10"/>
  <c r="K411" i="10"/>
  <c r="M411" i="10" s="1"/>
  <c r="S411" i="10"/>
  <c r="G411" i="10" s="1"/>
  <c r="J411" i="10" s="1"/>
  <c r="L410" i="5"/>
  <c r="L410" i="9"/>
  <c r="H333" i="9" l="1"/>
  <c r="Q333" i="9"/>
  <c r="N332" i="9"/>
  <c r="O332" i="9"/>
  <c r="P332" i="9" s="1"/>
  <c r="T417" i="5"/>
  <c r="C418" i="5"/>
  <c r="H346" i="5"/>
  <c r="Q346" i="5" s="1"/>
  <c r="N345" i="5"/>
  <c r="O345" i="5"/>
  <c r="P345" i="5" s="1"/>
  <c r="C418" i="10"/>
  <c r="T417" i="10"/>
  <c r="C423" i="9"/>
  <c r="T422" i="9"/>
  <c r="L411" i="9"/>
  <c r="L412" i="9" s="1"/>
  <c r="I332" i="9"/>
  <c r="I333" i="9" s="1"/>
  <c r="N327" i="10"/>
  <c r="O327" i="10"/>
  <c r="P327" i="10" s="1"/>
  <c r="H328" i="10"/>
  <c r="I328" i="10" s="1"/>
  <c r="R413" i="10"/>
  <c r="K412" i="10"/>
  <c r="M412" i="10" s="1"/>
  <c r="S412" i="10"/>
  <c r="V38" i="10" s="1"/>
  <c r="S412" i="5"/>
  <c r="V38" i="5" s="1"/>
  <c r="K412" i="5"/>
  <c r="M412" i="5" s="1"/>
  <c r="R413" i="5"/>
  <c r="L411" i="10"/>
  <c r="F413" i="10"/>
  <c r="F413" i="9"/>
  <c r="K412" i="9"/>
  <c r="M412" i="9" s="1"/>
  <c r="R413" i="9"/>
  <c r="S412" i="9"/>
  <c r="V38" i="9" s="1"/>
  <c r="F413" i="5"/>
  <c r="L411" i="5"/>
  <c r="G412" i="5" l="1"/>
  <c r="J412" i="5" s="1"/>
  <c r="O346" i="5"/>
  <c r="P346" i="5" s="1"/>
  <c r="H347" i="5"/>
  <c r="Q347" i="5" s="1"/>
  <c r="N346" i="5"/>
  <c r="T418" i="5"/>
  <c r="C419" i="5"/>
  <c r="C419" i="10"/>
  <c r="T418" i="10"/>
  <c r="C424" i="9"/>
  <c r="T423" i="9"/>
  <c r="I346" i="5"/>
  <c r="I347" i="5" s="1"/>
  <c r="L412" i="5"/>
  <c r="H334" i="9"/>
  <c r="I334" i="9" s="1"/>
  <c r="N333" i="9"/>
  <c r="Q334" i="9"/>
  <c r="O333" i="9"/>
  <c r="P333" i="9" s="1"/>
  <c r="Q328" i="10"/>
  <c r="G412" i="10"/>
  <c r="J412" i="10" s="1"/>
  <c r="F414" i="9"/>
  <c r="K413" i="9"/>
  <c r="M413" i="9" s="1"/>
  <c r="R414" i="9"/>
  <c r="S413" i="9"/>
  <c r="G413" i="9" s="1"/>
  <c r="J413" i="9" s="1"/>
  <c r="K413" i="10"/>
  <c r="M413" i="10" s="1"/>
  <c r="R414" i="10"/>
  <c r="S413" i="10"/>
  <c r="G413" i="10" s="1"/>
  <c r="J413" i="10" s="1"/>
  <c r="K413" i="5"/>
  <c r="M413" i="5" s="1"/>
  <c r="R414" i="5"/>
  <c r="S413" i="5"/>
  <c r="G413" i="5" s="1"/>
  <c r="J413" i="5" s="1"/>
  <c r="F414" i="5"/>
  <c r="F414" i="10"/>
  <c r="G412" i="9"/>
  <c r="J412" i="9" s="1"/>
  <c r="L412" i="10"/>
  <c r="L413" i="5" l="1"/>
  <c r="N347" i="5"/>
  <c r="O347" i="5"/>
  <c r="P347" i="5" s="1"/>
  <c r="H348" i="5"/>
  <c r="Q348" i="5" s="1"/>
  <c r="H335" i="9"/>
  <c r="Q335" i="9" s="1"/>
  <c r="N334" i="9"/>
  <c r="O334" i="9"/>
  <c r="P334" i="9" s="1"/>
  <c r="T419" i="5"/>
  <c r="C420" i="5"/>
  <c r="L413" i="9"/>
  <c r="I348" i="5"/>
  <c r="C420" i="10"/>
  <c r="T419" i="10"/>
  <c r="C425" i="9"/>
  <c r="T424" i="9"/>
  <c r="O328" i="10"/>
  <c r="P328" i="10" s="1"/>
  <c r="H329" i="10"/>
  <c r="I329" i="10" s="1"/>
  <c r="N328" i="10"/>
  <c r="L413" i="10"/>
  <c r="F415" i="9"/>
  <c r="F415" i="5"/>
  <c r="R415" i="10"/>
  <c r="K414" i="10"/>
  <c r="M414" i="10" s="1"/>
  <c r="S414" i="10"/>
  <c r="G414" i="10" s="1"/>
  <c r="J414" i="10" s="1"/>
  <c r="F415" i="10"/>
  <c r="K414" i="5"/>
  <c r="M414" i="5" s="1"/>
  <c r="R415" i="5"/>
  <c r="S414" i="5"/>
  <c r="G414" i="5" s="1"/>
  <c r="J414" i="5" s="1"/>
  <c r="K414" i="9"/>
  <c r="M414" i="9" s="1"/>
  <c r="R415" i="9"/>
  <c r="S414" i="9"/>
  <c r="G414" i="9" s="1"/>
  <c r="J414" i="9" s="1"/>
  <c r="L414" i="5" l="1"/>
  <c r="I335" i="9"/>
  <c r="H336" i="9"/>
  <c r="Q336" i="9"/>
  <c r="O335" i="9"/>
  <c r="P335" i="9" s="1"/>
  <c r="N335" i="9"/>
  <c r="C426" i="9"/>
  <c r="T425" i="9"/>
  <c r="C421" i="10"/>
  <c r="T420" i="10"/>
  <c r="H349" i="5"/>
  <c r="Q349" i="5" s="1"/>
  <c r="O348" i="5"/>
  <c r="P348" i="5" s="1"/>
  <c r="N348" i="5"/>
  <c r="I336" i="9"/>
  <c r="T420" i="5"/>
  <c r="C421" i="5"/>
  <c r="Q329" i="10"/>
  <c r="F416" i="10"/>
  <c r="K415" i="10"/>
  <c r="M415" i="10" s="1"/>
  <c r="R416" i="10"/>
  <c r="S415" i="10"/>
  <c r="G415" i="10" s="1"/>
  <c r="J415" i="10" s="1"/>
  <c r="F416" i="5"/>
  <c r="F416" i="9"/>
  <c r="L414" i="10"/>
  <c r="K415" i="9"/>
  <c r="M415" i="9" s="1"/>
  <c r="R416" i="9"/>
  <c r="S415" i="9"/>
  <c r="G415" i="9" s="1"/>
  <c r="J415" i="9" s="1"/>
  <c r="K415" i="5"/>
  <c r="M415" i="5" s="1"/>
  <c r="R416" i="5"/>
  <c r="S415" i="5"/>
  <c r="G415" i="5" s="1"/>
  <c r="J415" i="5" s="1"/>
  <c r="L414" i="9"/>
  <c r="T421" i="5" l="1"/>
  <c r="C422" i="5"/>
  <c r="C422" i="10"/>
  <c r="T421" i="10"/>
  <c r="L415" i="9"/>
  <c r="C427" i="9"/>
  <c r="T426" i="9"/>
  <c r="O349" i="5"/>
  <c r="P349" i="5" s="1"/>
  <c r="N349" i="5"/>
  <c r="H350" i="5"/>
  <c r="Q350" i="5" s="1"/>
  <c r="H337" i="9"/>
  <c r="I337" i="9" s="1"/>
  <c r="N336" i="9"/>
  <c r="O336" i="9"/>
  <c r="P336" i="9" s="1"/>
  <c r="Q337" i="9"/>
  <c r="I349" i="5"/>
  <c r="N329" i="10"/>
  <c r="O329" i="10"/>
  <c r="P329" i="10" s="1"/>
  <c r="H330" i="10"/>
  <c r="L415" i="10"/>
  <c r="R417" i="10"/>
  <c r="K416" i="10"/>
  <c r="M416" i="10" s="1"/>
  <c r="S416" i="10"/>
  <c r="G416" i="10" s="1"/>
  <c r="J416" i="10" s="1"/>
  <c r="K416" i="5"/>
  <c r="M416" i="5" s="1"/>
  <c r="R417" i="5"/>
  <c r="S416" i="5"/>
  <c r="G416" i="5" s="1"/>
  <c r="J416" i="5" s="1"/>
  <c r="F417" i="10"/>
  <c r="K416" i="9"/>
  <c r="M416" i="9" s="1"/>
  <c r="R417" i="9"/>
  <c r="S416" i="9"/>
  <c r="G416" i="9" s="1"/>
  <c r="J416" i="9" s="1"/>
  <c r="F417" i="9"/>
  <c r="F417" i="5"/>
  <c r="L415" i="5"/>
  <c r="H351" i="5" l="1"/>
  <c r="O350" i="5"/>
  <c r="P350" i="5" s="1"/>
  <c r="N350" i="5"/>
  <c r="O337" i="9"/>
  <c r="P337" i="9" s="1"/>
  <c r="H338" i="9"/>
  <c r="I338" i="9" s="1"/>
  <c r="N337" i="9"/>
  <c r="Q338" i="9"/>
  <c r="C428" i="9"/>
  <c r="T427" i="9"/>
  <c r="L416" i="5"/>
  <c r="C423" i="10"/>
  <c r="T422" i="10"/>
  <c r="T422" i="5"/>
  <c r="C423" i="5"/>
  <c r="L416" i="9"/>
  <c r="I350" i="5"/>
  <c r="L416" i="10"/>
  <c r="Q330" i="10"/>
  <c r="I330" i="10"/>
  <c r="F418" i="9"/>
  <c r="R418" i="5"/>
  <c r="K417" i="5"/>
  <c r="M417" i="5" s="1"/>
  <c r="S417" i="5"/>
  <c r="G417" i="5" s="1"/>
  <c r="J417" i="5" s="1"/>
  <c r="K417" i="10"/>
  <c r="M417" i="10" s="1"/>
  <c r="R418" i="10"/>
  <c r="S417" i="10"/>
  <c r="G417" i="10" s="1"/>
  <c r="J417" i="10" s="1"/>
  <c r="L417" i="5"/>
  <c r="F418" i="5"/>
  <c r="K417" i="9"/>
  <c r="M417" i="9" s="1"/>
  <c r="R418" i="9"/>
  <c r="S417" i="9"/>
  <c r="G417" i="9" s="1"/>
  <c r="J417" i="9" s="1"/>
  <c r="F418" i="10"/>
  <c r="I351" i="5" l="1"/>
  <c r="T423" i="5"/>
  <c r="C424" i="5"/>
  <c r="H339" i="9"/>
  <c r="I339" i="9" s="1"/>
  <c r="N338" i="9"/>
  <c r="O338" i="9"/>
  <c r="P338" i="9" s="1"/>
  <c r="C429" i="9"/>
  <c r="T428" i="9"/>
  <c r="C424" i="10"/>
  <c r="T423" i="10"/>
  <c r="Q351" i="5"/>
  <c r="N330" i="10"/>
  <c r="O330" i="10"/>
  <c r="P330" i="10" s="1"/>
  <c r="H331" i="10"/>
  <c r="Q331" i="10" s="1"/>
  <c r="F419" i="9"/>
  <c r="R419" i="10"/>
  <c r="K418" i="10"/>
  <c r="M418" i="10" s="1"/>
  <c r="S418" i="10"/>
  <c r="G418" i="10" s="1"/>
  <c r="J418" i="10" s="1"/>
  <c r="R419" i="5"/>
  <c r="K418" i="5"/>
  <c r="M418" i="5" s="1"/>
  <c r="S418" i="5"/>
  <c r="F419" i="5"/>
  <c r="G418" i="5"/>
  <c r="J418" i="5" s="1"/>
  <c r="F419" i="10"/>
  <c r="K418" i="9"/>
  <c r="M418" i="9" s="1"/>
  <c r="R419" i="9"/>
  <c r="S418" i="9"/>
  <c r="G418" i="9" s="1"/>
  <c r="J418" i="9" s="1"/>
  <c r="L417" i="9"/>
  <c r="L417" i="10"/>
  <c r="Q339" i="9" l="1"/>
  <c r="C425" i="10"/>
  <c r="T424" i="10"/>
  <c r="T424" i="5"/>
  <c r="C425" i="5"/>
  <c r="H352" i="5"/>
  <c r="N351" i="5"/>
  <c r="O351" i="5"/>
  <c r="P351" i="5" s="1"/>
  <c r="L418" i="9"/>
  <c r="C430" i="9"/>
  <c r="T429" i="9"/>
  <c r="O331" i="10"/>
  <c r="P331" i="10" s="1"/>
  <c r="H332" i="10"/>
  <c r="Q332" i="10" s="1"/>
  <c r="N331" i="10"/>
  <c r="I331" i="10"/>
  <c r="L418" i="10"/>
  <c r="F420" i="5"/>
  <c r="R420" i="5"/>
  <c r="K419" i="5"/>
  <c r="M419" i="5" s="1"/>
  <c r="S419" i="5"/>
  <c r="G419" i="5" s="1"/>
  <c r="J419" i="5" s="1"/>
  <c r="K419" i="10"/>
  <c r="M419" i="10" s="1"/>
  <c r="R420" i="10"/>
  <c r="S419" i="10"/>
  <c r="G419" i="10" s="1"/>
  <c r="J419" i="10" s="1"/>
  <c r="K419" i="9"/>
  <c r="M419" i="9" s="1"/>
  <c r="R420" i="9"/>
  <c r="S419" i="9"/>
  <c r="F420" i="10"/>
  <c r="F420" i="9"/>
  <c r="G419" i="9"/>
  <c r="J419" i="9" s="1"/>
  <c r="L418" i="5"/>
  <c r="T425" i="5" l="1"/>
  <c r="C426" i="5"/>
  <c r="C431" i="9"/>
  <c r="T430" i="9"/>
  <c r="Q352" i="5"/>
  <c r="I352" i="5"/>
  <c r="C426" i="10"/>
  <c r="T425" i="10"/>
  <c r="O339" i="9"/>
  <c r="P339" i="9" s="1"/>
  <c r="H340" i="9"/>
  <c r="I340" i="9" s="1"/>
  <c r="N339" i="9"/>
  <c r="L419" i="5"/>
  <c r="H333" i="10"/>
  <c r="Q333" i="10" s="1"/>
  <c r="O332" i="10"/>
  <c r="P332" i="10" s="1"/>
  <c r="N332" i="10"/>
  <c r="I332" i="10"/>
  <c r="L419" i="10"/>
  <c r="R421" i="10"/>
  <c r="K420" i="10"/>
  <c r="M420" i="10" s="1"/>
  <c r="S420" i="10"/>
  <c r="G420" i="10" s="1"/>
  <c r="J420" i="10" s="1"/>
  <c r="F421" i="10"/>
  <c r="F421" i="5"/>
  <c r="L419" i="9"/>
  <c r="F421" i="9"/>
  <c r="K420" i="9"/>
  <c r="M420" i="9" s="1"/>
  <c r="R421" i="9"/>
  <c r="S420" i="9"/>
  <c r="G420" i="9" s="1"/>
  <c r="J420" i="9" s="1"/>
  <c r="R421" i="5"/>
  <c r="K420" i="5"/>
  <c r="M420" i="5" s="1"/>
  <c r="S420" i="5"/>
  <c r="G420" i="5" s="1"/>
  <c r="J420" i="5" s="1"/>
  <c r="C427" i="10" l="1"/>
  <c r="T426" i="10"/>
  <c r="C432" i="9"/>
  <c r="T431" i="9"/>
  <c r="N352" i="5"/>
  <c r="O352" i="5"/>
  <c r="P352" i="5" s="1"/>
  <c r="Q353" i="5"/>
  <c r="H353" i="5"/>
  <c r="I353" i="5" s="1"/>
  <c r="T426" i="5"/>
  <c r="C427" i="5"/>
  <c r="Q340" i="9"/>
  <c r="O333" i="10"/>
  <c r="P333" i="10" s="1"/>
  <c r="H334" i="10"/>
  <c r="N333" i="10"/>
  <c r="I333" i="10"/>
  <c r="L420" i="10"/>
  <c r="R422" i="5"/>
  <c r="K421" i="5"/>
  <c r="M421" i="5" s="1"/>
  <c r="S421" i="5"/>
  <c r="G421" i="5" s="1"/>
  <c r="J421" i="5" s="1"/>
  <c r="K421" i="10"/>
  <c r="M421" i="10" s="1"/>
  <c r="R422" i="10"/>
  <c r="S421" i="10"/>
  <c r="G421" i="10" s="1"/>
  <c r="J421" i="10" s="1"/>
  <c r="F422" i="5"/>
  <c r="K421" i="9"/>
  <c r="M421" i="9" s="1"/>
  <c r="R422" i="9"/>
  <c r="S421" i="9"/>
  <c r="G421" i="9" s="1"/>
  <c r="J421" i="9" s="1"/>
  <c r="F422" i="9"/>
  <c r="F422" i="10"/>
  <c r="L420" i="9"/>
  <c r="L420" i="5"/>
  <c r="O340" i="9" l="1"/>
  <c r="P340" i="9" s="1"/>
  <c r="H341" i="9"/>
  <c r="N340" i="9"/>
  <c r="T427" i="5"/>
  <c r="C428" i="5"/>
  <c r="C433" i="9"/>
  <c r="T432" i="9"/>
  <c r="L421" i="5"/>
  <c r="L421" i="9"/>
  <c r="N353" i="5"/>
  <c r="H354" i="5"/>
  <c r="Q354" i="5" s="1"/>
  <c r="O353" i="5"/>
  <c r="P353" i="5" s="1"/>
  <c r="C428" i="10"/>
  <c r="T427" i="10"/>
  <c r="I334" i="10"/>
  <c r="Q334" i="10"/>
  <c r="L421" i="10"/>
  <c r="F423" i="10"/>
  <c r="K422" i="10"/>
  <c r="M422" i="10" s="1"/>
  <c r="S422" i="10"/>
  <c r="G422" i="10" s="1"/>
  <c r="J422" i="10" s="1"/>
  <c r="R423" i="10"/>
  <c r="R423" i="5"/>
  <c r="K422" i="5"/>
  <c r="M422" i="5" s="1"/>
  <c r="S422" i="5"/>
  <c r="F423" i="9"/>
  <c r="R423" i="9"/>
  <c r="K422" i="9"/>
  <c r="M422" i="9" s="1"/>
  <c r="S422" i="9"/>
  <c r="G422" i="9" s="1"/>
  <c r="J422" i="9" s="1"/>
  <c r="F423" i="5"/>
  <c r="G422" i="5"/>
  <c r="J422" i="5" s="1"/>
  <c r="T428" i="5" l="1"/>
  <c r="C429" i="5"/>
  <c r="C429" i="10"/>
  <c r="T428" i="10"/>
  <c r="L422" i="9"/>
  <c r="N354" i="5"/>
  <c r="H355" i="5"/>
  <c r="Q355" i="5" s="1"/>
  <c r="O354" i="5"/>
  <c r="P354" i="5" s="1"/>
  <c r="C434" i="9"/>
  <c r="T433" i="9"/>
  <c r="Q341" i="9"/>
  <c r="I341" i="9"/>
  <c r="L422" i="5"/>
  <c r="I354" i="5"/>
  <c r="L422" i="10"/>
  <c r="N334" i="10"/>
  <c r="O334" i="10"/>
  <c r="P334" i="10" s="1"/>
  <c r="H335" i="10"/>
  <c r="I335" i="10" s="1"/>
  <c r="R424" i="10"/>
  <c r="K423" i="10"/>
  <c r="M423" i="10" s="1"/>
  <c r="S423" i="10"/>
  <c r="G423" i="10" s="1"/>
  <c r="J423" i="10" s="1"/>
  <c r="F424" i="10"/>
  <c r="F424" i="9"/>
  <c r="R424" i="5"/>
  <c r="K423" i="5"/>
  <c r="M423" i="5" s="1"/>
  <c r="S423" i="5"/>
  <c r="G423" i="5" s="1"/>
  <c r="J423" i="5" s="1"/>
  <c r="F424" i="5"/>
  <c r="R424" i="9"/>
  <c r="K423" i="9"/>
  <c r="M423" i="9" s="1"/>
  <c r="S423" i="9"/>
  <c r="G423" i="9" s="1"/>
  <c r="J423" i="9" s="1"/>
  <c r="L423" i="5"/>
  <c r="H342" i="9" l="1"/>
  <c r="I342" i="9" s="1"/>
  <c r="N341" i="9"/>
  <c r="O341" i="9"/>
  <c r="P341" i="9" s="1"/>
  <c r="C430" i="10"/>
  <c r="T429" i="10"/>
  <c r="T429" i="5"/>
  <c r="C430" i="5"/>
  <c r="O355" i="5"/>
  <c r="P355" i="5" s="1"/>
  <c r="N355" i="5"/>
  <c r="H356" i="5"/>
  <c r="Q356" i="5" s="1"/>
  <c r="I355" i="5"/>
  <c r="I356" i="5" s="1"/>
  <c r="C435" i="9"/>
  <c r="T434" i="9"/>
  <c r="Q335" i="10"/>
  <c r="L423" i="10"/>
  <c r="R425" i="9"/>
  <c r="K424" i="9"/>
  <c r="M424" i="9" s="1"/>
  <c r="S424" i="9"/>
  <c r="G424" i="9" s="1"/>
  <c r="F425" i="9"/>
  <c r="K424" i="10"/>
  <c r="M424" i="10" s="1"/>
  <c r="R425" i="10"/>
  <c r="S424" i="10"/>
  <c r="G424" i="10" s="1"/>
  <c r="F425" i="5"/>
  <c r="R425" i="5"/>
  <c r="K424" i="5"/>
  <c r="M424" i="5" s="1"/>
  <c r="S424" i="5"/>
  <c r="F425" i="10"/>
  <c r="L424" i="5"/>
  <c r="L423" i="9"/>
  <c r="H357" i="5" l="1"/>
  <c r="Q357" i="5" s="1"/>
  <c r="N356" i="5"/>
  <c r="O356" i="5"/>
  <c r="P356" i="5" s="1"/>
  <c r="I357" i="5"/>
  <c r="Q342" i="9"/>
  <c r="C436" i="9"/>
  <c r="T435" i="9"/>
  <c r="C431" i="10"/>
  <c r="T430" i="10"/>
  <c r="T430" i="5"/>
  <c r="C431" i="5"/>
  <c r="H336" i="10"/>
  <c r="I336" i="10" s="1"/>
  <c r="O335" i="10"/>
  <c r="P335" i="10" s="1"/>
  <c r="N335" i="10"/>
  <c r="L424" i="10"/>
  <c r="J424" i="9"/>
  <c r="AF46" i="9" s="1"/>
  <c r="W34" i="8" s="1"/>
  <c r="AE46" i="9"/>
  <c r="R34" i="8" s="1"/>
  <c r="J424" i="10"/>
  <c r="AF46" i="10" s="1"/>
  <c r="AE46" i="10"/>
  <c r="R426" i="5"/>
  <c r="K425" i="5"/>
  <c r="M425" i="5" s="1"/>
  <c r="S425" i="5"/>
  <c r="R426" i="10"/>
  <c r="K425" i="10"/>
  <c r="M425" i="10" s="1"/>
  <c r="S425" i="10"/>
  <c r="G425" i="10" s="1"/>
  <c r="J425" i="10" s="1"/>
  <c r="R426" i="9"/>
  <c r="K425" i="9"/>
  <c r="M425" i="9" s="1"/>
  <c r="S425" i="9"/>
  <c r="G425" i="9" s="1"/>
  <c r="J425" i="9" s="1"/>
  <c r="V39" i="9"/>
  <c r="AD46" i="9"/>
  <c r="L425" i="5"/>
  <c r="V39" i="10"/>
  <c r="AD46" i="10"/>
  <c r="V39" i="5"/>
  <c r="AD46" i="5"/>
  <c r="M26" i="3" s="1"/>
  <c r="F426" i="5"/>
  <c r="G425" i="5"/>
  <c r="J425" i="5" s="1"/>
  <c r="F426" i="10"/>
  <c r="F426" i="9"/>
  <c r="L424" i="9"/>
  <c r="L425" i="9" s="1"/>
  <c r="G424" i="5"/>
  <c r="C437" i="9" l="1"/>
  <c r="T436" i="9"/>
  <c r="O342" i="9"/>
  <c r="P342" i="9" s="1"/>
  <c r="N342" i="9"/>
  <c r="H343" i="9"/>
  <c r="I343" i="9" s="1"/>
  <c r="Q343" i="9"/>
  <c r="I358" i="5"/>
  <c r="T431" i="5"/>
  <c r="C432" i="5"/>
  <c r="C432" i="10"/>
  <c r="T431" i="10"/>
  <c r="N357" i="5"/>
  <c r="H358" i="5"/>
  <c r="Q358" i="5" s="1"/>
  <c r="O357" i="5"/>
  <c r="P357" i="5" s="1"/>
  <c r="Q336" i="10"/>
  <c r="L425" i="10"/>
  <c r="F427" i="10"/>
  <c r="K426" i="5"/>
  <c r="M426" i="5" s="1"/>
  <c r="S426" i="5"/>
  <c r="G426" i="5" s="1"/>
  <c r="J426" i="5" s="1"/>
  <c r="R427" i="5"/>
  <c r="F427" i="9"/>
  <c r="F427" i="5"/>
  <c r="K426" i="9"/>
  <c r="M426" i="9" s="1"/>
  <c r="R427" i="9"/>
  <c r="S426" i="9"/>
  <c r="G426" i="9" s="1"/>
  <c r="J426" i="9" s="1"/>
  <c r="AE46" i="5"/>
  <c r="M11" i="3" s="1"/>
  <c r="J424" i="5"/>
  <c r="AF46" i="5" s="1"/>
  <c r="O11" i="3" s="1"/>
  <c r="K426" i="10"/>
  <c r="M426" i="10" s="1"/>
  <c r="R427" i="10"/>
  <c r="S426" i="10"/>
  <c r="G426" i="10" s="1"/>
  <c r="J426" i="10" s="1"/>
  <c r="L426" i="9" l="1"/>
  <c r="C433" i="10"/>
  <c r="T432" i="10"/>
  <c r="O343" i="9"/>
  <c r="P343" i="9" s="1"/>
  <c r="H344" i="9"/>
  <c r="Q344" i="9" s="1"/>
  <c r="N343" i="9"/>
  <c r="H359" i="5"/>
  <c r="I359" i="5" s="1"/>
  <c r="N358" i="5"/>
  <c r="O358" i="5"/>
  <c r="P358" i="5" s="1"/>
  <c r="T432" i="5"/>
  <c r="C433" i="5"/>
  <c r="C438" i="9"/>
  <c r="T437" i="9"/>
  <c r="H337" i="10"/>
  <c r="N336" i="10"/>
  <c r="O336" i="10"/>
  <c r="P336" i="10" s="1"/>
  <c r="R428" i="10"/>
  <c r="K427" i="10"/>
  <c r="M427" i="10" s="1"/>
  <c r="S427" i="10"/>
  <c r="G427" i="10" s="1"/>
  <c r="J427" i="10" s="1"/>
  <c r="L426" i="10"/>
  <c r="R428" i="9"/>
  <c r="K427" i="9"/>
  <c r="M427" i="9" s="1"/>
  <c r="S427" i="9"/>
  <c r="G427" i="9" s="1"/>
  <c r="J427" i="9" s="1"/>
  <c r="S427" i="5"/>
  <c r="G427" i="5" s="1"/>
  <c r="J427" i="5" s="1"/>
  <c r="R428" i="5"/>
  <c r="K427" i="5"/>
  <c r="M427" i="5" s="1"/>
  <c r="F428" i="10"/>
  <c r="F428" i="5"/>
  <c r="F428" i="9"/>
  <c r="L426" i="5"/>
  <c r="L427" i="5" s="1"/>
  <c r="O344" i="9" l="1"/>
  <c r="P344" i="9" s="1"/>
  <c r="H345" i="9"/>
  <c r="N344" i="9"/>
  <c r="Q345" i="9"/>
  <c r="T433" i="5"/>
  <c r="C434" i="5"/>
  <c r="Q359" i="5"/>
  <c r="C434" i="10"/>
  <c r="T433" i="10"/>
  <c r="C439" i="9"/>
  <c r="T438" i="9"/>
  <c r="I344" i="9"/>
  <c r="I345" i="9" s="1"/>
  <c r="Q337" i="10"/>
  <c r="I337" i="10"/>
  <c r="F429" i="9"/>
  <c r="K428" i="10"/>
  <c r="M428" i="10" s="1"/>
  <c r="R429" i="10"/>
  <c r="S428" i="10"/>
  <c r="G428" i="10" s="1"/>
  <c r="J428" i="10" s="1"/>
  <c r="S428" i="5"/>
  <c r="G428" i="5" s="1"/>
  <c r="J428" i="5" s="1"/>
  <c r="R429" i="5"/>
  <c r="K428" i="5"/>
  <c r="M428" i="5" s="1"/>
  <c r="F429" i="10"/>
  <c r="K428" i="9"/>
  <c r="M428" i="9" s="1"/>
  <c r="R429" i="9"/>
  <c r="S428" i="9"/>
  <c r="G428" i="9" s="1"/>
  <c r="J428" i="9" s="1"/>
  <c r="F429" i="5"/>
  <c r="L427" i="9"/>
  <c r="L427" i="10"/>
  <c r="C435" i="10" l="1"/>
  <c r="T434" i="10"/>
  <c r="O345" i="9"/>
  <c r="P345" i="9" s="1"/>
  <c r="H346" i="9"/>
  <c r="Q346" i="9" s="1"/>
  <c r="N345" i="9"/>
  <c r="T434" i="5"/>
  <c r="C435" i="5"/>
  <c r="C440" i="9"/>
  <c r="T439" i="9"/>
  <c r="O359" i="5"/>
  <c r="P359" i="5" s="1"/>
  <c r="H360" i="5"/>
  <c r="I360" i="5" s="1"/>
  <c r="N359" i="5"/>
  <c r="I346" i="9"/>
  <c r="L428" i="10"/>
  <c r="O337" i="10"/>
  <c r="P337" i="10" s="1"/>
  <c r="H338" i="10"/>
  <c r="Q338" i="10" s="1"/>
  <c r="N337" i="10"/>
  <c r="F430" i="9"/>
  <c r="R430" i="9"/>
  <c r="K429" i="9"/>
  <c r="M429" i="9" s="1"/>
  <c r="S429" i="9"/>
  <c r="G429" i="9" s="1"/>
  <c r="J429" i="9" s="1"/>
  <c r="F430" i="10"/>
  <c r="F430" i="5"/>
  <c r="S429" i="5"/>
  <c r="G429" i="5" s="1"/>
  <c r="J429" i="5" s="1"/>
  <c r="R430" i="5"/>
  <c r="K429" i="5"/>
  <c r="M429" i="5" s="1"/>
  <c r="R430" i="10"/>
  <c r="K429" i="10"/>
  <c r="M429" i="10" s="1"/>
  <c r="S429" i="10"/>
  <c r="G429" i="10" s="1"/>
  <c r="J429" i="10" s="1"/>
  <c r="L428" i="9"/>
  <c r="L429" i="9" s="1"/>
  <c r="L428" i="5"/>
  <c r="H347" i="9" l="1"/>
  <c r="N346" i="9"/>
  <c r="Q347" i="9"/>
  <c r="O346" i="9"/>
  <c r="P346" i="9" s="1"/>
  <c r="T435" i="5"/>
  <c r="C436" i="5"/>
  <c r="Q360" i="5"/>
  <c r="L429" i="5"/>
  <c r="I347" i="9"/>
  <c r="C441" i="9"/>
  <c r="T440" i="9"/>
  <c r="C436" i="10"/>
  <c r="T435" i="10"/>
  <c r="O338" i="10"/>
  <c r="P338" i="10" s="1"/>
  <c r="N338" i="10"/>
  <c r="H339" i="10"/>
  <c r="Q339" i="10" s="1"/>
  <c r="I338" i="10"/>
  <c r="L429" i="10"/>
  <c r="S430" i="5"/>
  <c r="G430" i="5" s="1"/>
  <c r="J430" i="5" s="1"/>
  <c r="R431" i="5"/>
  <c r="K430" i="5"/>
  <c r="M430" i="5" s="1"/>
  <c r="F431" i="9"/>
  <c r="L430" i="5"/>
  <c r="K430" i="9"/>
  <c r="M430" i="9" s="1"/>
  <c r="R431" i="9"/>
  <c r="S430" i="9"/>
  <c r="G430" i="9" s="1"/>
  <c r="J430" i="9" s="1"/>
  <c r="F431" i="5"/>
  <c r="K430" i="10"/>
  <c r="M430" i="10" s="1"/>
  <c r="R431" i="10"/>
  <c r="S430" i="10"/>
  <c r="G430" i="10" s="1"/>
  <c r="J430" i="10" s="1"/>
  <c r="F431" i="10"/>
  <c r="H361" i="5" l="1"/>
  <c r="I361" i="5" s="1"/>
  <c r="N360" i="5"/>
  <c r="Q361" i="5"/>
  <c r="O360" i="5"/>
  <c r="P360" i="5" s="1"/>
  <c r="O347" i="9"/>
  <c r="P347" i="9" s="1"/>
  <c r="H348" i="9"/>
  <c r="I348" i="9" s="1"/>
  <c r="N347" i="9"/>
  <c r="T436" i="5"/>
  <c r="C437" i="5"/>
  <c r="C437" i="10"/>
  <c r="T436" i="10"/>
  <c r="C442" i="9"/>
  <c r="T441" i="9"/>
  <c r="L430" i="9"/>
  <c r="I339" i="10"/>
  <c r="O339" i="10"/>
  <c r="P339" i="10" s="1"/>
  <c r="H340" i="10"/>
  <c r="Q340" i="10" s="1"/>
  <c r="N339" i="10"/>
  <c r="S431" i="5"/>
  <c r="G431" i="5" s="1"/>
  <c r="J431" i="5" s="1"/>
  <c r="R432" i="5"/>
  <c r="K431" i="5"/>
  <c r="M431" i="5" s="1"/>
  <c r="L430" i="10"/>
  <c r="L431" i="5"/>
  <c r="F432" i="10"/>
  <c r="R432" i="10"/>
  <c r="K431" i="10"/>
  <c r="M431" i="10" s="1"/>
  <c r="S431" i="10"/>
  <c r="G431" i="10" s="1"/>
  <c r="J431" i="10" s="1"/>
  <c r="F432" i="5"/>
  <c r="R432" i="9"/>
  <c r="K431" i="9"/>
  <c r="M431" i="9" s="1"/>
  <c r="S431" i="9"/>
  <c r="G431" i="9" s="1"/>
  <c r="J431" i="9" s="1"/>
  <c r="F432" i="9"/>
  <c r="Q348" i="9" l="1"/>
  <c r="C443" i="9"/>
  <c r="T442" i="9"/>
  <c r="O361" i="5"/>
  <c r="P361" i="5" s="1"/>
  <c r="N361" i="5"/>
  <c r="H362" i="5"/>
  <c r="Q362" i="5" s="1"/>
  <c r="C438" i="10"/>
  <c r="T437" i="10"/>
  <c r="T437" i="5"/>
  <c r="C438" i="5"/>
  <c r="N340" i="10"/>
  <c r="O340" i="10"/>
  <c r="P340" i="10" s="1"/>
  <c r="H341" i="10"/>
  <c r="Q341" i="10" s="1"/>
  <c r="I340" i="10"/>
  <c r="F433" i="5"/>
  <c r="K432" i="10"/>
  <c r="M432" i="10" s="1"/>
  <c r="R433" i="10"/>
  <c r="S432" i="10"/>
  <c r="G432" i="10" s="1"/>
  <c r="J432" i="10" s="1"/>
  <c r="L431" i="9"/>
  <c r="L431" i="10"/>
  <c r="F433" i="9"/>
  <c r="S432" i="5"/>
  <c r="G432" i="5" s="1"/>
  <c r="J432" i="5" s="1"/>
  <c r="R433" i="5"/>
  <c r="K432" i="5"/>
  <c r="M432" i="5" s="1"/>
  <c r="L432" i="5"/>
  <c r="K432" i="9"/>
  <c r="M432" i="9" s="1"/>
  <c r="R433" i="9"/>
  <c r="S432" i="9"/>
  <c r="G432" i="9" s="1"/>
  <c r="J432" i="9" s="1"/>
  <c r="F433" i="10"/>
  <c r="T438" i="5" l="1"/>
  <c r="C439" i="5"/>
  <c r="H363" i="5"/>
  <c r="Q363" i="5" s="1"/>
  <c r="N362" i="5"/>
  <c r="O362" i="5"/>
  <c r="P362" i="5" s="1"/>
  <c r="C444" i="9"/>
  <c r="T443" i="9"/>
  <c r="C439" i="10"/>
  <c r="T438" i="10"/>
  <c r="I362" i="5"/>
  <c r="N348" i="9"/>
  <c r="O348" i="9"/>
  <c r="P348" i="9" s="1"/>
  <c r="H349" i="9"/>
  <c r="I341" i="10"/>
  <c r="O341" i="10"/>
  <c r="P341" i="10" s="1"/>
  <c r="H342" i="10"/>
  <c r="Q342" i="10" s="1"/>
  <c r="N341" i="10"/>
  <c r="S433" i="5"/>
  <c r="G433" i="5" s="1"/>
  <c r="J433" i="5" s="1"/>
  <c r="R434" i="5"/>
  <c r="K433" i="5"/>
  <c r="M433" i="5" s="1"/>
  <c r="K433" i="10"/>
  <c r="M433" i="10" s="1"/>
  <c r="R434" i="10"/>
  <c r="S433" i="10"/>
  <c r="G433" i="10" s="1"/>
  <c r="J433" i="10" s="1"/>
  <c r="K433" i="9"/>
  <c r="M433" i="9" s="1"/>
  <c r="R434" i="9"/>
  <c r="S433" i="9"/>
  <c r="G433" i="9" s="1"/>
  <c r="J433" i="9" s="1"/>
  <c r="F434" i="5"/>
  <c r="F434" i="9"/>
  <c r="L433" i="5"/>
  <c r="L432" i="10"/>
  <c r="L433" i="10" s="1"/>
  <c r="L432" i="9"/>
  <c r="F434" i="10"/>
  <c r="L433" i="9" l="1"/>
  <c r="H364" i="5"/>
  <c r="Q364" i="5" s="1"/>
  <c r="O363" i="5"/>
  <c r="P363" i="5" s="1"/>
  <c r="N363" i="5"/>
  <c r="T439" i="5"/>
  <c r="C440" i="5"/>
  <c r="C445" i="9"/>
  <c r="T444" i="9"/>
  <c r="Q349" i="9"/>
  <c r="I349" i="9"/>
  <c r="I363" i="5"/>
  <c r="I364" i="5" s="1"/>
  <c r="C440" i="10"/>
  <c r="T439" i="10"/>
  <c r="I342" i="10"/>
  <c r="H343" i="10"/>
  <c r="Q343" i="10" s="1"/>
  <c r="N342" i="10"/>
  <c r="O342" i="10"/>
  <c r="P342" i="10" s="1"/>
  <c r="F435" i="9"/>
  <c r="R435" i="9"/>
  <c r="K434" i="9"/>
  <c r="M434" i="9" s="1"/>
  <c r="S434" i="9"/>
  <c r="G434" i="9" s="1"/>
  <c r="J434" i="9" s="1"/>
  <c r="S434" i="5"/>
  <c r="G434" i="5" s="1"/>
  <c r="J434" i="5" s="1"/>
  <c r="R435" i="5"/>
  <c r="K434" i="5"/>
  <c r="M434" i="5" s="1"/>
  <c r="K434" i="10"/>
  <c r="M434" i="10" s="1"/>
  <c r="R435" i="10"/>
  <c r="S434" i="10"/>
  <c r="G434" i="10" s="1"/>
  <c r="J434" i="10" s="1"/>
  <c r="F435" i="5"/>
  <c r="F435" i="10"/>
  <c r="L434" i="5"/>
  <c r="T440" i="5" l="1"/>
  <c r="C441" i="5"/>
  <c r="H350" i="9"/>
  <c r="Q350" i="9" s="1"/>
  <c r="N349" i="9"/>
  <c r="O349" i="9"/>
  <c r="P349" i="9" s="1"/>
  <c r="L434" i="9"/>
  <c r="C441" i="10"/>
  <c r="T440" i="10"/>
  <c r="C446" i="9"/>
  <c r="T445" i="9"/>
  <c r="N364" i="5"/>
  <c r="O364" i="5"/>
  <c r="P364" i="5" s="1"/>
  <c r="H365" i="5"/>
  <c r="Q365" i="5" s="1"/>
  <c r="H344" i="10"/>
  <c r="Q344" i="10" s="1"/>
  <c r="O343" i="10"/>
  <c r="P343" i="10" s="1"/>
  <c r="N343" i="10"/>
  <c r="I343" i="10"/>
  <c r="F436" i="5"/>
  <c r="F436" i="9"/>
  <c r="F436" i="10"/>
  <c r="L434" i="10"/>
  <c r="R436" i="10"/>
  <c r="K435" i="10"/>
  <c r="M435" i="10" s="1"/>
  <c r="S435" i="10"/>
  <c r="G435" i="10" s="1"/>
  <c r="J435" i="10" s="1"/>
  <c r="S435" i="5"/>
  <c r="G435" i="5" s="1"/>
  <c r="J435" i="5" s="1"/>
  <c r="R436" i="5"/>
  <c r="K435" i="5"/>
  <c r="M435" i="5" s="1"/>
  <c r="K435" i="9"/>
  <c r="M435" i="9" s="1"/>
  <c r="R436" i="9"/>
  <c r="S435" i="9"/>
  <c r="G435" i="9" s="1"/>
  <c r="J435" i="9" s="1"/>
  <c r="I350" i="9" l="1"/>
  <c r="N350" i="9"/>
  <c r="O350" i="9"/>
  <c r="P350" i="9" s="1"/>
  <c r="H351" i="9"/>
  <c r="Q351" i="9" s="1"/>
  <c r="O365" i="5"/>
  <c r="P365" i="5" s="1"/>
  <c r="H366" i="5"/>
  <c r="Q366" i="5" s="1"/>
  <c r="N365" i="5"/>
  <c r="I365" i="5"/>
  <c r="C442" i="10"/>
  <c r="T441" i="10"/>
  <c r="I351" i="9"/>
  <c r="C447" i="9"/>
  <c r="T446" i="9"/>
  <c r="T441" i="5"/>
  <c r="C442" i="5"/>
  <c r="N344" i="10"/>
  <c r="O344" i="10"/>
  <c r="P344" i="10" s="1"/>
  <c r="H345" i="10"/>
  <c r="Q345" i="10" s="1"/>
  <c r="I344" i="10"/>
  <c r="F437" i="5"/>
  <c r="F437" i="9"/>
  <c r="L435" i="5"/>
  <c r="K436" i="9"/>
  <c r="M436" i="9" s="1"/>
  <c r="R437" i="9"/>
  <c r="S436" i="9"/>
  <c r="V40" i="9" s="1"/>
  <c r="L435" i="10"/>
  <c r="S436" i="5"/>
  <c r="V40" i="5" s="1"/>
  <c r="R437" i="5"/>
  <c r="K436" i="5"/>
  <c r="M436" i="5" s="1"/>
  <c r="K436" i="10"/>
  <c r="M436" i="10" s="1"/>
  <c r="R437" i="10"/>
  <c r="S436" i="10"/>
  <c r="V40" i="10" s="1"/>
  <c r="F437" i="10"/>
  <c r="L435" i="9"/>
  <c r="N366" i="5" l="1"/>
  <c r="O366" i="5"/>
  <c r="P366" i="5" s="1"/>
  <c r="H367" i="5"/>
  <c r="Q367" i="5" s="1"/>
  <c r="T442" i="5"/>
  <c r="C443" i="5"/>
  <c r="H352" i="9"/>
  <c r="Q352" i="9" s="1"/>
  <c r="N351" i="9"/>
  <c r="O351" i="9"/>
  <c r="P351" i="9" s="1"/>
  <c r="G436" i="5"/>
  <c r="J436" i="5" s="1"/>
  <c r="C443" i="10"/>
  <c r="T442" i="10"/>
  <c r="C448" i="9"/>
  <c r="T447" i="9"/>
  <c r="I366" i="5"/>
  <c r="I367" i="5" s="1"/>
  <c r="N345" i="10"/>
  <c r="O345" i="10"/>
  <c r="P345" i="10" s="1"/>
  <c r="H346" i="10"/>
  <c r="Q346" i="10" s="1"/>
  <c r="I345" i="10"/>
  <c r="F438" i="10"/>
  <c r="K437" i="10"/>
  <c r="M437" i="10" s="1"/>
  <c r="R438" i="10"/>
  <c r="S437" i="10"/>
  <c r="G437" i="10" s="1"/>
  <c r="J437" i="10" s="1"/>
  <c r="K437" i="9"/>
  <c r="M437" i="9" s="1"/>
  <c r="R438" i="9"/>
  <c r="S437" i="9"/>
  <c r="G437" i="9" s="1"/>
  <c r="J437" i="9" s="1"/>
  <c r="F438" i="5"/>
  <c r="L436" i="5"/>
  <c r="G436" i="10"/>
  <c r="J436" i="10" s="1"/>
  <c r="L436" i="10"/>
  <c r="G436" i="9"/>
  <c r="J436" i="9" s="1"/>
  <c r="L436" i="9"/>
  <c r="L437" i="9" s="1"/>
  <c r="R438" i="5"/>
  <c r="K437" i="5"/>
  <c r="M437" i="5" s="1"/>
  <c r="S437" i="5"/>
  <c r="G437" i="5" s="1"/>
  <c r="J437" i="5" s="1"/>
  <c r="F438" i="9"/>
  <c r="N352" i="9" l="1"/>
  <c r="H353" i="9"/>
  <c r="Q353" i="9" s="1"/>
  <c r="O352" i="9"/>
  <c r="P352" i="9" s="1"/>
  <c r="T443" i="5"/>
  <c r="C444" i="5"/>
  <c r="I368" i="5"/>
  <c r="C444" i="10"/>
  <c r="T443" i="10"/>
  <c r="C449" i="9"/>
  <c r="T448" i="9"/>
  <c r="H368" i="5"/>
  <c r="Q368" i="5" s="1"/>
  <c r="N367" i="5"/>
  <c r="O367" i="5"/>
  <c r="P367" i="5" s="1"/>
  <c r="I352" i="9"/>
  <c r="I353" i="9" s="1"/>
  <c r="L437" i="5"/>
  <c r="L438" i="5" s="1"/>
  <c r="I346" i="10"/>
  <c r="O346" i="10"/>
  <c r="P346" i="10" s="1"/>
  <c r="H347" i="10"/>
  <c r="Q347" i="10" s="1"/>
  <c r="N346" i="10"/>
  <c r="L437" i="10"/>
  <c r="R439" i="5"/>
  <c r="K438" i="5"/>
  <c r="M438" i="5" s="1"/>
  <c r="S438" i="5"/>
  <c r="G438" i="5" s="1"/>
  <c r="J438" i="5" s="1"/>
  <c r="K438" i="10"/>
  <c r="M438" i="10" s="1"/>
  <c r="R439" i="10"/>
  <c r="S438" i="10"/>
  <c r="G438" i="10" s="1"/>
  <c r="J438" i="10" s="1"/>
  <c r="F439" i="5"/>
  <c r="F439" i="10"/>
  <c r="F439" i="9"/>
  <c r="G438" i="9"/>
  <c r="J438" i="9" s="1"/>
  <c r="K438" i="9"/>
  <c r="M438" i="9" s="1"/>
  <c r="R439" i="9"/>
  <c r="S438" i="9"/>
  <c r="L438" i="9" l="1"/>
  <c r="H369" i="5"/>
  <c r="Q369" i="5" s="1"/>
  <c r="O368" i="5"/>
  <c r="P368" i="5" s="1"/>
  <c r="N368" i="5"/>
  <c r="O353" i="9"/>
  <c r="P353" i="9" s="1"/>
  <c r="H354" i="9"/>
  <c r="I354" i="9" s="1"/>
  <c r="N353" i="9"/>
  <c r="Q354" i="9"/>
  <c r="C445" i="10"/>
  <c r="T444" i="10"/>
  <c r="T444" i="5"/>
  <c r="C445" i="5"/>
  <c r="C450" i="9"/>
  <c r="T449" i="9"/>
  <c r="I369" i="5"/>
  <c r="I347" i="10"/>
  <c r="N347" i="10"/>
  <c r="H348" i="10"/>
  <c r="Q348" i="10" s="1"/>
  <c r="O347" i="10"/>
  <c r="P347" i="10" s="1"/>
  <c r="L438" i="10"/>
  <c r="K439" i="10"/>
  <c r="M439" i="10" s="1"/>
  <c r="R440" i="10"/>
  <c r="S439" i="10"/>
  <c r="G439" i="10" s="1"/>
  <c r="J439" i="10" s="1"/>
  <c r="R440" i="5"/>
  <c r="K439" i="5"/>
  <c r="M439" i="5" s="1"/>
  <c r="S439" i="5"/>
  <c r="G439" i="5" s="1"/>
  <c r="J439" i="5" s="1"/>
  <c r="F440" i="9"/>
  <c r="G439" i="9"/>
  <c r="J439" i="9" s="1"/>
  <c r="L439" i="5"/>
  <c r="F440" i="10"/>
  <c r="F440" i="5"/>
  <c r="K439" i="9"/>
  <c r="M439" i="9" s="1"/>
  <c r="R440" i="9"/>
  <c r="S439" i="9"/>
  <c r="H370" i="5" l="1"/>
  <c r="N369" i="5"/>
  <c r="Q370" i="5"/>
  <c r="O369" i="5"/>
  <c r="P369" i="5" s="1"/>
  <c r="C451" i="9"/>
  <c r="T450" i="9"/>
  <c r="I370" i="5"/>
  <c r="T445" i="5"/>
  <c r="C446" i="5"/>
  <c r="N354" i="9"/>
  <c r="O354" i="9"/>
  <c r="P354" i="9" s="1"/>
  <c r="H355" i="9"/>
  <c r="Q355" i="9" s="1"/>
  <c r="C446" i="10"/>
  <c r="T445" i="10"/>
  <c r="I348" i="10"/>
  <c r="O348" i="10"/>
  <c r="P348" i="10" s="1"/>
  <c r="N348" i="10"/>
  <c r="H349" i="10"/>
  <c r="Q349" i="10" s="1"/>
  <c r="L439" i="10"/>
  <c r="K440" i="9"/>
  <c r="M440" i="9" s="1"/>
  <c r="R441" i="9"/>
  <c r="S440" i="9"/>
  <c r="G440" i="9" s="1"/>
  <c r="J440" i="9" s="1"/>
  <c r="R441" i="5"/>
  <c r="K440" i="5"/>
  <c r="M440" i="5" s="1"/>
  <c r="S440" i="5"/>
  <c r="G440" i="5" s="1"/>
  <c r="J440" i="5" s="1"/>
  <c r="F441" i="5"/>
  <c r="L439" i="9"/>
  <c r="K440" i="10"/>
  <c r="M440" i="10" s="1"/>
  <c r="R441" i="10"/>
  <c r="S440" i="10"/>
  <c r="G440" i="10" s="1"/>
  <c r="J440" i="10" s="1"/>
  <c r="F441" i="10"/>
  <c r="F441" i="9"/>
  <c r="I355" i="9" l="1"/>
  <c r="C447" i="10"/>
  <c r="T446" i="10"/>
  <c r="N355" i="9"/>
  <c r="H356" i="9"/>
  <c r="I356" i="9" s="1"/>
  <c r="O355" i="9"/>
  <c r="P355" i="9" s="1"/>
  <c r="Q356" i="9"/>
  <c r="C452" i="9"/>
  <c r="T451" i="9"/>
  <c r="H371" i="5"/>
  <c r="Q371" i="5" s="1"/>
  <c r="N370" i="5"/>
  <c r="O370" i="5"/>
  <c r="P370" i="5" s="1"/>
  <c r="T446" i="5"/>
  <c r="C447" i="5"/>
  <c r="I371" i="5"/>
  <c r="I349" i="10"/>
  <c r="O349" i="10"/>
  <c r="P349" i="10" s="1"/>
  <c r="N349" i="10"/>
  <c r="H350" i="10"/>
  <c r="Q350" i="10" s="1"/>
  <c r="K441" i="9"/>
  <c r="M441" i="9" s="1"/>
  <c r="R442" i="9"/>
  <c r="S441" i="9"/>
  <c r="G441" i="9" s="1"/>
  <c r="J441" i="9" s="1"/>
  <c r="F442" i="9"/>
  <c r="F442" i="5"/>
  <c r="F442" i="10"/>
  <c r="K441" i="10"/>
  <c r="M441" i="10" s="1"/>
  <c r="R442" i="10"/>
  <c r="S441" i="10"/>
  <c r="G441" i="10" s="1"/>
  <c r="J441" i="10" s="1"/>
  <c r="R442" i="5"/>
  <c r="K441" i="5"/>
  <c r="M441" i="5" s="1"/>
  <c r="S441" i="5"/>
  <c r="G441" i="5" s="1"/>
  <c r="J441" i="5" s="1"/>
  <c r="L440" i="9"/>
  <c r="L441" i="9" s="1"/>
  <c r="L440" i="10"/>
  <c r="L440" i="5"/>
  <c r="L441" i="5" l="1"/>
  <c r="H372" i="5"/>
  <c r="Q372" i="5" s="1"/>
  <c r="O371" i="5"/>
  <c r="P371" i="5" s="1"/>
  <c r="N371" i="5"/>
  <c r="I372" i="5"/>
  <c r="T447" i="5"/>
  <c r="C448" i="5"/>
  <c r="O356" i="9"/>
  <c r="P356" i="9" s="1"/>
  <c r="N356" i="9"/>
  <c r="H357" i="9"/>
  <c r="Q357" i="9" s="1"/>
  <c r="C453" i="9"/>
  <c r="T452" i="9"/>
  <c r="I350" i="10"/>
  <c r="C448" i="10"/>
  <c r="T447" i="10"/>
  <c r="N350" i="10"/>
  <c r="O350" i="10"/>
  <c r="P350" i="10" s="1"/>
  <c r="H351" i="10"/>
  <c r="L441" i="10"/>
  <c r="R443" i="5"/>
  <c r="K442" i="5"/>
  <c r="M442" i="5" s="1"/>
  <c r="S442" i="5"/>
  <c r="G442" i="5" s="1"/>
  <c r="J442" i="5" s="1"/>
  <c r="F443" i="5"/>
  <c r="K442" i="10"/>
  <c r="M442" i="10" s="1"/>
  <c r="R443" i="10"/>
  <c r="S442" i="10"/>
  <c r="G442" i="10" s="1"/>
  <c r="J442" i="10" s="1"/>
  <c r="F443" i="9"/>
  <c r="K442" i="9"/>
  <c r="M442" i="9" s="1"/>
  <c r="R443" i="9"/>
  <c r="S442" i="9"/>
  <c r="G442" i="9" s="1"/>
  <c r="J442" i="9" s="1"/>
  <c r="F443" i="10"/>
  <c r="L442" i="5" l="1"/>
  <c r="C449" i="10"/>
  <c r="T448" i="10"/>
  <c r="I351" i="10"/>
  <c r="O357" i="9"/>
  <c r="P357" i="9" s="1"/>
  <c r="H358" i="9"/>
  <c r="Q358" i="9" s="1"/>
  <c r="N357" i="9"/>
  <c r="H373" i="5"/>
  <c r="I373" i="5" s="1"/>
  <c r="N372" i="5"/>
  <c r="O372" i="5"/>
  <c r="P372" i="5" s="1"/>
  <c r="T448" i="5"/>
  <c r="C449" i="5"/>
  <c r="C454" i="9"/>
  <c r="T453" i="9"/>
  <c r="I357" i="9"/>
  <c r="I358" i="9" s="1"/>
  <c r="Q351" i="10"/>
  <c r="K443" i="9"/>
  <c r="M443" i="9" s="1"/>
  <c r="R444" i="9"/>
  <c r="S443" i="9"/>
  <c r="G443" i="9" s="1"/>
  <c r="J443" i="9" s="1"/>
  <c r="K443" i="10"/>
  <c r="M443" i="10" s="1"/>
  <c r="R444" i="10"/>
  <c r="S443" i="10"/>
  <c r="G443" i="10" s="1"/>
  <c r="J443" i="10" s="1"/>
  <c r="F444" i="5"/>
  <c r="R444" i="5"/>
  <c r="K443" i="5"/>
  <c r="M443" i="5" s="1"/>
  <c r="S443" i="5"/>
  <c r="G443" i="5" s="1"/>
  <c r="J443" i="5" s="1"/>
  <c r="F444" i="9"/>
  <c r="F444" i="10"/>
  <c r="L442" i="9"/>
  <c r="L442" i="10"/>
  <c r="C455" i="9" l="1"/>
  <c r="T454" i="9"/>
  <c r="T449" i="5"/>
  <c r="C450" i="5"/>
  <c r="Q373" i="5"/>
  <c r="H359" i="9"/>
  <c r="Q359" i="9" s="1"/>
  <c r="N358" i="9"/>
  <c r="O358" i="9"/>
  <c r="P358" i="9" s="1"/>
  <c r="C450" i="10"/>
  <c r="T449" i="10"/>
  <c r="O351" i="10"/>
  <c r="P351" i="10" s="1"/>
  <c r="H352" i="10"/>
  <c r="I352" i="10" s="1"/>
  <c r="N351" i="10"/>
  <c r="L443" i="10"/>
  <c r="F445" i="9"/>
  <c r="K444" i="10"/>
  <c r="M444" i="10" s="1"/>
  <c r="R445" i="10"/>
  <c r="S444" i="10"/>
  <c r="G444" i="10" s="1"/>
  <c r="J444" i="10" s="1"/>
  <c r="R445" i="5"/>
  <c r="K444" i="5"/>
  <c r="M444" i="5" s="1"/>
  <c r="S444" i="5"/>
  <c r="G444" i="5" s="1"/>
  <c r="J444" i="5" s="1"/>
  <c r="K444" i="9"/>
  <c r="M444" i="9" s="1"/>
  <c r="R445" i="9"/>
  <c r="S444" i="9"/>
  <c r="G444" i="9" s="1"/>
  <c r="J444" i="9" s="1"/>
  <c r="L443" i="5"/>
  <c r="L443" i="9"/>
  <c r="F445" i="10"/>
  <c r="F445" i="5"/>
  <c r="L444" i="5" l="1"/>
  <c r="O359" i="9"/>
  <c r="P359" i="9" s="1"/>
  <c r="N359" i="9"/>
  <c r="H360" i="9"/>
  <c r="Q360" i="9" s="1"/>
  <c r="T450" i="5"/>
  <c r="C451" i="5"/>
  <c r="H374" i="5"/>
  <c r="O373" i="5"/>
  <c r="P373" i="5" s="1"/>
  <c r="N373" i="5"/>
  <c r="C456" i="9"/>
  <c r="T455" i="9"/>
  <c r="C451" i="10"/>
  <c r="T450" i="10"/>
  <c r="L444" i="9"/>
  <c r="I359" i="9"/>
  <c r="I360" i="9" s="1"/>
  <c r="L444" i="10"/>
  <c r="Q352" i="10"/>
  <c r="F446" i="9"/>
  <c r="F446" i="10"/>
  <c r="K445" i="9"/>
  <c r="M445" i="9" s="1"/>
  <c r="R446" i="9"/>
  <c r="S445" i="9"/>
  <c r="G445" i="9" s="1"/>
  <c r="J445" i="9" s="1"/>
  <c r="R446" i="5"/>
  <c r="K445" i="5"/>
  <c r="M445" i="5" s="1"/>
  <c r="S445" i="5"/>
  <c r="G445" i="5" s="1"/>
  <c r="J445" i="5" s="1"/>
  <c r="F446" i="5"/>
  <c r="K445" i="10"/>
  <c r="M445" i="10" s="1"/>
  <c r="R446" i="10"/>
  <c r="S445" i="10"/>
  <c r="G445" i="10" s="1"/>
  <c r="J445" i="10" s="1"/>
  <c r="T451" i="5" l="1"/>
  <c r="C452" i="5"/>
  <c r="N360" i="9"/>
  <c r="H361" i="9"/>
  <c r="I361" i="9" s="1"/>
  <c r="O360" i="9"/>
  <c r="P360" i="9" s="1"/>
  <c r="Q361" i="9"/>
  <c r="Q374" i="5"/>
  <c r="I374" i="5"/>
  <c r="C452" i="10"/>
  <c r="T451" i="10"/>
  <c r="C457" i="9"/>
  <c r="T456" i="9"/>
  <c r="N352" i="10"/>
  <c r="O352" i="10"/>
  <c r="P352" i="10" s="1"/>
  <c r="H353" i="10"/>
  <c r="L445" i="10"/>
  <c r="F447" i="9"/>
  <c r="K446" i="9"/>
  <c r="M446" i="9" s="1"/>
  <c r="R447" i="9"/>
  <c r="S446" i="9"/>
  <c r="G446" i="9" s="1"/>
  <c r="J446" i="9" s="1"/>
  <c r="K446" i="10"/>
  <c r="M446" i="10" s="1"/>
  <c r="R447" i="10"/>
  <c r="S446" i="10"/>
  <c r="G446" i="10" s="1"/>
  <c r="J446" i="10" s="1"/>
  <c r="F447" i="10"/>
  <c r="L445" i="5"/>
  <c r="L445" i="9"/>
  <c r="L446" i="9" s="1"/>
  <c r="F447" i="5"/>
  <c r="R447" i="5"/>
  <c r="K446" i="5"/>
  <c r="M446" i="5" s="1"/>
  <c r="S446" i="5"/>
  <c r="G446" i="5" s="1"/>
  <c r="J446" i="5" s="1"/>
  <c r="C458" i="9" l="1"/>
  <c r="T457" i="9"/>
  <c r="H375" i="5"/>
  <c r="Q375" i="5" s="1"/>
  <c r="O374" i="5"/>
  <c r="P374" i="5" s="1"/>
  <c r="N374" i="5"/>
  <c r="O361" i="9"/>
  <c r="P361" i="9" s="1"/>
  <c r="H362" i="9"/>
  <c r="I362" i="9" s="1"/>
  <c r="N361" i="9"/>
  <c r="C453" i="10"/>
  <c r="T452" i="10"/>
  <c r="T452" i="5"/>
  <c r="C453" i="5"/>
  <c r="I375" i="5"/>
  <c r="L446" i="10"/>
  <c r="Q353" i="10"/>
  <c r="I353" i="10"/>
  <c r="F448" i="9"/>
  <c r="R448" i="5"/>
  <c r="K447" i="5"/>
  <c r="M447" i="5" s="1"/>
  <c r="S447" i="5"/>
  <c r="G447" i="5" s="1"/>
  <c r="J447" i="5" s="1"/>
  <c r="R448" i="10"/>
  <c r="K447" i="10"/>
  <c r="M447" i="10" s="1"/>
  <c r="S447" i="10"/>
  <c r="G447" i="10" s="1"/>
  <c r="J447" i="10" s="1"/>
  <c r="L446" i="5"/>
  <c r="L447" i="5" s="1"/>
  <c r="F448" i="5"/>
  <c r="F448" i="10"/>
  <c r="R448" i="9"/>
  <c r="K447" i="9"/>
  <c r="M447" i="9" s="1"/>
  <c r="S447" i="9"/>
  <c r="G447" i="9" s="1"/>
  <c r="J447" i="9" s="1"/>
  <c r="T453" i="5" l="1"/>
  <c r="C454" i="5"/>
  <c r="H376" i="5"/>
  <c r="Q376" i="5" s="1"/>
  <c r="N375" i="5"/>
  <c r="O375" i="5"/>
  <c r="P375" i="5" s="1"/>
  <c r="I376" i="5"/>
  <c r="C454" i="10"/>
  <c r="T453" i="10"/>
  <c r="L447" i="9"/>
  <c r="Q362" i="9"/>
  <c r="C459" i="9"/>
  <c r="T458" i="9"/>
  <c r="N353" i="10"/>
  <c r="O353" i="10"/>
  <c r="P353" i="10" s="1"/>
  <c r="H354" i="10"/>
  <c r="Q354" i="10" s="1"/>
  <c r="L447" i="10"/>
  <c r="K448" i="9"/>
  <c r="M448" i="9" s="1"/>
  <c r="R449" i="9"/>
  <c r="S448" i="9"/>
  <c r="V41" i="9" s="1"/>
  <c r="F449" i="5"/>
  <c r="F449" i="9"/>
  <c r="K448" i="10"/>
  <c r="M448" i="10" s="1"/>
  <c r="R449" i="10"/>
  <c r="S448" i="10"/>
  <c r="V41" i="10" s="1"/>
  <c r="F449" i="10"/>
  <c r="R449" i="5"/>
  <c r="K448" i="5"/>
  <c r="M448" i="5" s="1"/>
  <c r="S448" i="5"/>
  <c r="V41" i="5" s="1"/>
  <c r="H377" i="5" l="1"/>
  <c r="I377" i="5" s="1"/>
  <c r="O376" i="5"/>
  <c r="P376" i="5" s="1"/>
  <c r="N376" i="5"/>
  <c r="H363" i="9"/>
  <c r="I363" i="9" s="1"/>
  <c r="N362" i="9"/>
  <c r="O362" i="9"/>
  <c r="P362" i="9" s="1"/>
  <c r="Q363" i="9"/>
  <c r="T454" i="5"/>
  <c r="C455" i="5"/>
  <c r="C455" i="10"/>
  <c r="T454" i="10"/>
  <c r="G448" i="9"/>
  <c r="J448" i="9" s="1"/>
  <c r="C460" i="9"/>
  <c r="T459" i="9"/>
  <c r="L448" i="9"/>
  <c r="G448" i="5"/>
  <c r="J448" i="5" s="1"/>
  <c r="O354" i="10"/>
  <c r="P354" i="10" s="1"/>
  <c r="H355" i="10"/>
  <c r="Q355" i="10" s="1"/>
  <c r="N354" i="10"/>
  <c r="G448" i="10"/>
  <c r="J448" i="10" s="1"/>
  <c r="I354" i="10"/>
  <c r="L448" i="10"/>
  <c r="R450" i="10"/>
  <c r="K449" i="10"/>
  <c r="M449" i="10" s="1"/>
  <c r="S449" i="10"/>
  <c r="G449" i="10" s="1"/>
  <c r="J449" i="10" s="1"/>
  <c r="F450" i="10"/>
  <c r="F450" i="9"/>
  <c r="R450" i="9"/>
  <c r="K449" i="9"/>
  <c r="M449" i="9" s="1"/>
  <c r="S449" i="9"/>
  <c r="G449" i="9" s="1"/>
  <c r="J449" i="9" s="1"/>
  <c r="K449" i="5"/>
  <c r="M449" i="5" s="1"/>
  <c r="S449" i="5"/>
  <c r="R450" i="5"/>
  <c r="F450" i="5"/>
  <c r="G449" i="5"/>
  <c r="J449" i="5" s="1"/>
  <c r="L448" i="5"/>
  <c r="O363" i="9" l="1"/>
  <c r="P363" i="9" s="1"/>
  <c r="H364" i="9"/>
  <c r="Q364" i="9" s="1"/>
  <c r="N363" i="9"/>
  <c r="I364" i="9"/>
  <c r="L449" i="5"/>
  <c r="C456" i="10"/>
  <c r="T455" i="10"/>
  <c r="C461" i="9"/>
  <c r="T460" i="9"/>
  <c r="T455" i="5"/>
  <c r="C456" i="5"/>
  <c r="Q377" i="5"/>
  <c r="I355" i="10"/>
  <c r="L449" i="10"/>
  <c r="N355" i="10"/>
  <c r="O355" i="10"/>
  <c r="P355" i="10" s="1"/>
  <c r="H356" i="10"/>
  <c r="Q356" i="10" s="1"/>
  <c r="F451" i="5"/>
  <c r="F451" i="9"/>
  <c r="K450" i="10"/>
  <c r="M450" i="10" s="1"/>
  <c r="R451" i="10"/>
  <c r="S450" i="10"/>
  <c r="G450" i="10" s="1"/>
  <c r="J450" i="10" s="1"/>
  <c r="K450" i="5"/>
  <c r="M450" i="5" s="1"/>
  <c r="S450" i="5"/>
  <c r="G450" i="5" s="1"/>
  <c r="J450" i="5" s="1"/>
  <c r="R451" i="5"/>
  <c r="K450" i="9"/>
  <c r="M450" i="9" s="1"/>
  <c r="R451" i="9"/>
  <c r="S450" i="9"/>
  <c r="G450" i="9" s="1"/>
  <c r="J450" i="9" s="1"/>
  <c r="F451" i="10"/>
  <c r="L450" i="5"/>
  <c r="L449" i="9"/>
  <c r="N364" i="9" l="1"/>
  <c r="O364" i="9"/>
  <c r="P364" i="9" s="1"/>
  <c r="H365" i="9"/>
  <c r="I365" i="9" s="1"/>
  <c r="Q365" i="9"/>
  <c r="O377" i="5"/>
  <c r="P377" i="5" s="1"/>
  <c r="H378" i="5"/>
  <c r="I378" i="5" s="1"/>
  <c r="N377" i="5"/>
  <c r="C457" i="10"/>
  <c r="T456" i="10"/>
  <c r="T456" i="5"/>
  <c r="C457" i="5"/>
  <c r="L450" i="9"/>
  <c r="C462" i="9"/>
  <c r="T461" i="9"/>
  <c r="I356" i="10"/>
  <c r="H357" i="10"/>
  <c r="Q357" i="10" s="1"/>
  <c r="N356" i="10"/>
  <c r="O356" i="10"/>
  <c r="P356" i="10" s="1"/>
  <c r="L450" i="10"/>
  <c r="R452" i="9"/>
  <c r="K451" i="9"/>
  <c r="M451" i="9" s="1"/>
  <c r="S451" i="9"/>
  <c r="G451" i="9" s="1"/>
  <c r="J451" i="9" s="1"/>
  <c r="F452" i="5"/>
  <c r="R452" i="10"/>
  <c r="K451" i="10"/>
  <c r="M451" i="10" s="1"/>
  <c r="S451" i="10"/>
  <c r="G451" i="10" s="1"/>
  <c r="J451" i="10" s="1"/>
  <c r="S451" i="5"/>
  <c r="G451" i="5" s="1"/>
  <c r="J451" i="5" s="1"/>
  <c r="R452" i="5"/>
  <c r="K451" i="5"/>
  <c r="M451" i="5" s="1"/>
  <c r="F452" i="9"/>
  <c r="L451" i="9"/>
  <c r="F452" i="10"/>
  <c r="Q378" i="5" l="1"/>
  <c r="C463" i="9"/>
  <c r="T462" i="9"/>
  <c r="O365" i="9"/>
  <c r="P365" i="9" s="1"/>
  <c r="H366" i="9"/>
  <c r="I366" i="9" s="1"/>
  <c r="N365" i="9"/>
  <c r="T457" i="5"/>
  <c r="C458" i="5"/>
  <c r="C458" i="10"/>
  <c r="T457" i="10"/>
  <c r="L451" i="5"/>
  <c r="I357" i="10"/>
  <c r="N357" i="10"/>
  <c r="H358" i="10"/>
  <c r="Q358" i="10" s="1"/>
  <c r="O357" i="10"/>
  <c r="P357" i="10" s="1"/>
  <c r="F453" i="9"/>
  <c r="K452" i="10"/>
  <c r="M452" i="10" s="1"/>
  <c r="R453" i="10"/>
  <c r="S452" i="10"/>
  <c r="G452" i="10" s="1"/>
  <c r="J452" i="10" s="1"/>
  <c r="F453" i="10"/>
  <c r="K452" i="9"/>
  <c r="M452" i="9" s="1"/>
  <c r="R453" i="9"/>
  <c r="S452" i="9"/>
  <c r="G452" i="9" s="1"/>
  <c r="J452" i="9" s="1"/>
  <c r="S452" i="5"/>
  <c r="R453" i="5"/>
  <c r="K452" i="5"/>
  <c r="M452" i="5" s="1"/>
  <c r="F453" i="5"/>
  <c r="G452" i="5"/>
  <c r="J452" i="5" s="1"/>
  <c r="L451" i="10"/>
  <c r="Q366" i="9" l="1"/>
  <c r="H367" i="9" s="1"/>
  <c r="O366" i="9"/>
  <c r="P366" i="9" s="1"/>
  <c r="N366" i="9"/>
  <c r="C464" i="9"/>
  <c r="T463" i="9"/>
  <c r="C459" i="10"/>
  <c r="T458" i="10"/>
  <c r="L452" i="9"/>
  <c r="T458" i="5"/>
  <c r="C459" i="5"/>
  <c r="H379" i="5"/>
  <c r="I379" i="5" s="1"/>
  <c r="N378" i="5"/>
  <c r="O378" i="5"/>
  <c r="P378" i="5" s="1"/>
  <c r="L452" i="10"/>
  <c r="H359" i="10"/>
  <c r="Q359" i="10" s="1"/>
  <c r="O358" i="10"/>
  <c r="P358" i="10" s="1"/>
  <c r="N358" i="10"/>
  <c r="I358" i="10"/>
  <c r="R454" i="9"/>
  <c r="K453" i="9"/>
  <c r="M453" i="9" s="1"/>
  <c r="S453" i="9"/>
  <c r="G453" i="9" s="1"/>
  <c r="J453" i="9" s="1"/>
  <c r="R454" i="10"/>
  <c r="K453" i="10"/>
  <c r="M453" i="10" s="1"/>
  <c r="S453" i="10"/>
  <c r="G453" i="10" s="1"/>
  <c r="J453" i="10" s="1"/>
  <c r="F454" i="5"/>
  <c r="F454" i="9"/>
  <c r="S453" i="5"/>
  <c r="G453" i="5" s="1"/>
  <c r="J453" i="5" s="1"/>
  <c r="R454" i="5"/>
  <c r="K453" i="5"/>
  <c r="M453" i="5" s="1"/>
  <c r="F454" i="10"/>
  <c r="L452" i="5"/>
  <c r="Q367" i="9" l="1"/>
  <c r="I367" i="9"/>
  <c r="Q379" i="5"/>
  <c r="H380" i="5" s="1"/>
  <c r="L453" i="5"/>
  <c r="C460" i="10"/>
  <c r="T459" i="10"/>
  <c r="O367" i="9"/>
  <c r="P367" i="9" s="1"/>
  <c r="H368" i="9"/>
  <c r="I368" i="9" s="1"/>
  <c r="N367" i="9"/>
  <c r="O379" i="5"/>
  <c r="P379" i="5" s="1"/>
  <c r="N379" i="5"/>
  <c r="C465" i="9"/>
  <c r="T464" i="9"/>
  <c r="T459" i="5"/>
  <c r="C460" i="5"/>
  <c r="L453" i="9"/>
  <c r="L454" i="9" s="1"/>
  <c r="O359" i="10"/>
  <c r="P359" i="10" s="1"/>
  <c r="H360" i="10"/>
  <c r="Q360" i="10" s="1"/>
  <c r="N359" i="10"/>
  <c r="I359" i="10"/>
  <c r="F455" i="9"/>
  <c r="K454" i="9"/>
  <c r="M454" i="9" s="1"/>
  <c r="R455" i="9"/>
  <c r="S454" i="9"/>
  <c r="G454" i="9" s="1"/>
  <c r="J454" i="9" s="1"/>
  <c r="S454" i="5"/>
  <c r="G454" i="5" s="1"/>
  <c r="J454" i="5" s="1"/>
  <c r="R455" i="5"/>
  <c r="K454" i="5"/>
  <c r="M454" i="5" s="1"/>
  <c r="F455" i="10"/>
  <c r="F455" i="5"/>
  <c r="K454" i="10"/>
  <c r="M454" i="10" s="1"/>
  <c r="R455" i="10"/>
  <c r="S454" i="10"/>
  <c r="G454" i="10" s="1"/>
  <c r="J454" i="10" s="1"/>
  <c r="L453" i="10"/>
  <c r="I380" i="5" l="1"/>
  <c r="Q380" i="5"/>
  <c r="L454" i="5"/>
  <c r="Q368" i="9"/>
  <c r="N368" i="9" s="1"/>
  <c r="O368" i="9"/>
  <c r="P368" i="9" s="1"/>
  <c r="H369" i="9"/>
  <c r="Q369" i="9" s="1"/>
  <c r="T460" i="5"/>
  <c r="C461" i="5"/>
  <c r="C466" i="9"/>
  <c r="T465" i="9"/>
  <c r="H381" i="5"/>
  <c r="I381" i="5" s="1"/>
  <c r="O380" i="5"/>
  <c r="P380" i="5" s="1"/>
  <c r="N380" i="5"/>
  <c r="C461" i="10"/>
  <c r="T460" i="10"/>
  <c r="O360" i="10"/>
  <c r="P360" i="10" s="1"/>
  <c r="N360" i="10"/>
  <c r="H361" i="10"/>
  <c r="Q361" i="10" s="1"/>
  <c r="I360" i="10"/>
  <c r="F456" i="9"/>
  <c r="R456" i="10"/>
  <c r="K455" i="10"/>
  <c r="M455" i="10" s="1"/>
  <c r="S455" i="10"/>
  <c r="G455" i="10" s="1"/>
  <c r="J455" i="10" s="1"/>
  <c r="F456" i="10"/>
  <c r="F456" i="5"/>
  <c r="L454" i="10"/>
  <c r="S455" i="5"/>
  <c r="G455" i="5" s="1"/>
  <c r="J455" i="5" s="1"/>
  <c r="R456" i="5"/>
  <c r="K455" i="5"/>
  <c r="M455" i="5" s="1"/>
  <c r="R456" i="9"/>
  <c r="K455" i="9"/>
  <c r="M455" i="9" s="1"/>
  <c r="S455" i="9"/>
  <c r="G455" i="9" s="1"/>
  <c r="J455" i="9" s="1"/>
  <c r="I369" i="9" l="1"/>
  <c r="N369" i="9"/>
  <c r="O369" i="9"/>
  <c r="P369" i="9" s="1"/>
  <c r="H370" i="9"/>
  <c r="I370" i="9" s="1"/>
  <c r="C467" i="9"/>
  <c r="T466" i="9"/>
  <c r="C462" i="10"/>
  <c r="T461" i="10"/>
  <c r="Q381" i="5"/>
  <c r="T461" i="5"/>
  <c r="C462" i="5"/>
  <c r="L455" i="9"/>
  <c r="L456" i="9" s="1"/>
  <c r="N361" i="10"/>
  <c r="H362" i="10"/>
  <c r="Q362" i="10" s="1"/>
  <c r="O361" i="10"/>
  <c r="P361" i="10" s="1"/>
  <c r="I361" i="10"/>
  <c r="L455" i="10"/>
  <c r="S456" i="5"/>
  <c r="G456" i="5" s="1"/>
  <c r="J456" i="5" s="1"/>
  <c r="R457" i="5"/>
  <c r="K456" i="5"/>
  <c r="M456" i="5" s="1"/>
  <c r="F457" i="9"/>
  <c r="K456" i="9"/>
  <c r="M456" i="9" s="1"/>
  <c r="R457" i="9"/>
  <c r="S456" i="9"/>
  <c r="G456" i="9" s="1"/>
  <c r="J456" i="9" s="1"/>
  <c r="K456" i="10"/>
  <c r="M456" i="10" s="1"/>
  <c r="R457" i="10"/>
  <c r="S456" i="10"/>
  <c r="G456" i="10" s="1"/>
  <c r="J456" i="10" s="1"/>
  <c r="F457" i="10"/>
  <c r="F457" i="5"/>
  <c r="L455" i="5"/>
  <c r="L456" i="5" s="1"/>
  <c r="C463" i="10" l="1"/>
  <c r="T462" i="10"/>
  <c r="T462" i="5"/>
  <c r="C463" i="5"/>
  <c r="C468" i="9"/>
  <c r="T467" i="9"/>
  <c r="O381" i="5"/>
  <c r="P381" i="5" s="1"/>
  <c r="N381" i="5"/>
  <c r="H382" i="5"/>
  <c r="Q370" i="9"/>
  <c r="O362" i="10"/>
  <c r="P362" i="10" s="1"/>
  <c r="H363" i="10"/>
  <c r="Q363" i="10" s="1"/>
  <c r="N362" i="10"/>
  <c r="L456" i="10"/>
  <c r="I362" i="10"/>
  <c r="K457" i="9"/>
  <c r="M457" i="9" s="1"/>
  <c r="R458" i="9"/>
  <c r="S457" i="9"/>
  <c r="G457" i="9" s="1"/>
  <c r="J457" i="9" s="1"/>
  <c r="F458" i="10"/>
  <c r="K457" i="10"/>
  <c r="M457" i="10" s="1"/>
  <c r="R458" i="10"/>
  <c r="S457" i="10"/>
  <c r="G457" i="10" s="1"/>
  <c r="J457" i="10" s="1"/>
  <c r="F458" i="9"/>
  <c r="S457" i="5"/>
  <c r="G457" i="5" s="1"/>
  <c r="J457" i="5" s="1"/>
  <c r="R458" i="5"/>
  <c r="K457" i="5"/>
  <c r="M457" i="5" s="1"/>
  <c r="F458" i="5"/>
  <c r="T463" i="5" l="1"/>
  <c r="C464" i="5"/>
  <c r="C469" i="9"/>
  <c r="T468" i="9"/>
  <c r="L457" i="5"/>
  <c r="H371" i="9"/>
  <c r="I371" i="9" s="1"/>
  <c r="N370" i="9"/>
  <c r="O370" i="9"/>
  <c r="P370" i="9" s="1"/>
  <c r="Q382" i="5"/>
  <c r="I382" i="5"/>
  <c r="C464" i="10"/>
  <c r="T463" i="10"/>
  <c r="L457" i="10"/>
  <c r="I363" i="10"/>
  <c r="H364" i="10"/>
  <c r="Q364" i="10" s="1"/>
  <c r="N363" i="10"/>
  <c r="O363" i="10"/>
  <c r="P363" i="10" s="1"/>
  <c r="F459" i="5"/>
  <c r="K458" i="9"/>
  <c r="M458" i="9" s="1"/>
  <c r="R459" i="9"/>
  <c r="S458" i="9"/>
  <c r="G458" i="9" s="1"/>
  <c r="J458" i="9" s="1"/>
  <c r="S458" i="5"/>
  <c r="G458" i="5" s="1"/>
  <c r="J458" i="5" s="1"/>
  <c r="R459" i="5"/>
  <c r="K458" i="5"/>
  <c r="M458" i="5" s="1"/>
  <c r="F459" i="9"/>
  <c r="R459" i="10"/>
  <c r="K458" i="10"/>
  <c r="M458" i="10" s="1"/>
  <c r="S458" i="10"/>
  <c r="G458" i="10" s="1"/>
  <c r="J458" i="10" s="1"/>
  <c r="F459" i="10"/>
  <c r="L457" i="9"/>
  <c r="L458" i="5" l="1"/>
  <c r="Q371" i="9"/>
  <c r="C470" i="9"/>
  <c r="T469" i="9"/>
  <c r="L458" i="9"/>
  <c r="L459" i="9" s="1"/>
  <c r="Q383" i="5"/>
  <c r="O382" i="5"/>
  <c r="P382" i="5" s="1"/>
  <c r="H383" i="5"/>
  <c r="I383" i="5" s="1"/>
  <c r="N382" i="5"/>
  <c r="T464" i="5"/>
  <c r="C465" i="5"/>
  <c r="C465" i="10"/>
  <c r="T464" i="10"/>
  <c r="H365" i="10"/>
  <c r="Q365" i="10" s="1"/>
  <c r="N364" i="10"/>
  <c r="O364" i="10"/>
  <c r="P364" i="10" s="1"/>
  <c r="I364" i="10"/>
  <c r="F460" i="5"/>
  <c r="F460" i="9"/>
  <c r="L458" i="10"/>
  <c r="F460" i="10"/>
  <c r="R460" i="10"/>
  <c r="K459" i="10"/>
  <c r="M459" i="10" s="1"/>
  <c r="S459" i="10"/>
  <c r="G459" i="10" s="1"/>
  <c r="J459" i="10" s="1"/>
  <c r="S459" i="5"/>
  <c r="G459" i="5" s="1"/>
  <c r="J459" i="5" s="1"/>
  <c r="R460" i="5"/>
  <c r="K459" i="5"/>
  <c r="M459" i="5" s="1"/>
  <c r="K459" i="9"/>
  <c r="M459" i="9" s="1"/>
  <c r="R460" i="9"/>
  <c r="S459" i="9"/>
  <c r="G459" i="9" s="1"/>
  <c r="J459" i="9" s="1"/>
  <c r="H384" i="5" l="1"/>
  <c r="Q384" i="5" s="1"/>
  <c r="N383" i="5"/>
  <c r="O383" i="5"/>
  <c r="P383" i="5" s="1"/>
  <c r="C466" i="10"/>
  <c r="T465" i="10"/>
  <c r="T465" i="5"/>
  <c r="C466" i="5"/>
  <c r="C471" i="9"/>
  <c r="T470" i="9"/>
  <c r="I384" i="5"/>
  <c r="L459" i="5"/>
  <c r="O371" i="9"/>
  <c r="P371" i="9" s="1"/>
  <c r="N371" i="9"/>
  <c r="H372" i="9"/>
  <c r="O365" i="10"/>
  <c r="P365" i="10" s="1"/>
  <c r="H366" i="10"/>
  <c r="Q366" i="10" s="1"/>
  <c r="N365" i="10"/>
  <c r="I365" i="10"/>
  <c r="L459" i="10"/>
  <c r="K460" i="9"/>
  <c r="M460" i="9" s="1"/>
  <c r="R461" i="9"/>
  <c r="S460" i="9"/>
  <c r="V42" i="9" s="1"/>
  <c r="F461" i="5"/>
  <c r="L460" i="9"/>
  <c r="S460" i="5"/>
  <c r="V42" i="5" s="1"/>
  <c r="R461" i="5"/>
  <c r="K460" i="5"/>
  <c r="M460" i="5" s="1"/>
  <c r="K460" i="10"/>
  <c r="M460" i="10" s="1"/>
  <c r="R461" i="10"/>
  <c r="S460" i="10"/>
  <c r="V42" i="10" s="1"/>
  <c r="F461" i="10"/>
  <c r="F461" i="9"/>
  <c r="G460" i="9"/>
  <c r="J460" i="9" s="1"/>
  <c r="C472" i="9" l="1"/>
  <c r="T471" i="9"/>
  <c r="T466" i="5"/>
  <c r="C467" i="5"/>
  <c r="G460" i="5"/>
  <c r="J460" i="5" s="1"/>
  <c r="Q372" i="9"/>
  <c r="I372" i="9"/>
  <c r="C467" i="10"/>
  <c r="T466" i="10"/>
  <c r="H385" i="5"/>
  <c r="Q385" i="5" s="1"/>
  <c r="N384" i="5"/>
  <c r="O384" i="5"/>
  <c r="P384" i="5" s="1"/>
  <c r="H367" i="10"/>
  <c r="Q367" i="10" s="1"/>
  <c r="N366" i="10"/>
  <c r="O366" i="10"/>
  <c r="P366" i="10" s="1"/>
  <c r="L460" i="10"/>
  <c r="I366" i="10"/>
  <c r="F462" i="10"/>
  <c r="R462" i="5"/>
  <c r="K461" i="5"/>
  <c r="M461" i="5" s="1"/>
  <c r="S461" i="5"/>
  <c r="G461" i="5" s="1"/>
  <c r="J461" i="5" s="1"/>
  <c r="F462" i="9"/>
  <c r="K461" i="10"/>
  <c r="M461" i="10" s="1"/>
  <c r="R462" i="10"/>
  <c r="S461" i="10"/>
  <c r="G461" i="10" s="1"/>
  <c r="J461" i="10" s="1"/>
  <c r="K461" i="9"/>
  <c r="M461" i="9" s="1"/>
  <c r="R462" i="9"/>
  <c r="S461" i="9"/>
  <c r="G461" i="9" s="1"/>
  <c r="J461" i="9" s="1"/>
  <c r="G460" i="10"/>
  <c r="J460" i="10" s="1"/>
  <c r="L460" i="5"/>
  <c r="L461" i="5" s="1"/>
  <c r="F462" i="5"/>
  <c r="N385" i="5" l="1"/>
  <c r="O385" i="5"/>
  <c r="P385" i="5" s="1"/>
  <c r="H386" i="5"/>
  <c r="Q386" i="5" s="1"/>
  <c r="H373" i="9"/>
  <c r="I373" i="9" s="1"/>
  <c r="N372" i="9"/>
  <c r="O372" i="9"/>
  <c r="P372" i="9" s="1"/>
  <c r="T467" i="5"/>
  <c r="C468" i="5"/>
  <c r="C468" i="10"/>
  <c r="T467" i="10"/>
  <c r="I385" i="5"/>
  <c r="I386" i="5" s="1"/>
  <c r="I367" i="10"/>
  <c r="L461" i="9"/>
  <c r="C473" i="9"/>
  <c r="T472" i="9"/>
  <c r="O367" i="10"/>
  <c r="P367" i="10" s="1"/>
  <c r="N367" i="10"/>
  <c r="H368" i="10"/>
  <c r="Q368" i="10" s="1"/>
  <c r="K462" i="10"/>
  <c r="M462" i="10" s="1"/>
  <c r="R463" i="10"/>
  <c r="S462" i="10"/>
  <c r="G462" i="10" s="1"/>
  <c r="J462" i="10" s="1"/>
  <c r="F463" i="10"/>
  <c r="F463" i="9"/>
  <c r="L461" i="10"/>
  <c r="R463" i="5"/>
  <c r="K462" i="5"/>
  <c r="M462" i="5" s="1"/>
  <c r="S462" i="5"/>
  <c r="G462" i="5" s="1"/>
  <c r="J462" i="5" s="1"/>
  <c r="F463" i="5"/>
  <c r="K462" i="9"/>
  <c r="M462" i="9" s="1"/>
  <c r="R463" i="9"/>
  <c r="S462" i="9"/>
  <c r="G462" i="9" s="1"/>
  <c r="J462" i="9" s="1"/>
  <c r="Q373" i="9" l="1"/>
  <c r="H387" i="5"/>
  <c r="Q387" i="5" s="1"/>
  <c r="N386" i="5"/>
  <c r="O386" i="5"/>
  <c r="P386" i="5" s="1"/>
  <c r="C469" i="10"/>
  <c r="T468" i="10"/>
  <c r="C474" i="9"/>
  <c r="T473" i="9"/>
  <c r="T468" i="5"/>
  <c r="C469" i="5"/>
  <c r="H369" i="10"/>
  <c r="Q369" i="10" s="1"/>
  <c r="N368" i="10"/>
  <c r="O368" i="10"/>
  <c r="P368" i="10" s="1"/>
  <c r="I368" i="10"/>
  <c r="F464" i="5"/>
  <c r="F464" i="10"/>
  <c r="L462" i="5"/>
  <c r="F464" i="9"/>
  <c r="K463" i="10"/>
  <c r="M463" i="10" s="1"/>
  <c r="R464" i="10"/>
  <c r="S463" i="10"/>
  <c r="G463" i="10" s="1"/>
  <c r="J463" i="10" s="1"/>
  <c r="L462" i="9"/>
  <c r="K463" i="9"/>
  <c r="M463" i="9" s="1"/>
  <c r="R464" i="9"/>
  <c r="S463" i="9"/>
  <c r="G463" i="9" s="1"/>
  <c r="J463" i="9" s="1"/>
  <c r="R464" i="5"/>
  <c r="K463" i="5"/>
  <c r="M463" i="5" s="1"/>
  <c r="S463" i="5"/>
  <c r="G463" i="5" s="1"/>
  <c r="J463" i="5" s="1"/>
  <c r="L462" i="10"/>
  <c r="N387" i="5" l="1"/>
  <c r="H388" i="5"/>
  <c r="Q388" i="5" s="1"/>
  <c r="O387" i="5"/>
  <c r="P387" i="5" s="1"/>
  <c r="C470" i="10"/>
  <c r="T469" i="10"/>
  <c r="N373" i="9"/>
  <c r="H374" i="9"/>
  <c r="I374" i="9" s="1"/>
  <c r="O373" i="9"/>
  <c r="P373" i="9" s="1"/>
  <c r="C475" i="9"/>
  <c r="T474" i="9"/>
  <c r="I387" i="5"/>
  <c r="I388" i="5" s="1"/>
  <c r="C470" i="5"/>
  <c r="T469" i="5"/>
  <c r="N369" i="10"/>
  <c r="H370" i="10"/>
  <c r="Q370" i="10" s="1"/>
  <c r="O369" i="10"/>
  <c r="P369" i="10" s="1"/>
  <c r="I369" i="10"/>
  <c r="K464" i="9"/>
  <c r="M464" i="9" s="1"/>
  <c r="R465" i="9"/>
  <c r="S464" i="9"/>
  <c r="G464" i="9" s="1"/>
  <c r="J464" i="9" s="1"/>
  <c r="K464" i="10"/>
  <c r="M464" i="10" s="1"/>
  <c r="R465" i="10"/>
  <c r="S464" i="10"/>
  <c r="G464" i="10" s="1"/>
  <c r="J464" i="10" s="1"/>
  <c r="F465" i="5"/>
  <c r="F465" i="9"/>
  <c r="F465" i="10"/>
  <c r="R465" i="5"/>
  <c r="K464" i="5"/>
  <c r="M464" i="5" s="1"/>
  <c r="S464" i="5"/>
  <c r="G464" i="5" s="1"/>
  <c r="J464" i="5" s="1"/>
  <c r="L463" i="5"/>
  <c r="L463" i="10"/>
  <c r="L463" i="9"/>
  <c r="L464" i="9" s="1"/>
  <c r="Q374" i="9" l="1"/>
  <c r="T470" i="5"/>
  <c r="C471" i="5"/>
  <c r="I389" i="5"/>
  <c r="C471" i="10"/>
  <c r="T470" i="10"/>
  <c r="T475" i="9"/>
  <c r="C476" i="9"/>
  <c r="N388" i="5"/>
  <c r="O388" i="5"/>
  <c r="P388" i="5" s="1"/>
  <c r="H389" i="5"/>
  <c r="Q389" i="5" s="1"/>
  <c r="L464" i="5"/>
  <c r="N370" i="10"/>
  <c r="H371" i="10"/>
  <c r="Q371" i="10" s="1"/>
  <c r="O370" i="10"/>
  <c r="P370" i="10" s="1"/>
  <c r="I370" i="10"/>
  <c r="F466" i="10"/>
  <c r="F466" i="5"/>
  <c r="K465" i="10"/>
  <c r="M465" i="10" s="1"/>
  <c r="R466" i="10"/>
  <c r="S465" i="10"/>
  <c r="G465" i="10" s="1"/>
  <c r="J465" i="10" s="1"/>
  <c r="R466" i="5"/>
  <c r="K465" i="5"/>
  <c r="M465" i="5" s="1"/>
  <c r="S465" i="5"/>
  <c r="G465" i="5" s="1"/>
  <c r="J465" i="5" s="1"/>
  <c r="F466" i="9"/>
  <c r="K465" i="9"/>
  <c r="M465" i="9" s="1"/>
  <c r="R466" i="9"/>
  <c r="S465" i="9"/>
  <c r="G465" i="9" s="1"/>
  <c r="J465" i="9" s="1"/>
  <c r="L464" i="10"/>
  <c r="O389" i="5" l="1"/>
  <c r="P389" i="5" s="1"/>
  <c r="H390" i="5"/>
  <c r="I390" i="5" s="1"/>
  <c r="N389" i="5"/>
  <c r="T471" i="5"/>
  <c r="C472" i="5"/>
  <c r="H375" i="9"/>
  <c r="N374" i="9"/>
  <c r="O374" i="9"/>
  <c r="P374" i="9" s="1"/>
  <c r="C472" i="10"/>
  <c r="T471" i="10"/>
  <c r="C477" i="9"/>
  <c r="T476" i="9"/>
  <c r="N371" i="10"/>
  <c r="H372" i="10"/>
  <c r="Q372" i="10" s="1"/>
  <c r="O371" i="10"/>
  <c r="P371" i="10" s="1"/>
  <c r="I371" i="10"/>
  <c r="L465" i="10"/>
  <c r="K466" i="9"/>
  <c r="M466" i="9" s="1"/>
  <c r="R467" i="9"/>
  <c r="S466" i="9"/>
  <c r="G466" i="9" s="1"/>
  <c r="J466" i="9" s="1"/>
  <c r="K466" i="10"/>
  <c r="M466" i="10" s="1"/>
  <c r="R467" i="10"/>
  <c r="S466" i="10"/>
  <c r="G466" i="10" s="1"/>
  <c r="J466" i="10" s="1"/>
  <c r="F467" i="10"/>
  <c r="L465" i="9"/>
  <c r="F467" i="9"/>
  <c r="R467" i="5"/>
  <c r="K466" i="5"/>
  <c r="M466" i="5" s="1"/>
  <c r="S466" i="5"/>
  <c r="G466" i="5" s="1"/>
  <c r="J466" i="5" s="1"/>
  <c r="F467" i="5"/>
  <c r="L465" i="5"/>
  <c r="Q375" i="9" l="1"/>
  <c r="I375" i="9"/>
  <c r="C478" i="9"/>
  <c r="T477" i="9"/>
  <c r="Q390" i="5"/>
  <c r="T472" i="5"/>
  <c r="C473" i="5"/>
  <c r="L466" i="5"/>
  <c r="L467" i="5" s="1"/>
  <c r="C473" i="10"/>
  <c r="T472" i="10"/>
  <c r="H373" i="10"/>
  <c r="Q373" i="10" s="1"/>
  <c r="O372" i="10"/>
  <c r="P372" i="10" s="1"/>
  <c r="N372" i="10"/>
  <c r="I372" i="10"/>
  <c r="L466" i="10"/>
  <c r="F468" i="5"/>
  <c r="K467" i="10"/>
  <c r="M467" i="10" s="1"/>
  <c r="R468" i="10"/>
  <c r="S467" i="10"/>
  <c r="G467" i="10" s="1"/>
  <c r="J467" i="10" s="1"/>
  <c r="R468" i="5"/>
  <c r="K467" i="5"/>
  <c r="M467" i="5" s="1"/>
  <c r="S467" i="5"/>
  <c r="G467" i="5" s="1"/>
  <c r="J467" i="5" s="1"/>
  <c r="K467" i="9"/>
  <c r="M467" i="9" s="1"/>
  <c r="R468" i="9"/>
  <c r="S467" i="9"/>
  <c r="L466" i="9"/>
  <c r="F468" i="10"/>
  <c r="F468" i="9"/>
  <c r="G467" i="9"/>
  <c r="J467" i="9" s="1"/>
  <c r="H391" i="5" l="1"/>
  <c r="I391" i="5" s="1"/>
  <c r="N390" i="5"/>
  <c r="O390" i="5"/>
  <c r="P390" i="5" s="1"/>
  <c r="Q391" i="5"/>
  <c r="C474" i="10"/>
  <c r="T473" i="10"/>
  <c r="N375" i="9"/>
  <c r="O375" i="9"/>
  <c r="P375" i="9" s="1"/>
  <c r="H376" i="9"/>
  <c r="Q376" i="9" s="1"/>
  <c r="C474" i="5"/>
  <c r="T473" i="5"/>
  <c r="C479" i="9"/>
  <c r="T478" i="9"/>
  <c r="I373" i="10"/>
  <c r="O373" i="10"/>
  <c r="P373" i="10" s="1"/>
  <c r="H374" i="10"/>
  <c r="N373" i="10"/>
  <c r="L467" i="10"/>
  <c r="F469" i="5"/>
  <c r="K468" i="9"/>
  <c r="M468" i="9" s="1"/>
  <c r="R469" i="9"/>
  <c r="S468" i="9"/>
  <c r="G468" i="9" s="1"/>
  <c r="J468" i="9" s="1"/>
  <c r="R469" i="5"/>
  <c r="K468" i="5"/>
  <c r="M468" i="5" s="1"/>
  <c r="S468" i="5"/>
  <c r="G468" i="5" s="1"/>
  <c r="J468" i="5" s="1"/>
  <c r="F469" i="9"/>
  <c r="L467" i="9"/>
  <c r="F469" i="10"/>
  <c r="K468" i="10"/>
  <c r="M468" i="10" s="1"/>
  <c r="R469" i="10"/>
  <c r="S468" i="10"/>
  <c r="G468" i="10" s="1"/>
  <c r="J468" i="10" s="1"/>
  <c r="L468" i="5" l="1"/>
  <c r="L468" i="9"/>
  <c r="C475" i="10"/>
  <c r="T474" i="10"/>
  <c r="T479" i="9"/>
  <c r="C480" i="9"/>
  <c r="I376" i="9"/>
  <c r="I377" i="9" s="1"/>
  <c r="H392" i="5"/>
  <c r="Q392" i="5" s="1"/>
  <c r="O391" i="5"/>
  <c r="P391" i="5" s="1"/>
  <c r="N391" i="5"/>
  <c r="T474" i="5"/>
  <c r="C475" i="5"/>
  <c r="H377" i="9"/>
  <c r="Q377" i="9" s="1"/>
  <c r="O376" i="9"/>
  <c r="P376" i="9" s="1"/>
  <c r="N376" i="9"/>
  <c r="I374" i="10"/>
  <c r="Q374" i="10"/>
  <c r="L468" i="10"/>
  <c r="R470" i="5"/>
  <c r="K469" i="5"/>
  <c r="M469" i="5" s="1"/>
  <c r="S469" i="5"/>
  <c r="G469" i="5" s="1"/>
  <c r="J469" i="5" s="1"/>
  <c r="K469" i="10"/>
  <c r="M469" i="10" s="1"/>
  <c r="R470" i="10"/>
  <c r="S469" i="10"/>
  <c r="G469" i="10" s="1"/>
  <c r="J469" i="10" s="1"/>
  <c r="F470" i="5"/>
  <c r="F470" i="9"/>
  <c r="F470" i="10"/>
  <c r="K469" i="9"/>
  <c r="M469" i="9" s="1"/>
  <c r="R470" i="9"/>
  <c r="S469" i="9"/>
  <c r="G469" i="9" s="1"/>
  <c r="J469" i="9" s="1"/>
  <c r="L469" i="9"/>
  <c r="N392" i="5" l="1"/>
  <c r="H393" i="5"/>
  <c r="Q393" i="5" s="1"/>
  <c r="O392" i="5"/>
  <c r="P392" i="5" s="1"/>
  <c r="I392" i="5"/>
  <c r="I393" i="5" s="1"/>
  <c r="H378" i="9"/>
  <c r="I378" i="9" s="1"/>
  <c r="N377" i="9"/>
  <c r="O377" i="9"/>
  <c r="P377" i="9" s="1"/>
  <c r="C481" i="9"/>
  <c r="T480" i="9"/>
  <c r="T475" i="5"/>
  <c r="C476" i="5"/>
  <c r="C476" i="10"/>
  <c r="T475" i="10"/>
  <c r="L469" i="10"/>
  <c r="O374" i="10"/>
  <c r="P374" i="10" s="1"/>
  <c r="N374" i="10"/>
  <c r="H375" i="10"/>
  <c r="I375" i="10" s="1"/>
  <c r="K470" i="10"/>
  <c r="M470" i="10" s="1"/>
  <c r="R471" i="10"/>
  <c r="S470" i="10"/>
  <c r="G470" i="10" s="1"/>
  <c r="J470" i="10" s="1"/>
  <c r="R471" i="5"/>
  <c r="K470" i="5"/>
  <c r="M470" i="5" s="1"/>
  <c r="S470" i="5"/>
  <c r="G470" i="5" s="1"/>
  <c r="J470" i="5" s="1"/>
  <c r="F471" i="9"/>
  <c r="K470" i="9"/>
  <c r="M470" i="9" s="1"/>
  <c r="R471" i="9"/>
  <c r="S470" i="9"/>
  <c r="G470" i="9" s="1"/>
  <c r="J470" i="9" s="1"/>
  <c r="F471" i="10"/>
  <c r="F471" i="5"/>
  <c r="L469" i="5"/>
  <c r="L470" i="5" s="1"/>
  <c r="Q378" i="9" l="1"/>
  <c r="T476" i="5"/>
  <c r="C477" i="5"/>
  <c r="I394" i="5"/>
  <c r="C477" i="10"/>
  <c r="T476" i="10"/>
  <c r="C482" i="9"/>
  <c r="T481" i="9"/>
  <c r="H394" i="5"/>
  <c r="Q394" i="5" s="1"/>
  <c r="N393" i="5"/>
  <c r="O393" i="5"/>
  <c r="P393" i="5" s="1"/>
  <c r="Q375" i="10"/>
  <c r="F472" i="5"/>
  <c r="G471" i="5"/>
  <c r="J471" i="5" s="1"/>
  <c r="F472" i="9"/>
  <c r="R472" i="5"/>
  <c r="K471" i="5"/>
  <c r="M471" i="5" s="1"/>
  <c r="S471" i="5"/>
  <c r="L470" i="10"/>
  <c r="R472" i="10"/>
  <c r="K471" i="10"/>
  <c r="M471" i="10" s="1"/>
  <c r="S471" i="10"/>
  <c r="G471" i="10" s="1"/>
  <c r="J471" i="10" s="1"/>
  <c r="R472" i="9"/>
  <c r="K471" i="9"/>
  <c r="M471" i="9" s="1"/>
  <c r="S471" i="9"/>
  <c r="G471" i="9" s="1"/>
  <c r="J471" i="9" s="1"/>
  <c r="F472" i="10"/>
  <c r="L470" i="9"/>
  <c r="C483" i="9" l="1"/>
  <c r="T482" i="9"/>
  <c r="C478" i="10"/>
  <c r="T477" i="10"/>
  <c r="C478" i="5"/>
  <c r="T477" i="5"/>
  <c r="H395" i="5"/>
  <c r="Q395" i="5" s="1"/>
  <c r="N394" i="5"/>
  <c r="O394" i="5"/>
  <c r="P394" i="5" s="1"/>
  <c r="N378" i="9"/>
  <c r="H379" i="9"/>
  <c r="I379" i="9" s="1"/>
  <c r="O378" i="9"/>
  <c r="P378" i="9" s="1"/>
  <c r="O375" i="10"/>
  <c r="P375" i="10" s="1"/>
  <c r="N375" i="10"/>
  <c r="H376" i="10"/>
  <c r="I376" i="10" s="1"/>
  <c r="R473" i="5"/>
  <c r="K472" i="5"/>
  <c r="M472" i="5" s="1"/>
  <c r="S472" i="5"/>
  <c r="V43" i="5" s="1"/>
  <c r="F473" i="10"/>
  <c r="L471" i="5"/>
  <c r="L471" i="10"/>
  <c r="K472" i="10"/>
  <c r="M472" i="10" s="1"/>
  <c r="R473" i="10"/>
  <c r="S472" i="10"/>
  <c r="V43" i="10" s="1"/>
  <c r="K472" i="9"/>
  <c r="M472" i="9" s="1"/>
  <c r="R473" i="9"/>
  <c r="S472" i="9"/>
  <c r="V43" i="9" s="1"/>
  <c r="F473" i="5"/>
  <c r="F473" i="9"/>
  <c r="G472" i="9"/>
  <c r="J472" i="9" s="1"/>
  <c r="L471" i="9"/>
  <c r="L472" i="9" s="1"/>
  <c r="H396" i="5" l="1"/>
  <c r="Q396" i="5" s="1"/>
  <c r="N395" i="5"/>
  <c r="O395" i="5"/>
  <c r="P395" i="5" s="1"/>
  <c r="I395" i="5"/>
  <c r="I396" i="5" s="1"/>
  <c r="T478" i="5"/>
  <c r="C479" i="5"/>
  <c r="Q379" i="9"/>
  <c r="T478" i="10"/>
  <c r="C479" i="10"/>
  <c r="G472" i="5"/>
  <c r="J472" i="5" s="1"/>
  <c r="L472" i="5"/>
  <c r="L473" i="5" s="1"/>
  <c r="T483" i="9"/>
  <c r="C484" i="9"/>
  <c r="G472" i="10"/>
  <c r="J472" i="10" s="1"/>
  <c r="Q376" i="10"/>
  <c r="F474" i="5"/>
  <c r="F474" i="10"/>
  <c r="K473" i="5"/>
  <c r="M473" i="5" s="1"/>
  <c r="S473" i="5"/>
  <c r="G473" i="5" s="1"/>
  <c r="J473" i="5" s="1"/>
  <c r="R474" i="5"/>
  <c r="F474" i="9"/>
  <c r="R474" i="9"/>
  <c r="K473" i="9"/>
  <c r="M473" i="9" s="1"/>
  <c r="S473" i="9"/>
  <c r="G473" i="9" s="1"/>
  <c r="J473" i="9" s="1"/>
  <c r="R474" i="10"/>
  <c r="K473" i="10"/>
  <c r="M473" i="10" s="1"/>
  <c r="S473" i="10"/>
  <c r="G473" i="10" s="1"/>
  <c r="J473" i="10" s="1"/>
  <c r="L472" i="10"/>
  <c r="H397" i="5" l="1"/>
  <c r="Q397" i="5" s="1"/>
  <c r="N396" i="5"/>
  <c r="O396" i="5"/>
  <c r="P396" i="5" s="1"/>
  <c r="T479" i="5"/>
  <c r="C480" i="5"/>
  <c r="I397" i="5"/>
  <c r="C485" i="9"/>
  <c r="T484" i="9"/>
  <c r="C480" i="10"/>
  <c r="T479" i="10"/>
  <c r="L473" i="9"/>
  <c r="H380" i="9"/>
  <c r="I380" i="9" s="1"/>
  <c r="O379" i="9"/>
  <c r="P379" i="9" s="1"/>
  <c r="N379" i="9"/>
  <c r="O376" i="10"/>
  <c r="P376" i="10" s="1"/>
  <c r="N376" i="10"/>
  <c r="H377" i="10"/>
  <c r="K474" i="10"/>
  <c r="M474" i="10" s="1"/>
  <c r="R475" i="10"/>
  <c r="S474" i="10"/>
  <c r="G474" i="10" s="1"/>
  <c r="J474" i="10" s="1"/>
  <c r="L473" i="10"/>
  <c r="K474" i="5"/>
  <c r="M474" i="5" s="1"/>
  <c r="S474" i="5"/>
  <c r="G474" i="5" s="1"/>
  <c r="J474" i="5" s="1"/>
  <c r="R475" i="5"/>
  <c r="K474" i="9"/>
  <c r="M474" i="9" s="1"/>
  <c r="R475" i="9"/>
  <c r="S474" i="9"/>
  <c r="F475" i="5"/>
  <c r="F475" i="9"/>
  <c r="G474" i="9"/>
  <c r="J474" i="9" s="1"/>
  <c r="F475" i="10"/>
  <c r="T480" i="5" l="1"/>
  <c r="C481" i="5"/>
  <c r="C486" i="9"/>
  <c r="T485" i="9"/>
  <c r="Q380" i="9"/>
  <c r="C481" i="10"/>
  <c r="T480" i="10"/>
  <c r="N397" i="5"/>
  <c r="O397" i="5"/>
  <c r="P397" i="5" s="1"/>
  <c r="H398" i="5"/>
  <c r="Q398" i="5" s="1"/>
  <c r="Q377" i="10"/>
  <c r="I377" i="10"/>
  <c r="F476" i="10"/>
  <c r="F476" i="5"/>
  <c r="L474" i="9"/>
  <c r="L475" i="9" s="1"/>
  <c r="L474" i="10"/>
  <c r="R476" i="9"/>
  <c r="K475" i="9"/>
  <c r="M475" i="9" s="1"/>
  <c r="S475" i="9"/>
  <c r="R476" i="10"/>
  <c r="K475" i="10"/>
  <c r="M475" i="10" s="1"/>
  <c r="S475" i="10"/>
  <c r="G475" i="10" s="1"/>
  <c r="J475" i="10" s="1"/>
  <c r="F476" i="9"/>
  <c r="G475" i="9"/>
  <c r="J475" i="9" s="1"/>
  <c r="S475" i="5"/>
  <c r="G475" i="5" s="1"/>
  <c r="J475" i="5" s="1"/>
  <c r="R476" i="5"/>
  <c r="K475" i="5"/>
  <c r="M475" i="5" s="1"/>
  <c r="L474" i="5"/>
  <c r="L475" i="5" s="1"/>
  <c r="H399" i="5" l="1"/>
  <c r="Q399" i="5" s="1"/>
  <c r="O398" i="5"/>
  <c r="P398" i="5" s="1"/>
  <c r="N398" i="5"/>
  <c r="C482" i="5"/>
  <c r="T481" i="5"/>
  <c r="C482" i="10"/>
  <c r="T481" i="10"/>
  <c r="C487" i="9"/>
  <c r="T486" i="9"/>
  <c r="N380" i="9"/>
  <c r="H381" i="9"/>
  <c r="I381" i="9" s="1"/>
  <c r="O380" i="9"/>
  <c r="P380" i="9" s="1"/>
  <c r="I398" i="5"/>
  <c r="I399" i="5" s="1"/>
  <c r="O377" i="10"/>
  <c r="P377" i="10" s="1"/>
  <c r="N377" i="10"/>
  <c r="H378" i="10"/>
  <c r="Q378" i="10" s="1"/>
  <c r="K476" i="10"/>
  <c r="M476" i="10" s="1"/>
  <c r="R477" i="10"/>
  <c r="S476" i="10"/>
  <c r="G476" i="10" s="1"/>
  <c r="J476" i="10" s="1"/>
  <c r="K476" i="9"/>
  <c r="M476" i="9" s="1"/>
  <c r="R477" i="9"/>
  <c r="S476" i="9"/>
  <c r="G476" i="9" s="1"/>
  <c r="J476" i="9" s="1"/>
  <c r="F477" i="10"/>
  <c r="S476" i="5"/>
  <c r="G476" i="5" s="1"/>
  <c r="J476" i="5" s="1"/>
  <c r="R477" i="5"/>
  <c r="K476" i="5"/>
  <c r="M476" i="5" s="1"/>
  <c r="F477" i="9"/>
  <c r="F477" i="5"/>
  <c r="L476" i="9"/>
  <c r="L475" i="10"/>
  <c r="L476" i="5" l="1"/>
  <c r="Q381" i="9"/>
  <c r="T482" i="10"/>
  <c r="C483" i="10"/>
  <c r="T487" i="9"/>
  <c r="C488" i="9"/>
  <c r="I382" i="9"/>
  <c r="T482" i="5"/>
  <c r="C483" i="5"/>
  <c r="H382" i="9"/>
  <c r="Q382" i="9" s="1"/>
  <c r="O381" i="9"/>
  <c r="P381" i="9" s="1"/>
  <c r="N381" i="9"/>
  <c r="H400" i="5"/>
  <c r="Q400" i="5" s="1"/>
  <c r="N399" i="5"/>
  <c r="O399" i="5"/>
  <c r="P399" i="5" s="1"/>
  <c r="O378" i="10"/>
  <c r="P378" i="10" s="1"/>
  <c r="N378" i="10"/>
  <c r="H379" i="10"/>
  <c r="Q379" i="10" s="1"/>
  <c r="L476" i="10"/>
  <c r="I378" i="10"/>
  <c r="F478" i="9"/>
  <c r="R478" i="9"/>
  <c r="K477" i="9"/>
  <c r="M477" i="9" s="1"/>
  <c r="S477" i="9"/>
  <c r="G477" i="9" s="1"/>
  <c r="J477" i="9" s="1"/>
  <c r="F478" i="5"/>
  <c r="K477" i="5"/>
  <c r="M477" i="5" s="1"/>
  <c r="S477" i="5"/>
  <c r="G477" i="5" s="1"/>
  <c r="J477" i="5" s="1"/>
  <c r="R478" i="5"/>
  <c r="F478" i="10"/>
  <c r="R478" i="10"/>
  <c r="K477" i="10"/>
  <c r="M477" i="10" s="1"/>
  <c r="S477" i="10"/>
  <c r="G477" i="10" s="1"/>
  <c r="J477" i="10" s="1"/>
  <c r="L477" i="5" l="1"/>
  <c r="O382" i="9"/>
  <c r="P382" i="9" s="1"/>
  <c r="H383" i="9"/>
  <c r="I383" i="9" s="1"/>
  <c r="N382" i="9"/>
  <c r="T483" i="5"/>
  <c r="C484" i="5"/>
  <c r="O400" i="5"/>
  <c r="P400" i="5" s="1"/>
  <c r="Q401" i="5"/>
  <c r="N400" i="5"/>
  <c r="H401" i="5"/>
  <c r="L477" i="9"/>
  <c r="C489" i="9"/>
  <c r="T488" i="9"/>
  <c r="C484" i="10"/>
  <c r="T483" i="10"/>
  <c r="I400" i="5"/>
  <c r="I401" i="5" s="1"/>
  <c r="I379" i="10"/>
  <c r="N379" i="10"/>
  <c r="H380" i="10"/>
  <c r="Q380" i="10" s="1"/>
  <c r="O379" i="10"/>
  <c r="P379" i="10" s="1"/>
  <c r="K478" i="10"/>
  <c r="M478" i="10" s="1"/>
  <c r="R479" i="10"/>
  <c r="S478" i="10"/>
  <c r="G478" i="10" s="1"/>
  <c r="J478" i="10" s="1"/>
  <c r="F479" i="9"/>
  <c r="F479" i="5"/>
  <c r="K478" i="9"/>
  <c r="M478" i="9" s="1"/>
  <c r="R479" i="9"/>
  <c r="S478" i="9"/>
  <c r="G478" i="9" s="1"/>
  <c r="J478" i="9" s="1"/>
  <c r="K478" i="5"/>
  <c r="M478" i="5" s="1"/>
  <c r="S478" i="5"/>
  <c r="G478" i="5" s="1"/>
  <c r="J478" i="5" s="1"/>
  <c r="R479" i="5"/>
  <c r="F479" i="10"/>
  <c r="L477" i="10"/>
  <c r="O401" i="5" l="1"/>
  <c r="P401" i="5" s="1"/>
  <c r="N401" i="5"/>
  <c r="H402" i="5"/>
  <c r="Q402" i="5" s="1"/>
  <c r="T484" i="5"/>
  <c r="C485" i="5"/>
  <c r="C485" i="10"/>
  <c r="T484" i="10"/>
  <c r="C490" i="9"/>
  <c r="T489" i="9"/>
  <c r="Q383" i="9"/>
  <c r="L478" i="9"/>
  <c r="L478" i="5"/>
  <c r="L478" i="10"/>
  <c r="H381" i="10"/>
  <c r="Q381" i="10" s="1"/>
  <c r="O380" i="10"/>
  <c r="P380" i="10" s="1"/>
  <c r="N380" i="10"/>
  <c r="I380" i="10"/>
  <c r="R480" i="9"/>
  <c r="K479" i="9"/>
  <c r="M479" i="9" s="1"/>
  <c r="S479" i="9"/>
  <c r="G479" i="9" s="1"/>
  <c r="J479" i="9" s="1"/>
  <c r="R480" i="10"/>
  <c r="K479" i="10"/>
  <c r="M479" i="10" s="1"/>
  <c r="S479" i="10"/>
  <c r="G479" i="10" s="1"/>
  <c r="J479" i="10" s="1"/>
  <c r="K479" i="5"/>
  <c r="M479" i="5" s="1"/>
  <c r="S479" i="5"/>
  <c r="G479" i="5" s="1"/>
  <c r="J479" i="5" s="1"/>
  <c r="R480" i="5"/>
  <c r="F480" i="5"/>
  <c r="F480" i="10"/>
  <c r="F480" i="9"/>
  <c r="L479" i="5" l="1"/>
  <c r="L479" i="9"/>
  <c r="I402" i="5"/>
  <c r="C486" i="5"/>
  <c r="T485" i="5"/>
  <c r="N402" i="5"/>
  <c r="O402" i="5"/>
  <c r="P402" i="5" s="1"/>
  <c r="H403" i="5"/>
  <c r="Q403" i="5" s="1"/>
  <c r="C486" i="10"/>
  <c r="T485" i="10"/>
  <c r="O383" i="9"/>
  <c r="P383" i="9" s="1"/>
  <c r="H384" i="9"/>
  <c r="I384" i="9" s="1"/>
  <c r="N383" i="9"/>
  <c r="C491" i="9"/>
  <c r="T490" i="9"/>
  <c r="L479" i="10"/>
  <c r="N381" i="10"/>
  <c r="H382" i="10"/>
  <c r="Q382" i="10" s="1"/>
  <c r="O381" i="10"/>
  <c r="P381" i="10" s="1"/>
  <c r="I381" i="10"/>
  <c r="F481" i="9"/>
  <c r="F481" i="10"/>
  <c r="K480" i="9"/>
  <c r="M480" i="9" s="1"/>
  <c r="R481" i="9"/>
  <c r="S480" i="9"/>
  <c r="G480" i="9" s="1"/>
  <c r="J480" i="9" s="1"/>
  <c r="K480" i="5"/>
  <c r="M480" i="5" s="1"/>
  <c r="S480" i="5"/>
  <c r="G480" i="5" s="1"/>
  <c r="J480" i="5" s="1"/>
  <c r="R481" i="5"/>
  <c r="F481" i="5"/>
  <c r="K480" i="10"/>
  <c r="M480" i="10" s="1"/>
  <c r="R481" i="10"/>
  <c r="S480" i="10"/>
  <c r="G480" i="10" s="1"/>
  <c r="J480" i="10" s="1"/>
  <c r="Q384" i="9" l="1"/>
  <c r="O403" i="5"/>
  <c r="P403" i="5" s="1"/>
  <c r="H404" i="5"/>
  <c r="Q404" i="5" s="1"/>
  <c r="N403" i="5"/>
  <c r="T486" i="10"/>
  <c r="C487" i="10"/>
  <c r="T491" i="9"/>
  <c r="C492" i="9"/>
  <c r="O384" i="9"/>
  <c r="P384" i="9" s="1"/>
  <c r="N384" i="9"/>
  <c r="H385" i="9"/>
  <c r="I385" i="9" s="1"/>
  <c r="L480" i="5"/>
  <c r="L480" i="9"/>
  <c r="T486" i="5"/>
  <c r="C487" i="5"/>
  <c r="I403" i="5"/>
  <c r="I404" i="5" s="1"/>
  <c r="I382" i="10"/>
  <c r="O382" i="10"/>
  <c r="P382" i="10" s="1"/>
  <c r="H383" i="10"/>
  <c r="N382" i="10"/>
  <c r="L480" i="10"/>
  <c r="F482" i="5"/>
  <c r="F482" i="9"/>
  <c r="K481" i="10"/>
  <c r="M481" i="10" s="1"/>
  <c r="R482" i="10"/>
  <c r="S481" i="10"/>
  <c r="G481" i="10" s="1"/>
  <c r="J481" i="10" s="1"/>
  <c r="K481" i="5"/>
  <c r="M481" i="5" s="1"/>
  <c r="S481" i="5"/>
  <c r="G481" i="5" s="1"/>
  <c r="J481" i="5" s="1"/>
  <c r="R482" i="5"/>
  <c r="K481" i="9"/>
  <c r="M481" i="9" s="1"/>
  <c r="R482" i="9"/>
  <c r="S481" i="9"/>
  <c r="G481" i="9" s="1"/>
  <c r="J481" i="9" s="1"/>
  <c r="F482" i="10"/>
  <c r="Q385" i="9" l="1"/>
  <c r="T487" i="5"/>
  <c r="C488" i="5"/>
  <c r="C488" i="10"/>
  <c r="T487" i="10"/>
  <c r="H386" i="9"/>
  <c r="I386" i="9" s="1"/>
  <c r="N385" i="9"/>
  <c r="O385" i="9"/>
  <c r="P385" i="9" s="1"/>
  <c r="C493" i="9"/>
  <c r="T492" i="9"/>
  <c r="L481" i="9"/>
  <c r="N404" i="5"/>
  <c r="O404" i="5"/>
  <c r="P404" i="5" s="1"/>
  <c r="H405" i="5"/>
  <c r="I405" i="5" s="1"/>
  <c r="I383" i="10"/>
  <c r="Q383" i="10"/>
  <c r="K482" i="9"/>
  <c r="M482" i="9" s="1"/>
  <c r="R483" i="9"/>
  <c r="S482" i="9"/>
  <c r="G482" i="9" s="1"/>
  <c r="J482" i="9" s="1"/>
  <c r="F483" i="5"/>
  <c r="K482" i="5"/>
  <c r="M482" i="5" s="1"/>
  <c r="S482" i="5"/>
  <c r="G482" i="5" s="1"/>
  <c r="J482" i="5" s="1"/>
  <c r="R483" i="5"/>
  <c r="L481" i="5"/>
  <c r="F483" i="10"/>
  <c r="R483" i="10"/>
  <c r="K482" i="10"/>
  <c r="M482" i="10" s="1"/>
  <c r="S482" i="10"/>
  <c r="G482" i="10" s="1"/>
  <c r="J482" i="10" s="1"/>
  <c r="F483" i="9"/>
  <c r="L481" i="10"/>
  <c r="L482" i="9" l="1"/>
  <c r="Q405" i="5"/>
  <c r="C489" i="10"/>
  <c r="T488" i="10"/>
  <c r="C494" i="9"/>
  <c r="T493" i="9"/>
  <c r="T488" i="5"/>
  <c r="C489" i="5"/>
  <c r="L482" i="10"/>
  <c r="Q386" i="9"/>
  <c r="H384" i="10"/>
  <c r="I384" i="10" s="1"/>
  <c r="N383" i="10"/>
  <c r="O383" i="10"/>
  <c r="P383" i="10" s="1"/>
  <c r="F484" i="10"/>
  <c r="F484" i="9"/>
  <c r="K483" i="10"/>
  <c r="M483" i="10" s="1"/>
  <c r="R484" i="10"/>
  <c r="S483" i="10"/>
  <c r="G483" i="10" s="1"/>
  <c r="J483" i="10" s="1"/>
  <c r="K483" i="9"/>
  <c r="M483" i="9" s="1"/>
  <c r="R484" i="9"/>
  <c r="S483" i="9"/>
  <c r="G483" i="9" s="1"/>
  <c r="J483" i="9" s="1"/>
  <c r="K483" i="5"/>
  <c r="M483" i="5" s="1"/>
  <c r="S483" i="5"/>
  <c r="G483" i="5" s="1"/>
  <c r="J483" i="5" s="1"/>
  <c r="R484" i="5"/>
  <c r="F484" i="5"/>
  <c r="L482" i="5"/>
  <c r="L483" i="5" l="1"/>
  <c r="C495" i="9"/>
  <c r="T494" i="9"/>
  <c r="C490" i="5"/>
  <c r="T489" i="5"/>
  <c r="C490" i="10"/>
  <c r="T489" i="10"/>
  <c r="O386" i="9"/>
  <c r="P386" i="9" s="1"/>
  <c r="N386" i="9"/>
  <c r="H387" i="9"/>
  <c r="I387" i="9" s="1"/>
  <c r="N405" i="5"/>
  <c r="O405" i="5"/>
  <c r="P405" i="5" s="1"/>
  <c r="H406" i="5"/>
  <c r="Q384" i="10"/>
  <c r="L483" i="10"/>
  <c r="K484" i="9"/>
  <c r="M484" i="9" s="1"/>
  <c r="R485" i="9"/>
  <c r="S484" i="9"/>
  <c r="F485" i="9"/>
  <c r="F485" i="10"/>
  <c r="K484" i="5"/>
  <c r="M484" i="5" s="1"/>
  <c r="S484" i="5"/>
  <c r="G484" i="5" s="1"/>
  <c r="R485" i="5"/>
  <c r="K484" i="10"/>
  <c r="M484" i="10" s="1"/>
  <c r="R485" i="10"/>
  <c r="S484" i="10"/>
  <c r="G484" i="10" s="1"/>
  <c r="F485" i="5"/>
  <c r="L483" i="9"/>
  <c r="Q387" i="9" l="1"/>
  <c r="T490" i="10"/>
  <c r="C491" i="10"/>
  <c r="T490" i="5"/>
  <c r="C491" i="5"/>
  <c r="Q406" i="5"/>
  <c r="I406" i="5"/>
  <c r="L484" i="5"/>
  <c r="O387" i="9"/>
  <c r="P387" i="9" s="1"/>
  <c r="N387" i="9"/>
  <c r="H388" i="9"/>
  <c r="I388" i="9" s="1"/>
  <c r="Q388" i="9"/>
  <c r="T495" i="9"/>
  <c r="C496" i="9"/>
  <c r="N384" i="10"/>
  <c r="H385" i="10"/>
  <c r="I385" i="10" s="1"/>
  <c r="O384" i="10"/>
  <c r="P384" i="10" s="1"/>
  <c r="L484" i="10"/>
  <c r="J484" i="10"/>
  <c r="AF47" i="10" s="1"/>
  <c r="AE47" i="10"/>
  <c r="J484" i="5"/>
  <c r="AF47" i="5" s="1"/>
  <c r="O12" i="3" s="1"/>
  <c r="AE47" i="5"/>
  <c r="M12" i="3" s="1"/>
  <c r="V44" i="9"/>
  <c r="AD47" i="9"/>
  <c r="F486" i="9"/>
  <c r="V44" i="5"/>
  <c r="AD47" i="5"/>
  <c r="M27" i="3" s="1"/>
  <c r="K485" i="10"/>
  <c r="M485" i="10" s="1"/>
  <c r="R486" i="10"/>
  <c r="S485" i="10"/>
  <c r="G485" i="10" s="1"/>
  <c r="J485" i="10" s="1"/>
  <c r="V44" i="10"/>
  <c r="AD47" i="10"/>
  <c r="F486" i="5"/>
  <c r="K485" i="5"/>
  <c r="M485" i="5" s="1"/>
  <c r="S485" i="5"/>
  <c r="G485" i="5" s="1"/>
  <c r="J485" i="5" s="1"/>
  <c r="R486" i="5"/>
  <c r="F486" i="10"/>
  <c r="K485" i="9"/>
  <c r="M485" i="9" s="1"/>
  <c r="R486" i="9"/>
  <c r="S485" i="9"/>
  <c r="G485" i="9" s="1"/>
  <c r="J485" i="9" s="1"/>
  <c r="G484" i="9"/>
  <c r="L484" i="9"/>
  <c r="C497" i="9" l="1"/>
  <c r="T496" i="9"/>
  <c r="H407" i="5"/>
  <c r="I407" i="5" s="1"/>
  <c r="Q407" i="5"/>
  <c r="O406" i="5"/>
  <c r="P406" i="5" s="1"/>
  <c r="N406" i="5"/>
  <c r="T491" i="5"/>
  <c r="C492" i="5"/>
  <c r="N388" i="9"/>
  <c r="H389" i="9"/>
  <c r="I389" i="9" s="1"/>
  <c r="O388" i="9"/>
  <c r="P388" i="9" s="1"/>
  <c r="C492" i="10"/>
  <c r="T491" i="10"/>
  <c r="L485" i="10"/>
  <c r="Q385" i="10"/>
  <c r="F487" i="9"/>
  <c r="K486" i="9"/>
  <c r="M486" i="9" s="1"/>
  <c r="R487" i="9"/>
  <c r="S486" i="9"/>
  <c r="G486" i="9" s="1"/>
  <c r="J486" i="9" s="1"/>
  <c r="K486" i="5"/>
  <c r="M486" i="5" s="1"/>
  <c r="S486" i="5"/>
  <c r="G486" i="5" s="1"/>
  <c r="J486" i="5" s="1"/>
  <c r="R487" i="5"/>
  <c r="F487" i="5"/>
  <c r="R487" i="10"/>
  <c r="K486" i="10"/>
  <c r="M486" i="10" s="1"/>
  <c r="S486" i="10"/>
  <c r="G486" i="10" s="1"/>
  <c r="J486" i="10" s="1"/>
  <c r="J484" i="9"/>
  <c r="AF47" i="9" s="1"/>
  <c r="W35" i="8" s="1"/>
  <c r="AE47" i="9"/>
  <c r="R35" i="8" s="1"/>
  <c r="F487" i="10"/>
  <c r="L485" i="5"/>
  <c r="L486" i="5" s="1"/>
  <c r="L485" i="9"/>
  <c r="L486" i="9" s="1"/>
  <c r="C493" i="10" l="1"/>
  <c r="T492" i="10"/>
  <c r="O407" i="5"/>
  <c r="P407" i="5" s="1"/>
  <c r="N407" i="5"/>
  <c r="H408" i="5"/>
  <c r="Q408" i="5" s="1"/>
  <c r="Q389" i="9"/>
  <c r="C498" i="9"/>
  <c r="T497" i="9"/>
  <c r="T492" i="5"/>
  <c r="C493" i="5"/>
  <c r="N385" i="10"/>
  <c r="H386" i="10"/>
  <c r="I386" i="10" s="1"/>
  <c r="O385" i="10"/>
  <c r="P385" i="10" s="1"/>
  <c r="L486" i="10"/>
  <c r="F488" i="5"/>
  <c r="F488" i="9"/>
  <c r="K487" i="10"/>
  <c r="M487" i="10" s="1"/>
  <c r="R488" i="10"/>
  <c r="S487" i="10"/>
  <c r="G487" i="10" s="1"/>
  <c r="J487" i="10" s="1"/>
  <c r="L487" i="9"/>
  <c r="F488" i="10"/>
  <c r="K487" i="5"/>
  <c r="M487" i="5" s="1"/>
  <c r="S487" i="5"/>
  <c r="G487" i="5" s="1"/>
  <c r="J487" i="5" s="1"/>
  <c r="R488" i="5"/>
  <c r="K487" i="9"/>
  <c r="M487" i="9" s="1"/>
  <c r="R488" i="9"/>
  <c r="S487" i="9"/>
  <c r="G487" i="9" s="1"/>
  <c r="J487" i="9" s="1"/>
  <c r="N389" i="9" l="1"/>
  <c r="H390" i="9"/>
  <c r="O389" i="9"/>
  <c r="P389" i="9" s="1"/>
  <c r="C494" i="5"/>
  <c r="T493" i="5"/>
  <c r="C494" i="10"/>
  <c r="T493" i="10"/>
  <c r="O408" i="5"/>
  <c r="P408" i="5" s="1"/>
  <c r="H409" i="5"/>
  <c r="Q409" i="5" s="1"/>
  <c r="N408" i="5"/>
  <c r="C499" i="9"/>
  <c r="T498" i="9"/>
  <c r="I408" i="5"/>
  <c r="I409" i="5" s="1"/>
  <c r="L487" i="10"/>
  <c r="Q386" i="10"/>
  <c r="K488" i="9"/>
  <c r="M488" i="9" s="1"/>
  <c r="R489" i="9"/>
  <c r="S488" i="9"/>
  <c r="G488" i="9" s="1"/>
  <c r="J488" i="9" s="1"/>
  <c r="R489" i="10"/>
  <c r="K488" i="10"/>
  <c r="M488" i="10" s="1"/>
  <c r="S488" i="10"/>
  <c r="G488" i="10" s="1"/>
  <c r="J488" i="10" s="1"/>
  <c r="L487" i="5"/>
  <c r="F489" i="5"/>
  <c r="K488" i="5"/>
  <c r="M488" i="5" s="1"/>
  <c r="S488" i="5"/>
  <c r="G488" i="5" s="1"/>
  <c r="J488" i="5" s="1"/>
  <c r="R489" i="5"/>
  <c r="F489" i="10"/>
  <c r="F489" i="9"/>
  <c r="L488" i="9" l="1"/>
  <c r="H410" i="5"/>
  <c r="Q410" i="5" s="1"/>
  <c r="N409" i="5"/>
  <c r="O409" i="5"/>
  <c r="P409" i="5" s="1"/>
  <c r="I410" i="5"/>
  <c r="T494" i="5"/>
  <c r="C495" i="5"/>
  <c r="Q390" i="9"/>
  <c r="I390" i="9"/>
  <c r="T494" i="10"/>
  <c r="C495" i="10"/>
  <c r="T499" i="9"/>
  <c r="C500" i="9"/>
  <c r="O386" i="10"/>
  <c r="P386" i="10" s="1"/>
  <c r="N386" i="10"/>
  <c r="H387" i="10"/>
  <c r="I387" i="10" s="1"/>
  <c r="F490" i="9"/>
  <c r="K489" i="10"/>
  <c r="M489" i="10" s="1"/>
  <c r="R490" i="10"/>
  <c r="S489" i="10"/>
  <c r="G489" i="10" s="1"/>
  <c r="J489" i="10" s="1"/>
  <c r="K489" i="9"/>
  <c r="M489" i="9" s="1"/>
  <c r="R490" i="9"/>
  <c r="S489" i="9"/>
  <c r="G489" i="9" s="1"/>
  <c r="J489" i="9" s="1"/>
  <c r="K489" i="5"/>
  <c r="M489" i="5" s="1"/>
  <c r="S489" i="5"/>
  <c r="R490" i="5"/>
  <c r="F490" i="5"/>
  <c r="G489" i="5"/>
  <c r="J489" i="5" s="1"/>
  <c r="F490" i="10"/>
  <c r="L489" i="9"/>
  <c r="L488" i="10"/>
  <c r="L488" i="5"/>
  <c r="C501" i="9" l="1"/>
  <c r="T500" i="9"/>
  <c r="T495" i="5"/>
  <c r="C496" i="5"/>
  <c r="H391" i="9"/>
  <c r="Q391" i="9" s="1"/>
  <c r="N390" i="9"/>
  <c r="O390" i="9"/>
  <c r="P390" i="9" s="1"/>
  <c r="C496" i="10"/>
  <c r="T495" i="10"/>
  <c r="O410" i="5"/>
  <c r="P410" i="5" s="1"/>
  <c r="N410" i="5"/>
  <c r="H411" i="5"/>
  <c r="I411" i="5" s="1"/>
  <c r="Q387" i="10"/>
  <c r="L489" i="10"/>
  <c r="L490" i="10" s="1"/>
  <c r="K490" i="5"/>
  <c r="M490" i="5" s="1"/>
  <c r="S490" i="5"/>
  <c r="G490" i="5" s="1"/>
  <c r="J490" i="5" s="1"/>
  <c r="R491" i="5"/>
  <c r="F491" i="9"/>
  <c r="F491" i="5"/>
  <c r="F491" i="10"/>
  <c r="K490" i="9"/>
  <c r="M490" i="9" s="1"/>
  <c r="R491" i="9"/>
  <c r="S490" i="9"/>
  <c r="G490" i="9" s="1"/>
  <c r="J490" i="9" s="1"/>
  <c r="R491" i="10"/>
  <c r="K490" i="10"/>
  <c r="M490" i="10" s="1"/>
  <c r="S490" i="10"/>
  <c r="G490" i="10" s="1"/>
  <c r="J490" i="10" s="1"/>
  <c r="L489" i="5"/>
  <c r="L490" i="9" l="1"/>
  <c r="O391" i="9"/>
  <c r="P391" i="9" s="1"/>
  <c r="H392" i="9"/>
  <c r="Q392" i="9" s="1"/>
  <c r="N391" i="9"/>
  <c r="I391" i="9"/>
  <c r="I392" i="9" s="1"/>
  <c r="T496" i="5"/>
  <c r="C497" i="5"/>
  <c r="C497" i="10"/>
  <c r="T496" i="10"/>
  <c r="Q411" i="5"/>
  <c r="L490" i="5"/>
  <c r="C502" i="9"/>
  <c r="T501" i="9"/>
  <c r="H388" i="10"/>
  <c r="I388" i="10" s="1"/>
  <c r="N387" i="10"/>
  <c r="O387" i="10"/>
  <c r="P387" i="10" s="1"/>
  <c r="K491" i="9"/>
  <c r="M491" i="9" s="1"/>
  <c r="R492" i="9"/>
  <c r="S491" i="9"/>
  <c r="F492" i="5"/>
  <c r="K491" i="10"/>
  <c r="M491" i="10" s="1"/>
  <c r="R492" i="10"/>
  <c r="S491" i="10"/>
  <c r="G491" i="10" s="1"/>
  <c r="J491" i="10" s="1"/>
  <c r="K491" i="5"/>
  <c r="M491" i="5" s="1"/>
  <c r="S491" i="5"/>
  <c r="G491" i="5" s="1"/>
  <c r="J491" i="5" s="1"/>
  <c r="R492" i="5"/>
  <c r="L491" i="9"/>
  <c r="F492" i="10"/>
  <c r="F492" i="9"/>
  <c r="G491" i="9"/>
  <c r="J491" i="9" s="1"/>
  <c r="H393" i="9" l="1"/>
  <c r="Q393" i="9" s="1"/>
  <c r="N392" i="9"/>
  <c r="O392" i="9"/>
  <c r="P392" i="9" s="1"/>
  <c r="C498" i="10"/>
  <c r="T497" i="10"/>
  <c r="I393" i="9"/>
  <c r="C503" i="9"/>
  <c r="T502" i="9"/>
  <c r="O411" i="5"/>
  <c r="P411" i="5" s="1"/>
  <c r="N411" i="5"/>
  <c r="H412" i="5"/>
  <c r="I412" i="5" s="1"/>
  <c r="C498" i="5"/>
  <c r="T497" i="5"/>
  <c r="Q388" i="10"/>
  <c r="L491" i="5"/>
  <c r="F493" i="9"/>
  <c r="K492" i="9"/>
  <c r="M492" i="9" s="1"/>
  <c r="R493" i="9"/>
  <c r="S492" i="9"/>
  <c r="G492" i="9" s="1"/>
  <c r="J492" i="9" s="1"/>
  <c r="F493" i="10"/>
  <c r="K492" i="5"/>
  <c r="M492" i="5" s="1"/>
  <c r="S492" i="5"/>
  <c r="G492" i="5" s="1"/>
  <c r="J492" i="5" s="1"/>
  <c r="R493" i="5"/>
  <c r="R493" i="10"/>
  <c r="K492" i="10"/>
  <c r="M492" i="10" s="1"/>
  <c r="S492" i="10"/>
  <c r="G492" i="10" s="1"/>
  <c r="J492" i="10" s="1"/>
  <c r="F493" i="5"/>
  <c r="L491" i="10"/>
  <c r="T498" i="5" l="1"/>
  <c r="C499" i="5"/>
  <c r="T498" i="10"/>
  <c r="C499" i="10"/>
  <c r="T503" i="9"/>
  <c r="C504" i="9"/>
  <c r="L492" i="9"/>
  <c r="Q412" i="5"/>
  <c r="N393" i="9"/>
  <c r="O393" i="9"/>
  <c r="P393" i="9" s="1"/>
  <c r="H394" i="9"/>
  <c r="Q394" i="9" s="1"/>
  <c r="L492" i="10"/>
  <c r="N388" i="10"/>
  <c r="H389" i="10"/>
  <c r="I389" i="10" s="1"/>
  <c r="O388" i="10"/>
  <c r="P388" i="10" s="1"/>
  <c r="K493" i="9"/>
  <c r="M493" i="9" s="1"/>
  <c r="R494" i="9"/>
  <c r="S493" i="9"/>
  <c r="G493" i="9" s="1"/>
  <c r="J493" i="9" s="1"/>
  <c r="F494" i="9"/>
  <c r="L492" i="5"/>
  <c r="F494" i="5"/>
  <c r="K493" i="5"/>
  <c r="M493" i="5" s="1"/>
  <c r="S493" i="5"/>
  <c r="G493" i="5" s="1"/>
  <c r="J493" i="5" s="1"/>
  <c r="R494" i="5"/>
  <c r="F494" i="10"/>
  <c r="K493" i="10"/>
  <c r="M493" i="10" s="1"/>
  <c r="R494" i="10"/>
  <c r="S493" i="10"/>
  <c r="G493" i="10" s="1"/>
  <c r="J493" i="10" s="1"/>
  <c r="I394" i="9" l="1"/>
  <c r="C500" i="10"/>
  <c r="T499" i="10"/>
  <c r="C505" i="9"/>
  <c r="T504" i="9"/>
  <c r="N412" i="5"/>
  <c r="H413" i="5"/>
  <c r="O412" i="5"/>
  <c r="P412" i="5" s="1"/>
  <c r="T499" i="5"/>
  <c r="C500" i="5"/>
  <c r="H395" i="9"/>
  <c r="I395" i="9" s="1"/>
  <c r="N394" i="9"/>
  <c r="O394" i="9"/>
  <c r="P394" i="9" s="1"/>
  <c r="Q389" i="10"/>
  <c r="L493" i="10"/>
  <c r="R495" i="10"/>
  <c r="K494" i="10"/>
  <c r="M494" i="10" s="1"/>
  <c r="S494" i="10"/>
  <c r="G494" i="10" s="1"/>
  <c r="J494" i="10" s="1"/>
  <c r="K494" i="5"/>
  <c r="M494" i="5" s="1"/>
  <c r="S494" i="5"/>
  <c r="G494" i="5" s="1"/>
  <c r="J494" i="5" s="1"/>
  <c r="R495" i="5"/>
  <c r="F495" i="5"/>
  <c r="F495" i="10"/>
  <c r="K494" i="9"/>
  <c r="M494" i="9" s="1"/>
  <c r="R495" i="9"/>
  <c r="S494" i="9"/>
  <c r="G494" i="9" s="1"/>
  <c r="J494" i="9" s="1"/>
  <c r="L493" i="9"/>
  <c r="F495" i="9"/>
  <c r="L493" i="5"/>
  <c r="L494" i="5" l="1"/>
  <c r="C506" i="9"/>
  <c r="T505" i="9"/>
  <c r="Q395" i="9"/>
  <c r="Q413" i="5"/>
  <c r="I413" i="5"/>
  <c r="T500" i="5"/>
  <c r="C501" i="5"/>
  <c r="C501" i="10"/>
  <c r="T500" i="10"/>
  <c r="L494" i="10"/>
  <c r="H390" i="10"/>
  <c r="I390" i="10" s="1"/>
  <c r="O389" i="10"/>
  <c r="P389" i="10" s="1"/>
  <c r="N389" i="10"/>
  <c r="F496" i="9"/>
  <c r="K495" i="5"/>
  <c r="M495" i="5" s="1"/>
  <c r="S495" i="5"/>
  <c r="G495" i="5" s="1"/>
  <c r="J495" i="5" s="1"/>
  <c r="R496" i="5"/>
  <c r="F496" i="10"/>
  <c r="K495" i="10"/>
  <c r="M495" i="10" s="1"/>
  <c r="R496" i="10"/>
  <c r="S495" i="10"/>
  <c r="G495" i="10" s="1"/>
  <c r="J495" i="10" s="1"/>
  <c r="F496" i="5"/>
  <c r="K495" i="9"/>
  <c r="M495" i="9" s="1"/>
  <c r="R496" i="9"/>
  <c r="S495" i="9"/>
  <c r="G495" i="9" s="1"/>
  <c r="J495" i="9" s="1"/>
  <c r="L494" i="9"/>
  <c r="O413" i="5" l="1"/>
  <c r="P413" i="5" s="1"/>
  <c r="H414" i="5"/>
  <c r="Q414" i="5"/>
  <c r="N413" i="5"/>
  <c r="L495" i="9"/>
  <c r="L495" i="5"/>
  <c r="C507" i="9"/>
  <c r="T506" i="9"/>
  <c r="N395" i="9"/>
  <c r="O395" i="9"/>
  <c r="P395" i="9" s="1"/>
  <c r="H396" i="9"/>
  <c r="I396" i="9" s="1"/>
  <c r="C502" i="10"/>
  <c r="T501" i="10"/>
  <c r="I414" i="5"/>
  <c r="C502" i="5"/>
  <c r="T501" i="5"/>
  <c r="Q390" i="10"/>
  <c r="F497" i="5"/>
  <c r="K496" i="5"/>
  <c r="M496" i="5" s="1"/>
  <c r="S496" i="5"/>
  <c r="V45" i="5" s="1"/>
  <c r="R497" i="5"/>
  <c r="F497" i="9"/>
  <c r="L496" i="9"/>
  <c r="K496" i="10"/>
  <c r="M496" i="10" s="1"/>
  <c r="R497" i="10"/>
  <c r="S496" i="10"/>
  <c r="V45" i="10" s="1"/>
  <c r="R497" i="9"/>
  <c r="K496" i="9"/>
  <c r="M496" i="9" s="1"/>
  <c r="S496" i="9"/>
  <c r="V45" i="9" s="1"/>
  <c r="F497" i="10"/>
  <c r="L495" i="10"/>
  <c r="T502" i="10" l="1"/>
  <c r="C503" i="10"/>
  <c r="N414" i="5"/>
  <c r="H415" i="5"/>
  <c r="Q415" i="5" s="1"/>
  <c r="O414" i="5"/>
  <c r="P414" i="5" s="1"/>
  <c r="T502" i="5"/>
  <c r="C503" i="5"/>
  <c r="Q396" i="9"/>
  <c r="T507" i="9"/>
  <c r="C508" i="9"/>
  <c r="O390" i="10"/>
  <c r="P390" i="10" s="1"/>
  <c r="H391" i="10"/>
  <c r="I391" i="10" s="1"/>
  <c r="N390" i="10"/>
  <c r="G496" i="10"/>
  <c r="J496" i="10" s="1"/>
  <c r="K497" i="10"/>
  <c r="M497" i="10" s="1"/>
  <c r="R498" i="10"/>
  <c r="S497" i="10"/>
  <c r="G497" i="10" s="1"/>
  <c r="J497" i="10" s="1"/>
  <c r="F498" i="10"/>
  <c r="S497" i="5"/>
  <c r="R498" i="5"/>
  <c r="K497" i="5"/>
  <c r="M497" i="5" s="1"/>
  <c r="F498" i="5"/>
  <c r="G497" i="5"/>
  <c r="J497" i="5" s="1"/>
  <c r="L497" i="9"/>
  <c r="L496" i="10"/>
  <c r="L496" i="5"/>
  <c r="K497" i="9"/>
  <c r="M497" i="9" s="1"/>
  <c r="R498" i="9"/>
  <c r="S497" i="9"/>
  <c r="G497" i="9" s="1"/>
  <c r="J497" i="9" s="1"/>
  <c r="F498" i="9"/>
  <c r="G496" i="5"/>
  <c r="J496" i="5" s="1"/>
  <c r="G496" i="9"/>
  <c r="J496" i="9" s="1"/>
  <c r="L497" i="5" l="1"/>
  <c r="T503" i="5"/>
  <c r="C504" i="5"/>
  <c r="N415" i="5"/>
  <c r="O415" i="5"/>
  <c r="P415" i="5" s="1"/>
  <c r="H416" i="5"/>
  <c r="Q416" i="5" s="1"/>
  <c r="C509" i="9"/>
  <c r="T508" i="9"/>
  <c r="C504" i="10"/>
  <c r="T503" i="10"/>
  <c r="N396" i="9"/>
  <c r="O396" i="9"/>
  <c r="P396" i="9" s="1"/>
  <c r="H397" i="9"/>
  <c r="I397" i="9" s="1"/>
  <c r="I415" i="5"/>
  <c r="I416" i="5" s="1"/>
  <c r="Q391" i="10"/>
  <c r="F499" i="5"/>
  <c r="K498" i="10"/>
  <c r="M498" i="10" s="1"/>
  <c r="R499" i="10"/>
  <c r="S498" i="10"/>
  <c r="G498" i="10" s="1"/>
  <c r="J498" i="10" s="1"/>
  <c r="F499" i="9"/>
  <c r="R499" i="9"/>
  <c r="K498" i="9"/>
  <c r="M498" i="9" s="1"/>
  <c r="S498" i="9"/>
  <c r="G498" i="9" s="1"/>
  <c r="J498" i="9" s="1"/>
  <c r="S498" i="5"/>
  <c r="G498" i="5" s="1"/>
  <c r="J498" i="5" s="1"/>
  <c r="R499" i="5"/>
  <c r="K498" i="5"/>
  <c r="M498" i="5" s="1"/>
  <c r="F499" i="10"/>
  <c r="L497" i="10"/>
  <c r="L498" i="9" l="1"/>
  <c r="O416" i="5"/>
  <c r="P416" i="5" s="1"/>
  <c r="H417" i="5"/>
  <c r="Q417" i="5" s="1"/>
  <c r="N416" i="5"/>
  <c r="Q397" i="9"/>
  <c r="I417" i="5"/>
  <c r="C510" i="9"/>
  <c r="T509" i="9"/>
  <c r="T504" i="5"/>
  <c r="C505" i="5"/>
  <c r="C505" i="10"/>
  <c r="T504" i="10"/>
  <c r="H392" i="10"/>
  <c r="O391" i="10"/>
  <c r="P391" i="10" s="1"/>
  <c r="N391" i="10"/>
  <c r="L498" i="10"/>
  <c r="F500" i="9"/>
  <c r="F500" i="5"/>
  <c r="F500" i="10"/>
  <c r="K499" i="5"/>
  <c r="M499" i="5" s="1"/>
  <c r="S499" i="5"/>
  <c r="G499" i="5" s="1"/>
  <c r="J499" i="5" s="1"/>
  <c r="R500" i="5"/>
  <c r="K499" i="9"/>
  <c r="M499" i="9" s="1"/>
  <c r="R500" i="9"/>
  <c r="S499" i="9"/>
  <c r="G499" i="9" s="1"/>
  <c r="J499" i="9" s="1"/>
  <c r="L498" i="5"/>
  <c r="K499" i="10"/>
  <c r="M499" i="10" s="1"/>
  <c r="R500" i="10"/>
  <c r="S499" i="10"/>
  <c r="G499" i="10" s="1"/>
  <c r="J499" i="10" s="1"/>
  <c r="L499" i="5" l="1"/>
  <c r="L499" i="9"/>
  <c r="N417" i="5"/>
  <c r="H418" i="5"/>
  <c r="Q418" i="5" s="1"/>
  <c r="O417" i="5"/>
  <c r="P417" i="5" s="1"/>
  <c r="C511" i="9"/>
  <c r="T510" i="9"/>
  <c r="I418" i="5"/>
  <c r="H398" i="9"/>
  <c r="N397" i="9"/>
  <c r="O397" i="9"/>
  <c r="P397" i="9" s="1"/>
  <c r="C506" i="5"/>
  <c r="T505" i="5"/>
  <c r="C506" i="10"/>
  <c r="T505" i="10"/>
  <c r="Q392" i="10"/>
  <c r="I392" i="10"/>
  <c r="R501" i="9"/>
  <c r="K500" i="9"/>
  <c r="M500" i="9" s="1"/>
  <c r="S500" i="9"/>
  <c r="G500" i="9" s="1"/>
  <c r="J500" i="9" s="1"/>
  <c r="K500" i="10"/>
  <c r="M500" i="10" s="1"/>
  <c r="R501" i="10"/>
  <c r="S500" i="10"/>
  <c r="G500" i="10" s="1"/>
  <c r="J500" i="10" s="1"/>
  <c r="F501" i="10"/>
  <c r="K500" i="5"/>
  <c r="M500" i="5" s="1"/>
  <c r="S500" i="5"/>
  <c r="G500" i="5" s="1"/>
  <c r="J500" i="5" s="1"/>
  <c r="R501" i="5"/>
  <c r="F501" i="9"/>
  <c r="F501" i="5"/>
  <c r="L499" i="10"/>
  <c r="L500" i="5" l="1"/>
  <c r="T506" i="10"/>
  <c r="C507" i="10"/>
  <c r="T511" i="9"/>
  <c r="C512" i="9"/>
  <c r="L500" i="9"/>
  <c r="L501" i="9" s="1"/>
  <c r="I419" i="5"/>
  <c r="T506" i="5"/>
  <c r="C507" i="5"/>
  <c r="O418" i="5"/>
  <c r="P418" i="5" s="1"/>
  <c r="H419" i="5"/>
  <c r="Q419" i="5" s="1"/>
  <c r="N418" i="5"/>
  <c r="Q398" i="9"/>
  <c r="I398" i="9"/>
  <c r="L500" i="10"/>
  <c r="L501" i="10" s="1"/>
  <c r="O392" i="10"/>
  <c r="P392" i="10" s="1"/>
  <c r="N392" i="10"/>
  <c r="H393" i="10"/>
  <c r="Q393" i="10" s="1"/>
  <c r="F502" i="5"/>
  <c r="K501" i="5"/>
  <c r="M501" i="5" s="1"/>
  <c r="S501" i="5"/>
  <c r="AB21" i="5" s="1"/>
  <c r="R502" i="5"/>
  <c r="K501" i="10"/>
  <c r="M501" i="10" s="1"/>
  <c r="R502" i="10"/>
  <c r="S501" i="10"/>
  <c r="AB21" i="10" s="1"/>
  <c r="K501" i="9"/>
  <c r="M501" i="9" s="1"/>
  <c r="R502" i="9"/>
  <c r="S501" i="9"/>
  <c r="AB21" i="9" s="1"/>
  <c r="F502" i="9"/>
  <c r="F502" i="10"/>
  <c r="L501" i="5"/>
  <c r="C513" i="9" l="1"/>
  <c r="T512" i="9"/>
  <c r="C508" i="10"/>
  <c r="T507" i="10"/>
  <c r="O398" i="9"/>
  <c r="P398" i="9" s="1"/>
  <c r="N398" i="9"/>
  <c r="H399" i="9"/>
  <c r="I399" i="9" s="1"/>
  <c r="N419" i="5"/>
  <c r="O419" i="5"/>
  <c r="P419" i="5" s="1"/>
  <c r="H420" i="5"/>
  <c r="I420" i="5" s="1"/>
  <c r="Q420" i="5"/>
  <c r="T507" i="5"/>
  <c r="C508" i="5"/>
  <c r="H394" i="10"/>
  <c r="Q394" i="10" s="1"/>
  <c r="N393" i="10"/>
  <c r="O393" i="10"/>
  <c r="P393" i="10" s="1"/>
  <c r="I393" i="10"/>
  <c r="S7" i="8"/>
  <c r="AE21" i="10"/>
  <c r="AF21" i="10"/>
  <c r="K502" i="5"/>
  <c r="M502" i="5" s="1"/>
  <c r="S502" i="5"/>
  <c r="G502" i="5" s="1"/>
  <c r="J502" i="5" s="1"/>
  <c r="R503" i="5"/>
  <c r="F503" i="5"/>
  <c r="R503" i="9"/>
  <c r="K502" i="9"/>
  <c r="M502" i="9" s="1"/>
  <c r="S502" i="9"/>
  <c r="G501" i="9"/>
  <c r="J501" i="9" s="1"/>
  <c r="G501" i="10"/>
  <c r="J501" i="10" s="1"/>
  <c r="G501" i="5"/>
  <c r="J501" i="5" s="1"/>
  <c r="AE21" i="9"/>
  <c r="U7" i="8"/>
  <c r="AF21" i="9"/>
  <c r="K502" i="10"/>
  <c r="M502" i="10" s="1"/>
  <c r="R503" i="10"/>
  <c r="S502" i="10"/>
  <c r="G502" i="10" s="1"/>
  <c r="J502" i="10" s="1"/>
  <c r="F503" i="10"/>
  <c r="F503" i="9"/>
  <c r="G502" i="9"/>
  <c r="J502" i="9" s="1"/>
  <c r="AF21" i="5"/>
  <c r="AE21" i="5"/>
  <c r="D6" i="3"/>
  <c r="T508" i="5" l="1"/>
  <c r="C509" i="5"/>
  <c r="N420" i="5"/>
  <c r="O420" i="5"/>
  <c r="P420" i="5" s="1"/>
  <c r="H421" i="5"/>
  <c r="I421" i="5" s="1"/>
  <c r="Q421" i="5"/>
  <c r="C509" i="10"/>
  <c r="T508" i="10"/>
  <c r="L502" i="9"/>
  <c r="L502" i="5"/>
  <c r="C514" i="9"/>
  <c r="T513" i="9"/>
  <c r="Q399" i="9"/>
  <c r="O394" i="10"/>
  <c r="P394" i="10" s="1"/>
  <c r="H395" i="10"/>
  <c r="Q395" i="10" s="1"/>
  <c r="N394" i="10"/>
  <c r="I394" i="10"/>
  <c r="L502" i="10"/>
  <c r="AC21" i="10"/>
  <c r="S8" i="8" s="1"/>
  <c r="AC21" i="5"/>
  <c r="F6" i="3" s="1"/>
  <c r="W7" i="8"/>
  <c r="K503" i="10"/>
  <c r="M503" i="10" s="1"/>
  <c r="R504" i="10"/>
  <c r="S503" i="10"/>
  <c r="G503" i="10" s="1"/>
  <c r="J503" i="10" s="1"/>
  <c r="F504" i="9"/>
  <c r="K503" i="9"/>
  <c r="M503" i="9" s="1"/>
  <c r="R504" i="9"/>
  <c r="S503" i="9"/>
  <c r="G503" i="9" s="1"/>
  <c r="J503" i="9" s="1"/>
  <c r="F504" i="10"/>
  <c r="F504" i="5"/>
  <c r="G503" i="5"/>
  <c r="J503" i="5" s="1"/>
  <c r="K503" i="5"/>
  <c r="M503" i="5" s="1"/>
  <c r="S503" i="5"/>
  <c r="R504" i="5"/>
  <c r="AC21" i="9"/>
  <c r="W8" i="8" s="1"/>
  <c r="L503" i="5"/>
  <c r="C510" i="10" l="1"/>
  <c r="T509" i="10"/>
  <c r="H422" i="5"/>
  <c r="I422" i="5" s="1"/>
  <c r="N421" i="5"/>
  <c r="O421" i="5"/>
  <c r="P421" i="5" s="1"/>
  <c r="Q422" i="5"/>
  <c r="O399" i="9"/>
  <c r="P399" i="9" s="1"/>
  <c r="H400" i="9"/>
  <c r="I400" i="9" s="1"/>
  <c r="N399" i="9"/>
  <c r="C515" i="9"/>
  <c r="T514" i="9"/>
  <c r="C510" i="5"/>
  <c r="T509" i="5"/>
  <c r="O395" i="10"/>
  <c r="P395" i="10" s="1"/>
  <c r="N395" i="10"/>
  <c r="H396" i="10"/>
  <c r="Q396" i="10" s="1"/>
  <c r="I395" i="10"/>
  <c r="F505" i="10"/>
  <c r="K504" i="10"/>
  <c r="M504" i="10" s="1"/>
  <c r="R505" i="10"/>
  <c r="S504" i="10"/>
  <c r="G504" i="10" s="1"/>
  <c r="J504" i="10" s="1"/>
  <c r="L503" i="10"/>
  <c r="K504" i="5"/>
  <c r="M504" i="5" s="1"/>
  <c r="S504" i="5"/>
  <c r="G504" i="5" s="1"/>
  <c r="J504" i="5" s="1"/>
  <c r="R505" i="5"/>
  <c r="R505" i="9"/>
  <c r="K504" i="9"/>
  <c r="M504" i="9" s="1"/>
  <c r="S504" i="9"/>
  <c r="G504" i="9" s="1"/>
  <c r="J504" i="9" s="1"/>
  <c r="F505" i="5"/>
  <c r="F505" i="9"/>
  <c r="L503" i="9"/>
  <c r="L504" i="5" l="1"/>
  <c r="H423" i="5"/>
  <c r="O422" i="5"/>
  <c r="P422" i="5" s="1"/>
  <c r="N422" i="5"/>
  <c r="Q423" i="5"/>
  <c r="I423" i="5"/>
  <c r="T510" i="5"/>
  <c r="C511" i="5"/>
  <c r="Q400" i="9"/>
  <c r="L504" i="9"/>
  <c r="L504" i="10"/>
  <c r="T515" i="9"/>
  <c r="C516" i="9"/>
  <c r="T510" i="10"/>
  <c r="C511" i="10"/>
  <c r="O396" i="10"/>
  <c r="P396" i="10" s="1"/>
  <c r="H397" i="10"/>
  <c r="Q397" i="10" s="1"/>
  <c r="N396" i="10"/>
  <c r="I396" i="10"/>
  <c r="K505" i="5"/>
  <c r="M505" i="5" s="1"/>
  <c r="S505" i="5"/>
  <c r="G505" i="5" s="1"/>
  <c r="J505" i="5" s="1"/>
  <c r="R506" i="5"/>
  <c r="L505" i="5"/>
  <c r="F506" i="10"/>
  <c r="F506" i="5"/>
  <c r="R506" i="9"/>
  <c r="S505" i="9"/>
  <c r="G505" i="9" s="1"/>
  <c r="J505" i="9" s="1"/>
  <c r="K505" i="9"/>
  <c r="M505" i="9" s="1"/>
  <c r="F506" i="9"/>
  <c r="R506" i="10"/>
  <c r="K505" i="10"/>
  <c r="M505" i="10" s="1"/>
  <c r="S505" i="10"/>
  <c r="G505" i="10" s="1"/>
  <c r="J505" i="10" s="1"/>
  <c r="O400" i="9" l="1"/>
  <c r="P400" i="9" s="1"/>
  <c r="N400" i="9"/>
  <c r="H401" i="9"/>
  <c r="I401" i="9" s="1"/>
  <c r="C512" i="10"/>
  <c r="T511" i="10"/>
  <c r="C517" i="9"/>
  <c r="T516" i="9"/>
  <c r="T511" i="5"/>
  <c r="C512" i="5"/>
  <c r="O423" i="5"/>
  <c r="P423" i="5" s="1"/>
  <c r="H424" i="5"/>
  <c r="Q424" i="5" s="1"/>
  <c r="N423" i="5"/>
  <c r="O397" i="10"/>
  <c r="P397" i="10" s="1"/>
  <c r="N397" i="10"/>
  <c r="H398" i="10"/>
  <c r="Q398" i="10" s="1"/>
  <c r="I397" i="10"/>
  <c r="F507" i="9"/>
  <c r="K506" i="9"/>
  <c r="M506" i="9" s="1"/>
  <c r="R507" i="9"/>
  <c r="S506" i="9"/>
  <c r="G506" i="9" s="1"/>
  <c r="J506" i="9" s="1"/>
  <c r="F507" i="10"/>
  <c r="L505" i="9"/>
  <c r="K506" i="5"/>
  <c r="M506" i="5" s="1"/>
  <c r="S506" i="5"/>
  <c r="G506" i="5" s="1"/>
  <c r="J506" i="5" s="1"/>
  <c r="R507" i="5"/>
  <c r="K506" i="10"/>
  <c r="M506" i="10" s="1"/>
  <c r="R507" i="10"/>
  <c r="S506" i="10"/>
  <c r="G506" i="10" s="1"/>
  <c r="J506" i="10" s="1"/>
  <c r="F507" i="5"/>
  <c r="L505" i="10"/>
  <c r="L506" i="10" s="1"/>
  <c r="I424" i="5" l="1"/>
  <c r="C518" i="9"/>
  <c r="T517" i="9"/>
  <c r="N424" i="5"/>
  <c r="H425" i="5"/>
  <c r="Q425" i="5" s="1"/>
  <c r="O424" i="5"/>
  <c r="P424" i="5" s="1"/>
  <c r="C513" i="10"/>
  <c r="T512" i="10"/>
  <c r="L506" i="9"/>
  <c r="L506" i="5"/>
  <c r="C513" i="5"/>
  <c r="T512" i="5"/>
  <c r="Q401" i="9"/>
  <c r="O398" i="10"/>
  <c r="P398" i="10" s="1"/>
  <c r="N398" i="10"/>
  <c r="H399" i="10"/>
  <c r="Q399" i="10" s="1"/>
  <c r="I398" i="10"/>
  <c r="K507" i="5"/>
  <c r="M507" i="5" s="1"/>
  <c r="S507" i="5"/>
  <c r="G507" i="5" s="1"/>
  <c r="J507" i="5" s="1"/>
  <c r="R508" i="5"/>
  <c r="F508" i="9"/>
  <c r="F508" i="10"/>
  <c r="F508" i="5"/>
  <c r="K507" i="10"/>
  <c r="M507" i="10" s="1"/>
  <c r="R508" i="10"/>
  <c r="S507" i="10"/>
  <c r="G507" i="10" s="1"/>
  <c r="J507" i="10" s="1"/>
  <c r="K507" i="9"/>
  <c r="M507" i="9" s="1"/>
  <c r="S507" i="9"/>
  <c r="G507" i="9" s="1"/>
  <c r="J507" i="9" s="1"/>
  <c r="R508" i="9"/>
  <c r="L507" i="9"/>
  <c r="L507" i="5" l="1"/>
  <c r="C514" i="10"/>
  <c r="T513" i="10"/>
  <c r="T513" i="5"/>
  <c r="C514" i="5"/>
  <c r="H402" i="9"/>
  <c r="N401" i="9"/>
  <c r="O401" i="9"/>
  <c r="P401" i="9" s="1"/>
  <c r="H426" i="5"/>
  <c r="Q426" i="5" s="1"/>
  <c r="N425" i="5"/>
  <c r="O425" i="5"/>
  <c r="P425" i="5" s="1"/>
  <c r="I425" i="5"/>
  <c r="T518" i="9"/>
  <c r="C519" i="9"/>
  <c r="N399" i="10"/>
  <c r="O399" i="10"/>
  <c r="P399" i="10" s="1"/>
  <c r="H400" i="10"/>
  <c r="Q400" i="10" s="1"/>
  <c r="I399" i="10"/>
  <c r="K508" i="9"/>
  <c r="M508" i="9" s="1"/>
  <c r="R509" i="9"/>
  <c r="S508" i="9"/>
  <c r="V46" i="9" s="1"/>
  <c r="F509" i="5"/>
  <c r="K508" i="5"/>
  <c r="M508" i="5" s="1"/>
  <c r="S508" i="5"/>
  <c r="V46" i="5" s="1"/>
  <c r="R509" i="5"/>
  <c r="F509" i="9"/>
  <c r="L507" i="10"/>
  <c r="F509" i="10"/>
  <c r="R509" i="10"/>
  <c r="K508" i="10"/>
  <c r="M508" i="10" s="1"/>
  <c r="S508" i="10"/>
  <c r="V46" i="10" s="1"/>
  <c r="Q402" i="9" l="1"/>
  <c r="I402" i="9"/>
  <c r="T514" i="5"/>
  <c r="C515" i="5"/>
  <c r="O426" i="5"/>
  <c r="P426" i="5" s="1"/>
  <c r="H427" i="5"/>
  <c r="Q427" i="5" s="1"/>
  <c r="N426" i="5"/>
  <c r="C520" i="9"/>
  <c r="T519" i="9"/>
  <c r="I426" i="5"/>
  <c r="G508" i="9"/>
  <c r="J508" i="9" s="1"/>
  <c r="G508" i="5"/>
  <c r="J508" i="5" s="1"/>
  <c r="L508" i="5"/>
  <c r="T514" i="10"/>
  <c r="C515" i="10"/>
  <c r="O400" i="10"/>
  <c r="P400" i="10" s="1"/>
  <c r="N400" i="10"/>
  <c r="H401" i="10"/>
  <c r="Q401" i="10" s="1"/>
  <c r="I400" i="10"/>
  <c r="F510" i="9"/>
  <c r="K509" i="10"/>
  <c r="M509" i="10" s="1"/>
  <c r="R510" i="10"/>
  <c r="S509" i="10"/>
  <c r="G509" i="10" s="1"/>
  <c r="J509" i="10" s="1"/>
  <c r="K509" i="5"/>
  <c r="M509" i="5" s="1"/>
  <c r="S509" i="5"/>
  <c r="G509" i="5" s="1"/>
  <c r="J509" i="5" s="1"/>
  <c r="R510" i="5"/>
  <c r="F510" i="5"/>
  <c r="L508" i="9"/>
  <c r="F510" i="10"/>
  <c r="K509" i="9"/>
  <c r="M509" i="9" s="1"/>
  <c r="R510" i="9"/>
  <c r="S509" i="9"/>
  <c r="G509" i="9" s="1"/>
  <c r="J509" i="9" s="1"/>
  <c r="G508" i="10"/>
  <c r="J508" i="10" s="1"/>
  <c r="L508" i="10"/>
  <c r="L509" i="5" l="1"/>
  <c r="O427" i="5"/>
  <c r="P427" i="5" s="1"/>
  <c r="H428" i="5"/>
  <c r="Q428" i="5"/>
  <c r="N427" i="5"/>
  <c r="C516" i="10"/>
  <c r="T515" i="10"/>
  <c r="T515" i="5"/>
  <c r="C516" i="5"/>
  <c r="I427" i="5"/>
  <c r="L509" i="9"/>
  <c r="I403" i="9"/>
  <c r="L509" i="10"/>
  <c r="C521" i="9"/>
  <c r="T520" i="9"/>
  <c r="N402" i="9"/>
  <c r="Q403" i="9"/>
  <c r="H403" i="9"/>
  <c r="O402" i="9"/>
  <c r="P402" i="9" s="1"/>
  <c r="N401" i="10"/>
  <c r="O401" i="10"/>
  <c r="P401" i="10" s="1"/>
  <c r="H402" i="10"/>
  <c r="Q402" i="10" s="1"/>
  <c r="I401" i="10"/>
  <c r="K510" i="9"/>
  <c r="M510" i="9" s="1"/>
  <c r="R511" i="9"/>
  <c r="S510" i="9"/>
  <c r="F511" i="5"/>
  <c r="F511" i="9"/>
  <c r="G510" i="9"/>
  <c r="J510" i="9" s="1"/>
  <c r="F511" i="10"/>
  <c r="K510" i="5"/>
  <c r="M510" i="5" s="1"/>
  <c r="S510" i="5"/>
  <c r="G510" i="5" s="1"/>
  <c r="J510" i="5" s="1"/>
  <c r="R511" i="5"/>
  <c r="K510" i="10"/>
  <c r="M510" i="10" s="1"/>
  <c r="R511" i="10"/>
  <c r="S510" i="10"/>
  <c r="G510" i="10" s="1"/>
  <c r="J510" i="10" s="1"/>
  <c r="H404" i="9" l="1"/>
  <c r="N403" i="9"/>
  <c r="O403" i="9"/>
  <c r="P403" i="9" s="1"/>
  <c r="Q404" i="9"/>
  <c r="C517" i="10"/>
  <c r="T516" i="10"/>
  <c r="C517" i="5"/>
  <c r="T516" i="5"/>
  <c r="N428" i="5"/>
  <c r="H429" i="5"/>
  <c r="Q429" i="5" s="1"/>
  <c r="O428" i="5"/>
  <c r="P428" i="5" s="1"/>
  <c r="L510" i="5"/>
  <c r="C522" i="9"/>
  <c r="T521" i="9"/>
  <c r="L510" i="9"/>
  <c r="I404" i="9"/>
  <c r="I428" i="5"/>
  <c r="H403" i="10"/>
  <c r="N402" i="10"/>
  <c r="O402" i="10"/>
  <c r="P402" i="10" s="1"/>
  <c r="I402" i="10"/>
  <c r="L510" i="10"/>
  <c r="K511" i="10"/>
  <c r="M511" i="10" s="1"/>
  <c r="R512" i="10"/>
  <c r="S511" i="10"/>
  <c r="G511" i="10" s="1"/>
  <c r="J511" i="10" s="1"/>
  <c r="F512" i="9"/>
  <c r="K511" i="9"/>
  <c r="M511" i="9" s="1"/>
  <c r="R512" i="9"/>
  <c r="S511" i="9"/>
  <c r="G511" i="9" s="1"/>
  <c r="J511" i="9" s="1"/>
  <c r="K511" i="5"/>
  <c r="M511" i="5" s="1"/>
  <c r="S511" i="5"/>
  <c r="G511" i="5" s="1"/>
  <c r="J511" i="5" s="1"/>
  <c r="R512" i="5"/>
  <c r="F512" i="10"/>
  <c r="F512" i="5"/>
  <c r="T522" i="9" l="1"/>
  <c r="C523" i="9"/>
  <c r="C518" i="10"/>
  <c r="T517" i="10"/>
  <c r="H405" i="9"/>
  <c r="Q405" i="9" s="1"/>
  <c r="N404" i="9"/>
  <c r="O404" i="9"/>
  <c r="P404" i="9" s="1"/>
  <c r="I405" i="9"/>
  <c r="T517" i="5"/>
  <c r="C518" i="5"/>
  <c r="N429" i="5"/>
  <c r="H430" i="5"/>
  <c r="Q430" i="5" s="1"/>
  <c r="O429" i="5"/>
  <c r="P429" i="5" s="1"/>
  <c r="I429" i="5"/>
  <c r="I430" i="5" s="1"/>
  <c r="L511" i="10"/>
  <c r="I403" i="10"/>
  <c r="Q403" i="10"/>
  <c r="F513" i="10"/>
  <c r="L511" i="5"/>
  <c r="R513" i="10"/>
  <c r="K512" i="10"/>
  <c r="M512" i="10" s="1"/>
  <c r="S512" i="10"/>
  <c r="G512" i="10" s="1"/>
  <c r="J512" i="10" s="1"/>
  <c r="F513" i="5"/>
  <c r="K512" i="9"/>
  <c r="M512" i="9" s="1"/>
  <c r="R513" i="9"/>
  <c r="S512" i="9"/>
  <c r="G512" i="9" s="1"/>
  <c r="J512" i="9" s="1"/>
  <c r="K512" i="5"/>
  <c r="M512" i="5" s="1"/>
  <c r="S512" i="5"/>
  <c r="G512" i="5" s="1"/>
  <c r="J512" i="5" s="1"/>
  <c r="R513" i="5"/>
  <c r="F513" i="9"/>
  <c r="L511" i="9"/>
  <c r="L512" i="9" l="1"/>
  <c r="C519" i="10"/>
  <c r="T518" i="10"/>
  <c r="N430" i="5"/>
  <c r="O430" i="5"/>
  <c r="P430" i="5" s="1"/>
  <c r="H431" i="5"/>
  <c r="Q431" i="5" s="1"/>
  <c r="T518" i="5"/>
  <c r="C519" i="5"/>
  <c r="C524" i="9"/>
  <c r="T523" i="9"/>
  <c r="O405" i="9"/>
  <c r="P405" i="9" s="1"/>
  <c r="N405" i="9"/>
  <c r="H406" i="9"/>
  <c r="I406" i="9" s="1"/>
  <c r="L512" i="10"/>
  <c r="O403" i="10"/>
  <c r="P403" i="10" s="1"/>
  <c r="N403" i="10"/>
  <c r="H404" i="10"/>
  <c r="I404" i="10" s="1"/>
  <c r="F514" i="9"/>
  <c r="K513" i="10"/>
  <c r="M513" i="10" s="1"/>
  <c r="R514" i="10"/>
  <c r="S513" i="10"/>
  <c r="G513" i="10" s="1"/>
  <c r="J513" i="10" s="1"/>
  <c r="F514" i="10"/>
  <c r="K513" i="5"/>
  <c r="M513" i="5" s="1"/>
  <c r="S513" i="5"/>
  <c r="G513" i="5" s="1"/>
  <c r="J513" i="5" s="1"/>
  <c r="R514" i="5"/>
  <c r="K513" i="9"/>
  <c r="M513" i="9" s="1"/>
  <c r="R514" i="9"/>
  <c r="S513" i="9"/>
  <c r="G513" i="9" s="1"/>
  <c r="J513" i="9" s="1"/>
  <c r="F514" i="5"/>
  <c r="L512" i="5"/>
  <c r="Q406" i="9" l="1"/>
  <c r="I431" i="5"/>
  <c r="H432" i="5"/>
  <c r="Q432" i="5" s="1"/>
  <c r="N431" i="5"/>
  <c r="O431" i="5"/>
  <c r="P431" i="5" s="1"/>
  <c r="C525" i="9"/>
  <c r="T524" i="9"/>
  <c r="C520" i="10"/>
  <c r="T519" i="10"/>
  <c r="T519" i="5"/>
  <c r="C520" i="5"/>
  <c r="Q404" i="10"/>
  <c r="L513" i="10"/>
  <c r="F515" i="9"/>
  <c r="F515" i="10"/>
  <c r="L513" i="5"/>
  <c r="L513" i="9"/>
  <c r="F515" i="5"/>
  <c r="K514" i="5"/>
  <c r="M514" i="5" s="1"/>
  <c r="S514" i="5"/>
  <c r="G514" i="5" s="1"/>
  <c r="J514" i="5" s="1"/>
  <c r="R515" i="5"/>
  <c r="K514" i="9"/>
  <c r="M514" i="9" s="1"/>
  <c r="R515" i="9"/>
  <c r="S514" i="9"/>
  <c r="G514" i="9" s="1"/>
  <c r="J514" i="9" s="1"/>
  <c r="R515" i="10"/>
  <c r="K514" i="10"/>
  <c r="M514" i="10" s="1"/>
  <c r="S514" i="10"/>
  <c r="G514" i="10" s="1"/>
  <c r="J514" i="10" s="1"/>
  <c r="C521" i="10" l="1"/>
  <c r="T520" i="10"/>
  <c r="O432" i="5"/>
  <c r="P432" i="5" s="1"/>
  <c r="H433" i="5"/>
  <c r="Q433" i="5" s="1"/>
  <c r="N432" i="5"/>
  <c r="C526" i="9"/>
  <c r="T525" i="9"/>
  <c r="I432" i="5"/>
  <c r="C521" i="5"/>
  <c r="T520" i="5"/>
  <c r="O406" i="9"/>
  <c r="P406" i="9" s="1"/>
  <c r="N406" i="9"/>
  <c r="H407" i="9"/>
  <c r="I407" i="9" s="1"/>
  <c r="L514" i="10"/>
  <c r="H405" i="10"/>
  <c r="I405" i="10" s="1"/>
  <c r="O404" i="10"/>
  <c r="P404" i="10" s="1"/>
  <c r="N404" i="10"/>
  <c r="F516" i="9"/>
  <c r="L514" i="5"/>
  <c r="K515" i="10"/>
  <c r="M515" i="10" s="1"/>
  <c r="R516" i="10"/>
  <c r="S515" i="10"/>
  <c r="G515" i="10" s="1"/>
  <c r="J515" i="10" s="1"/>
  <c r="K515" i="9"/>
  <c r="M515" i="9" s="1"/>
  <c r="R516" i="9"/>
  <c r="S515" i="9"/>
  <c r="G515" i="9" s="1"/>
  <c r="J515" i="9" s="1"/>
  <c r="F516" i="10"/>
  <c r="L514" i="9"/>
  <c r="K515" i="5"/>
  <c r="M515" i="5" s="1"/>
  <c r="S515" i="5"/>
  <c r="G515" i="5" s="1"/>
  <c r="J515" i="5" s="1"/>
  <c r="R516" i="5"/>
  <c r="F516" i="5"/>
  <c r="L515" i="9" l="1"/>
  <c r="H434" i="5"/>
  <c r="Q434" i="5" s="1"/>
  <c r="N433" i="5"/>
  <c r="O433" i="5"/>
  <c r="P433" i="5" s="1"/>
  <c r="T526" i="9"/>
  <c r="C527" i="9"/>
  <c r="T521" i="5"/>
  <c r="C522" i="5"/>
  <c r="Q407" i="9"/>
  <c r="I433" i="5"/>
  <c r="I434" i="5" s="1"/>
  <c r="T521" i="10"/>
  <c r="C522" i="10"/>
  <c r="Q405" i="10"/>
  <c r="F517" i="5"/>
  <c r="K516" i="9"/>
  <c r="M516" i="9" s="1"/>
  <c r="R517" i="9"/>
  <c r="S516" i="9"/>
  <c r="R517" i="10"/>
  <c r="K516" i="10"/>
  <c r="M516" i="10" s="1"/>
  <c r="S516" i="10"/>
  <c r="G516" i="10" s="1"/>
  <c r="J516" i="10" s="1"/>
  <c r="F517" i="10"/>
  <c r="F517" i="9"/>
  <c r="G516" i="9"/>
  <c r="J516" i="9" s="1"/>
  <c r="K516" i="5"/>
  <c r="M516" i="5" s="1"/>
  <c r="S516" i="5"/>
  <c r="G516" i="5" s="1"/>
  <c r="J516" i="5" s="1"/>
  <c r="R517" i="5"/>
  <c r="L515" i="10"/>
  <c r="L515" i="5"/>
  <c r="C528" i="9" l="1"/>
  <c r="T527" i="9"/>
  <c r="L516" i="9"/>
  <c r="C523" i="10"/>
  <c r="T522" i="10"/>
  <c r="T522" i="5"/>
  <c r="C523" i="5"/>
  <c r="O407" i="9"/>
  <c r="P407" i="9" s="1"/>
  <c r="H408" i="9"/>
  <c r="N407" i="9"/>
  <c r="N434" i="5"/>
  <c r="O434" i="5"/>
  <c r="P434" i="5" s="1"/>
  <c r="H435" i="5"/>
  <c r="Q435" i="5" s="1"/>
  <c r="O405" i="10"/>
  <c r="P405" i="10" s="1"/>
  <c r="H406" i="10"/>
  <c r="I406" i="10" s="1"/>
  <c r="N405" i="10"/>
  <c r="L516" i="10"/>
  <c r="K517" i="9"/>
  <c r="M517" i="9" s="1"/>
  <c r="R518" i="9"/>
  <c r="S517" i="9"/>
  <c r="K517" i="10"/>
  <c r="M517" i="10" s="1"/>
  <c r="R518" i="10"/>
  <c r="S517" i="10"/>
  <c r="G517" i="10" s="1"/>
  <c r="J517" i="10" s="1"/>
  <c r="F518" i="10"/>
  <c r="F518" i="5"/>
  <c r="S517" i="5"/>
  <c r="G517" i="5" s="1"/>
  <c r="J517" i="5" s="1"/>
  <c r="R518" i="5"/>
  <c r="K517" i="5"/>
  <c r="M517" i="5" s="1"/>
  <c r="F518" i="9"/>
  <c r="G517" i="9"/>
  <c r="J517" i="9" s="1"/>
  <c r="L516" i="5"/>
  <c r="L517" i="5" s="1"/>
  <c r="I435" i="5" l="1"/>
  <c r="N435" i="5"/>
  <c r="O435" i="5"/>
  <c r="P435" i="5" s="1"/>
  <c r="H436" i="5"/>
  <c r="I436" i="5" s="1"/>
  <c r="T523" i="5"/>
  <c r="C524" i="5"/>
  <c r="Q408" i="9"/>
  <c r="I408" i="9"/>
  <c r="C524" i="10"/>
  <c r="T523" i="10"/>
  <c r="C529" i="9"/>
  <c r="T528" i="9"/>
  <c r="Q406" i="10"/>
  <c r="O406" i="10" s="1"/>
  <c r="P406" i="10" s="1"/>
  <c r="F519" i="9"/>
  <c r="F519" i="5"/>
  <c r="L517" i="10"/>
  <c r="F519" i="10"/>
  <c r="R519" i="9"/>
  <c r="K518" i="9"/>
  <c r="M518" i="9" s="1"/>
  <c r="S518" i="9"/>
  <c r="G518" i="9" s="1"/>
  <c r="J518" i="9" s="1"/>
  <c r="S518" i="5"/>
  <c r="G518" i="5" s="1"/>
  <c r="J518" i="5" s="1"/>
  <c r="R519" i="5"/>
  <c r="K518" i="5"/>
  <c r="M518" i="5" s="1"/>
  <c r="K518" i="10"/>
  <c r="M518" i="10" s="1"/>
  <c r="R519" i="10"/>
  <c r="S518" i="10"/>
  <c r="G518" i="10" s="1"/>
  <c r="J518" i="10" s="1"/>
  <c r="L517" i="9"/>
  <c r="H409" i="9" l="1"/>
  <c r="Q409" i="9" s="1"/>
  <c r="N408" i="9"/>
  <c r="O408" i="9"/>
  <c r="P408" i="9" s="1"/>
  <c r="Q436" i="5"/>
  <c r="C525" i="5"/>
  <c r="T524" i="5"/>
  <c r="C530" i="9"/>
  <c r="T529" i="9"/>
  <c r="C525" i="10"/>
  <c r="T524" i="10"/>
  <c r="N406" i="10"/>
  <c r="H407" i="10"/>
  <c r="I407" i="10" s="1"/>
  <c r="L518" i="10"/>
  <c r="S519" i="5"/>
  <c r="G519" i="5" s="1"/>
  <c r="J519" i="5" s="1"/>
  <c r="R520" i="5"/>
  <c r="K519" i="5"/>
  <c r="M519" i="5" s="1"/>
  <c r="K519" i="9"/>
  <c r="M519" i="9" s="1"/>
  <c r="R520" i="9"/>
  <c r="S519" i="9"/>
  <c r="G519" i="9" s="1"/>
  <c r="J519" i="9" s="1"/>
  <c r="F520" i="5"/>
  <c r="F520" i="10"/>
  <c r="F520" i="9"/>
  <c r="K519" i="10"/>
  <c r="M519" i="10" s="1"/>
  <c r="R520" i="10"/>
  <c r="S519" i="10"/>
  <c r="G519" i="10" s="1"/>
  <c r="J519" i="10" s="1"/>
  <c r="L518" i="9"/>
  <c r="L519" i="9" s="1"/>
  <c r="L518" i="5"/>
  <c r="L519" i="5" l="1"/>
  <c r="O436" i="5"/>
  <c r="P436" i="5" s="1"/>
  <c r="H437" i="5"/>
  <c r="N436" i="5"/>
  <c r="T525" i="5"/>
  <c r="C526" i="5"/>
  <c r="H410" i="9"/>
  <c r="I410" i="9" s="1"/>
  <c r="N409" i="9"/>
  <c r="O409" i="9"/>
  <c r="P409" i="9" s="1"/>
  <c r="T525" i="10"/>
  <c r="C526" i="10"/>
  <c r="T530" i="9"/>
  <c r="C531" i="9"/>
  <c r="I409" i="9"/>
  <c r="Q407" i="10"/>
  <c r="N407" i="10" s="1"/>
  <c r="L519" i="10"/>
  <c r="R521" i="9"/>
  <c r="K520" i="9"/>
  <c r="M520" i="9" s="1"/>
  <c r="S520" i="9"/>
  <c r="V47" i="9" s="1"/>
  <c r="F521" i="10"/>
  <c r="S520" i="5"/>
  <c r="V47" i="5" s="1"/>
  <c r="R521" i="5"/>
  <c r="K520" i="5"/>
  <c r="M520" i="5" s="1"/>
  <c r="L520" i="9"/>
  <c r="K520" i="10"/>
  <c r="M520" i="10" s="1"/>
  <c r="R521" i="10"/>
  <c r="S520" i="10"/>
  <c r="V47" i="10" s="1"/>
  <c r="F521" i="5"/>
  <c r="G520" i="5"/>
  <c r="J520" i="5" s="1"/>
  <c r="F521" i="9"/>
  <c r="G520" i="9"/>
  <c r="J520" i="9" s="1"/>
  <c r="L520" i="5" l="1"/>
  <c r="T526" i="5"/>
  <c r="C527" i="5"/>
  <c r="C532" i="9"/>
  <c r="T531" i="9"/>
  <c r="Q437" i="5"/>
  <c r="I437" i="5"/>
  <c r="C527" i="10"/>
  <c r="T526" i="10"/>
  <c r="Q410" i="9"/>
  <c r="O407" i="10"/>
  <c r="P407" i="10" s="1"/>
  <c r="H408" i="10"/>
  <c r="I408" i="10" s="1"/>
  <c r="L520" i="10"/>
  <c r="G520" i="10"/>
  <c r="J520" i="10" s="1"/>
  <c r="F522" i="5"/>
  <c r="F522" i="9"/>
  <c r="K521" i="10"/>
  <c r="M521" i="10" s="1"/>
  <c r="R522" i="10"/>
  <c r="S521" i="10"/>
  <c r="G521" i="10" s="1"/>
  <c r="J521" i="10" s="1"/>
  <c r="K521" i="9"/>
  <c r="M521" i="9" s="1"/>
  <c r="R522" i="9"/>
  <c r="S521" i="9"/>
  <c r="G521" i="9" s="1"/>
  <c r="J521" i="9" s="1"/>
  <c r="R522" i="5"/>
  <c r="S521" i="5"/>
  <c r="G521" i="5" s="1"/>
  <c r="J521" i="5" s="1"/>
  <c r="K521" i="5"/>
  <c r="M521" i="5" s="1"/>
  <c r="F522" i="10"/>
  <c r="L521" i="5"/>
  <c r="C528" i="10" l="1"/>
  <c r="T527" i="10"/>
  <c r="H438" i="5"/>
  <c r="Q438" i="5" s="1"/>
  <c r="N437" i="5"/>
  <c r="O437" i="5"/>
  <c r="P437" i="5" s="1"/>
  <c r="T527" i="5"/>
  <c r="C528" i="5"/>
  <c r="L521" i="9"/>
  <c r="C533" i="9"/>
  <c r="T532" i="9"/>
  <c r="O410" i="9"/>
  <c r="P410" i="9" s="1"/>
  <c r="H411" i="9"/>
  <c r="I411" i="9" s="1"/>
  <c r="N410" i="9"/>
  <c r="Q411" i="9"/>
  <c r="Q408" i="10"/>
  <c r="H409" i="10" s="1"/>
  <c r="I409" i="10" s="1"/>
  <c r="F523" i="9"/>
  <c r="F523" i="10"/>
  <c r="R523" i="5"/>
  <c r="S522" i="5"/>
  <c r="G522" i="5" s="1"/>
  <c r="J522" i="5" s="1"/>
  <c r="K522" i="5"/>
  <c r="M522" i="5" s="1"/>
  <c r="F523" i="5"/>
  <c r="L521" i="10"/>
  <c r="R523" i="9"/>
  <c r="K522" i="9"/>
  <c r="M522" i="9" s="1"/>
  <c r="S522" i="9"/>
  <c r="G522" i="9" s="1"/>
  <c r="J522" i="9" s="1"/>
  <c r="K522" i="10"/>
  <c r="M522" i="10" s="1"/>
  <c r="S522" i="10"/>
  <c r="G522" i="10" s="1"/>
  <c r="J522" i="10" s="1"/>
  <c r="R523" i="10"/>
  <c r="L522" i="5" l="1"/>
  <c r="C529" i="5"/>
  <c r="T528" i="5"/>
  <c r="H412" i="9"/>
  <c r="I412" i="9" s="1"/>
  <c r="N411" i="9"/>
  <c r="O411" i="9"/>
  <c r="P411" i="9" s="1"/>
  <c r="Q412" i="9"/>
  <c r="H439" i="5"/>
  <c r="Q439" i="5" s="1"/>
  <c r="O438" i="5"/>
  <c r="P438" i="5" s="1"/>
  <c r="N438" i="5"/>
  <c r="I438" i="5"/>
  <c r="C534" i="9"/>
  <c r="T533" i="9"/>
  <c r="L522" i="9"/>
  <c r="C529" i="10"/>
  <c r="T528" i="10"/>
  <c r="N408" i="10"/>
  <c r="O408" i="10"/>
  <c r="P408" i="10" s="1"/>
  <c r="Q409" i="10"/>
  <c r="K523" i="9"/>
  <c r="M523" i="9" s="1"/>
  <c r="R524" i="9"/>
  <c r="S523" i="9"/>
  <c r="G523" i="9" s="1"/>
  <c r="J523" i="9" s="1"/>
  <c r="K523" i="5"/>
  <c r="M523" i="5" s="1"/>
  <c r="S523" i="5"/>
  <c r="G523" i="5" s="1"/>
  <c r="J523" i="5" s="1"/>
  <c r="R524" i="5"/>
  <c r="F524" i="9"/>
  <c r="L522" i="10"/>
  <c r="K523" i="10"/>
  <c r="M523" i="10" s="1"/>
  <c r="R524" i="10"/>
  <c r="S523" i="10"/>
  <c r="G523" i="10" s="1"/>
  <c r="J523" i="10" s="1"/>
  <c r="L523" i="9"/>
  <c r="F524" i="5"/>
  <c r="F524" i="10"/>
  <c r="H413" i="9" l="1"/>
  <c r="I413" i="9" s="1"/>
  <c r="N412" i="9"/>
  <c r="O412" i="9"/>
  <c r="P412" i="9" s="1"/>
  <c r="Q413" i="9"/>
  <c r="T529" i="10"/>
  <c r="C530" i="10"/>
  <c r="T534" i="9"/>
  <c r="C535" i="9"/>
  <c r="H440" i="5"/>
  <c r="N439" i="5"/>
  <c r="O439" i="5"/>
  <c r="P439" i="5" s="1"/>
  <c r="Q440" i="5"/>
  <c r="L523" i="5"/>
  <c r="I439" i="5"/>
  <c r="I440" i="5" s="1"/>
  <c r="T529" i="5"/>
  <c r="C530" i="5"/>
  <c r="O409" i="10"/>
  <c r="P409" i="10" s="1"/>
  <c r="H410" i="10"/>
  <c r="I410" i="10" s="1"/>
  <c r="N409" i="10"/>
  <c r="L523" i="10"/>
  <c r="F525" i="5"/>
  <c r="K524" i="5"/>
  <c r="M524" i="5" s="1"/>
  <c r="S524" i="5"/>
  <c r="G524" i="5" s="1"/>
  <c r="J524" i="5" s="1"/>
  <c r="R525" i="5"/>
  <c r="R525" i="9"/>
  <c r="K524" i="9"/>
  <c r="M524" i="9" s="1"/>
  <c r="S524" i="9"/>
  <c r="G524" i="9" s="1"/>
  <c r="J524" i="9" s="1"/>
  <c r="K524" i="10"/>
  <c r="M524" i="10" s="1"/>
  <c r="R525" i="10"/>
  <c r="S524" i="10"/>
  <c r="G524" i="10" s="1"/>
  <c r="J524" i="10" s="1"/>
  <c r="F525" i="9"/>
  <c r="F525" i="10"/>
  <c r="L524" i="5" l="1"/>
  <c r="T530" i="5"/>
  <c r="C531" i="5"/>
  <c r="C536" i="9"/>
  <c r="T535" i="9"/>
  <c r="H414" i="9"/>
  <c r="I414" i="9" s="1"/>
  <c r="N413" i="9"/>
  <c r="Q414" i="9"/>
  <c r="O413" i="9"/>
  <c r="P413" i="9" s="1"/>
  <c r="O440" i="5"/>
  <c r="P440" i="5" s="1"/>
  <c r="H441" i="5"/>
  <c r="I441" i="5" s="1"/>
  <c r="N440" i="5"/>
  <c r="C531" i="10"/>
  <c r="T530" i="10"/>
  <c r="Q410" i="10"/>
  <c r="F526" i="9"/>
  <c r="K525" i="5"/>
  <c r="M525" i="5" s="1"/>
  <c r="S525" i="5"/>
  <c r="G525" i="5" s="1"/>
  <c r="J525" i="5" s="1"/>
  <c r="R526" i="5"/>
  <c r="F526" i="5"/>
  <c r="K525" i="10"/>
  <c r="M525" i="10" s="1"/>
  <c r="R526" i="10"/>
  <c r="S525" i="10"/>
  <c r="G525" i="10" s="1"/>
  <c r="J525" i="10" s="1"/>
  <c r="K525" i="9"/>
  <c r="M525" i="9" s="1"/>
  <c r="R526" i="9"/>
  <c r="S525" i="9"/>
  <c r="G525" i="9" s="1"/>
  <c r="J525" i="9" s="1"/>
  <c r="L525" i="5"/>
  <c r="L524" i="9"/>
  <c r="F526" i="10"/>
  <c r="L524" i="10"/>
  <c r="L525" i="9" l="1"/>
  <c r="H415" i="9"/>
  <c r="Q415" i="9" s="1"/>
  <c r="N414" i="9"/>
  <c r="O414" i="9"/>
  <c r="P414" i="9" s="1"/>
  <c r="I415" i="9"/>
  <c r="Q441" i="5"/>
  <c r="T531" i="5"/>
  <c r="C532" i="5"/>
  <c r="C532" i="10"/>
  <c r="T531" i="10"/>
  <c r="C537" i="9"/>
  <c r="T536" i="9"/>
  <c r="O410" i="10"/>
  <c r="P410" i="10" s="1"/>
  <c r="N410" i="10"/>
  <c r="H411" i="10"/>
  <c r="I411" i="10" s="1"/>
  <c r="L525" i="10"/>
  <c r="R527" i="9"/>
  <c r="K526" i="9"/>
  <c r="M526" i="9" s="1"/>
  <c r="S526" i="9"/>
  <c r="G526" i="9" s="1"/>
  <c r="J526" i="9" s="1"/>
  <c r="K526" i="10"/>
  <c r="M526" i="10" s="1"/>
  <c r="S526" i="10"/>
  <c r="G526" i="10" s="1"/>
  <c r="J526" i="10" s="1"/>
  <c r="R527" i="10"/>
  <c r="K526" i="5"/>
  <c r="M526" i="5" s="1"/>
  <c r="S526" i="5"/>
  <c r="G526" i="5" s="1"/>
  <c r="J526" i="5" s="1"/>
  <c r="R527" i="5"/>
  <c r="L526" i="9"/>
  <c r="F527" i="10"/>
  <c r="F527" i="5"/>
  <c r="F527" i="9"/>
  <c r="L526" i="5"/>
  <c r="C533" i="5" l="1"/>
  <c r="T532" i="5"/>
  <c r="C538" i="9"/>
  <c r="T537" i="9"/>
  <c r="O415" i="9"/>
  <c r="P415" i="9" s="1"/>
  <c r="H416" i="9"/>
  <c r="Q416" i="9" s="1"/>
  <c r="N415" i="9"/>
  <c r="O441" i="5"/>
  <c r="P441" i="5" s="1"/>
  <c r="N441" i="5"/>
  <c r="H442" i="5"/>
  <c r="I442" i="5" s="1"/>
  <c r="Q442" i="5"/>
  <c r="C533" i="10"/>
  <c r="T532" i="10"/>
  <c r="L526" i="10"/>
  <c r="Q411" i="10"/>
  <c r="F528" i="9"/>
  <c r="F528" i="10"/>
  <c r="K527" i="5"/>
  <c r="M527" i="5" s="1"/>
  <c r="S527" i="5"/>
  <c r="G527" i="5" s="1"/>
  <c r="J527" i="5" s="1"/>
  <c r="R528" i="5"/>
  <c r="K527" i="9"/>
  <c r="M527" i="9" s="1"/>
  <c r="R528" i="9"/>
  <c r="S527" i="9"/>
  <c r="G527" i="9" s="1"/>
  <c r="J527" i="9" s="1"/>
  <c r="K527" i="10"/>
  <c r="M527" i="10" s="1"/>
  <c r="R528" i="10"/>
  <c r="S527" i="10"/>
  <c r="G527" i="10" s="1"/>
  <c r="J527" i="10" s="1"/>
  <c r="F528" i="5"/>
  <c r="L527" i="9"/>
  <c r="H417" i="9" l="1"/>
  <c r="Q417" i="9"/>
  <c r="N416" i="9"/>
  <c r="O416" i="9"/>
  <c r="P416" i="9" s="1"/>
  <c r="I416" i="9"/>
  <c r="N442" i="5"/>
  <c r="Q443" i="5"/>
  <c r="O442" i="5"/>
  <c r="P442" i="5" s="1"/>
  <c r="H443" i="5"/>
  <c r="L527" i="5"/>
  <c r="I443" i="5"/>
  <c r="T538" i="9"/>
  <c r="C539" i="9"/>
  <c r="T533" i="10"/>
  <c r="C534" i="10"/>
  <c r="T533" i="5"/>
  <c r="C534" i="5"/>
  <c r="N411" i="10"/>
  <c r="O411" i="10"/>
  <c r="P411" i="10" s="1"/>
  <c r="H412" i="10"/>
  <c r="I412" i="10" s="1"/>
  <c r="L527" i="10"/>
  <c r="K528" i="10"/>
  <c r="M528" i="10" s="1"/>
  <c r="S528" i="10"/>
  <c r="G528" i="10" s="1"/>
  <c r="J528" i="10" s="1"/>
  <c r="R529" i="10"/>
  <c r="F529" i="10"/>
  <c r="F529" i="5"/>
  <c r="R529" i="9"/>
  <c r="K528" i="9"/>
  <c r="M528" i="9" s="1"/>
  <c r="S528" i="9"/>
  <c r="G528" i="9" s="1"/>
  <c r="J528" i="9" s="1"/>
  <c r="F529" i="9"/>
  <c r="K528" i="5"/>
  <c r="M528" i="5" s="1"/>
  <c r="S528" i="5"/>
  <c r="G528" i="5" s="1"/>
  <c r="J528" i="5" s="1"/>
  <c r="R529" i="5"/>
  <c r="L528" i="9" l="1"/>
  <c r="L528" i="5"/>
  <c r="C535" i="10"/>
  <c r="T534" i="10"/>
  <c r="O417" i="9"/>
  <c r="P417" i="9" s="1"/>
  <c r="H418" i="9"/>
  <c r="Q418" i="9" s="1"/>
  <c r="N417" i="9"/>
  <c r="N443" i="5"/>
  <c r="O443" i="5"/>
  <c r="P443" i="5" s="1"/>
  <c r="H444" i="5"/>
  <c r="I444" i="5" s="1"/>
  <c r="C540" i="9"/>
  <c r="T539" i="9"/>
  <c r="T534" i="5"/>
  <c r="C535" i="5"/>
  <c r="I417" i="9"/>
  <c r="I418" i="9" s="1"/>
  <c r="L528" i="10"/>
  <c r="Q412" i="10"/>
  <c r="F530" i="9"/>
  <c r="F530" i="5"/>
  <c r="K529" i="5"/>
  <c r="M529" i="5" s="1"/>
  <c r="S529" i="5"/>
  <c r="G529" i="5" s="1"/>
  <c r="J529" i="5" s="1"/>
  <c r="R530" i="5"/>
  <c r="R530" i="10"/>
  <c r="K529" i="10"/>
  <c r="M529" i="10" s="1"/>
  <c r="S529" i="10"/>
  <c r="G529" i="10" s="1"/>
  <c r="J529" i="10" s="1"/>
  <c r="R530" i="9"/>
  <c r="S529" i="9"/>
  <c r="G529" i="9" s="1"/>
  <c r="J529" i="9" s="1"/>
  <c r="K529" i="9"/>
  <c r="M529" i="9" s="1"/>
  <c r="F530" i="10"/>
  <c r="L529" i="5"/>
  <c r="L529" i="9" l="1"/>
  <c r="H419" i="9"/>
  <c r="Q419" i="9" s="1"/>
  <c r="N418" i="9"/>
  <c r="O418" i="9"/>
  <c r="P418" i="9" s="1"/>
  <c r="T535" i="5"/>
  <c r="C536" i="5"/>
  <c r="C541" i="9"/>
  <c r="T540" i="9"/>
  <c r="Q444" i="5"/>
  <c r="C536" i="10"/>
  <c r="T535" i="10"/>
  <c r="H413" i="10"/>
  <c r="I413" i="10" s="1"/>
  <c r="O412" i="10"/>
  <c r="P412" i="10" s="1"/>
  <c r="N412" i="10"/>
  <c r="F531" i="10"/>
  <c r="K530" i="5"/>
  <c r="M530" i="5" s="1"/>
  <c r="S530" i="5"/>
  <c r="R531" i="5"/>
  <c r="F531" i="9"/>
  <c r="F531" i="5"/>
  <c r="G530" i="5"/>
  <c r="J530" i="5" s="1"/>
  <c r="R531" i="9"/>
  <c r="K530" i="9"/>
  <c r="M530" i="9" s="1"/>
  <c r="S530" i="9"/>
  <c r="G530" i="9" s="1"/>
  <c r="J530" i="9" s="1"/>
  <c r="K530" i="10"/>
  <c r="M530" i="10" s="1"/>
  <c r="R531" i="10"/>
  <c r="S530" i="10"/>
  <c r="G530" i="10" s="1"/>
  <c r="J530" i="10" s="1"/>
  <c r="L529" i="10"/>
  <c r="L530" i="10" s="1"/>
  <c r="L530" i="5" l="1"/>
  <c r="C537" i="5"/>
  <c r="T536" i="5"/>
  <c r="C542" i="9"/>
  <c r="T541" i="9"/>
  <c r="C537" i="10"/>
  <c r="T536" i="10"/>
  <c r="O419" i="9"/>
  <c r="P419" i="9" s="1"/>
  <c r="H420" i="9"/>
  <c r="Q420" i="9" s="1"/>
  <c r="N419" i="9"/>
  <c r="H445" i="5"/>
  <c r="I445" i="5" s="1"/>
  <c r="O444" i="5"/>
  <c r="P444" i="5" s="1"/>
  <c r="N444" i="5"/>
  <c r="Q445" i="5"/>
  <c r="I419" i="9"/>
  <c r="I420" i="9" s="1"/>
  <c r="Q413" i="10"/>
  <c r="K531" i="5"/>
  <c r="M531" i="5" s="1"/>
  <c r="S531" i="5"/>
  <c r="G531" i="5" s="1"/>
  <c r="J531" i="5" s="1"/>
  <c r="R532" i="5"/>
  <c r="F532" i="10"/>
  <c r="L530" i="9"/>
  <c r="K531" i="10"/>
  <c r="M531" i="10" s="1"/>
  <c r="R532" i="10"/>
  <c r="S531" i="10"/>
  <c r="G531" i="10" s="1"/>
  <c r="J531" i="10" s="1"/>
  <c r="F532" i="9"/>
  <c r="F532" i="5"/>
  <c r="K531" i="9"/>
  <c r="M531" i="9" s="1"/>
  <c r="S531" i="9"/>
  <c r="G531" i="9" s="1"/>
  <c r="J531" i="9" s="1"/>
  <c r="R532" i="9"/>
  <c r="N445" i="5" l="1"/>
  <c r="O445" i="5"/>
  <c r="P445" i="5" s="1"/>
  <c r="H446" i="5"/>
  <c r="I446" i="5" s="1"/>
  <c r="Q446" i="5"/>
  <c r="T542" i="9"/>
  <c r="C543" i="9"/>
  <c r="I421" i="9"/>
  <c r="T537" i="5"/>
  <c r="C538" i="5"/>
  <c r="T537" i="10"/>
  <c r="C538" i="10"/>
  <c r="O420" i="9"/>
  <c r="P420" i="9" s="1"/>
  <c r="H421" i="9"/>
  <c r="Q421" i="9" s="1"/>
  <c r="N420" i="9"/>
  <c r="O413" i="10"/>
  <c r="P413" i="10" s="1"/>
  <c r="N413" i="10"/>
  <c r="H414" i="10"/>
  <c r="F533" i="9"/>
  <c r="L531" i="5"/>
  <c r="L531" i="9"/>
  <c r="F533" i="10"/>
  <c r="F533" i="5"/>
  <c r="R533" i="9"/>
  <c r="K532" i="9"/>
  <c r="M532" i="9" s="1"/>
  <c r="S532" i="9"/>
  <c r="V48" i="9" s="1"/>
  <c r="R533" i="10"/>
  <c r="S532" i="10"/>
  <c r="V48" i="10" s="1"/>
  <c r="K532" i="10"/>
  <c r="M532" i="10" s="1"/>
  <c r="K532" i="5"/>
  <c r="M532" i="5" s="1"/>
  <c r="S532" i="5"/>
  <c r="V48" i="5" s="1"/>
  <c r="R533" i="5"/>
  <c r="L531" i="10"/>
  <c r="L532" i="9" l="1"/>
  <c r="N421" i="9"/>
  <c r="H422" i="9"/>
  <c r="Q422" i="9" s="1"/>
  <c r="O421" i="9"/>
  <c r="P421" i="9" s="1"/>
  <c r="C544" i="9"/>
  <c r="T543" i="9"/>
  <c r="O446" i="5"/>
  <c r="P446" i="5" s="1"/>
  <c r="N446" i="5"/>
  <c r="H447" i="5"/>
  <c r="I447" i="5" s="1"/>
  <c r="C539" i="10"/>
  <c r="T538" i="10"/>
  <c r="T538" i="5"/>
  <c r="C539" i="5"/>
  <c r="L532" i="10"/>
  <c r="Q414" i="10"/>
  <c r="I414" i="10"/>
  <c r="F534" i="5"/>
  <c r="L532" i="5"/>
  <c r="F534" i="10"/>
  <c r="F534" i="9"/>
  <c r="K533" i="10"/>
  <c r="M533" i="10" s="1"/>
  <c r="R534" i="10"/>
  <c r="S533" i="10"/>
  <c r="G533" i="10" s="1"/>
  <c r="J533" i="10" s="1"/>
  <c r="S533" i="5"/>
  <c r="G533" i="5" s="1"/>
  <c r="J533" i="5" s="1"/>
  <c r="R534" i="5"/>
  <c r="K533" i="5"/>
  <c r="M533" i="5" s="1"/>
  <c r="K533" i="9"/>
  <c r="M533" i="9" s="1"/>
  <c r="R534" i="9"/>
  <c r="S533" i="9"/>
  <c r="G533" i="9" s="1"/>
  <c r="J533" i="9" s="1"/>
  <c r="G532" i="5"/>
  <c r="J532" i="5" s="1"/>
  <c r="G532" i="10"/>
  <c r="J532" i="10" s="1"/>
  <c r="G532" i="9"/>
  <c r="J532" i="9" s="1"/>
  <c r="I422" i="9" l="1"/>
  <c r="T539" i="5"/>
  <c r="C540" i="5"/>
  <c r="C545" i="9"/>
  <c r="T544" i="9"/>
  <c r="C540" i="10"/>
  <c r="T539" i="10"/>
  <c r="I423" i="9"/>
  <c r="Q423" i="9"/>
  <c r="H423" i="9"/>
  <c r="N422" i="9"/>
  <c r="O422" i="9"/>
  <c r="P422" i="9" s="1"/>
  <c r="L533" i="9"/>
  <c r="Q447" i="5"/>
  <c r="O414" i="10"/>
  <c r="P414" i="10" s="1"/>
  <c r="H415" i="10"/>
  <c r="Q415" i="10" s="1"/>
  <c r="N414" i="10"/>
  <c r="L533" i="10"/>
  <c r="R535" i="9"/>
  <c r="K534" i="9"/>
  <c r="M534" i="9" s="1"/>
  <c r="S534" i="9"/>
  <c r="G534" i="9" s="1"/>
  <c r="J534" i="9" s="1"/>
  <c r="S534" i="5"/>
  <c r="G534" i="5" s="1"/>
  <c r="J534" i="5" s="1"/>
  <c r="R535" i="5"/>
  <c r="K534" i="5"/>
  <c r="M534" i="5" s="1"/>
  <c r="F535" i="10"/>
  <c r="F535" i="5"/>
  <c r="L533" i="5"/>
  <c r="R535" i="10"/>
  <c r="K534" i="10"/>
  <c r="M534" i="10" s="1"/>
  <c r="S534" i="10"/>
  <c r="G534" i="10" s="1"/>
  <c r="J534" i="10" s="1"/>
  <c r="F535" i="9"/>
  <c r="C546" i="9" l="1"/>
  <c r="T545" i="9"/>
  <c r="O423" i="9"/>
  <c r="P423" i="9" s="1"/>
  <c r="H424" i="9"/>
  <c r="Q424" i="9" s="1"/>
  <c r="N423" i="9"/>
  <c r="N447" i="5"/>
  <c r="Q448" i="5"/>
  <c r="O447" i="5"/>
  <c r="P447" i="5" s="1"/>
  <c r="H448" i="5"/>
  <c r="I448" i="5" s="1"/>
  <c r="C541" i="5"/>
  <c r="T540" i="5"/>
  <c r="C541" i="10"/>
  <c r="T540" i="10"/>
  <c r="I415" i="10"/>
  <c r="O415" i="10"/>
  <c r="P415" i="10" s="1"/>
  <c r="H416" i="10"/>
  <c r="Q416" i="10" s="1"/>
  <c r="N415" i="10"/>
  <c r="F536" i="5"/>
  <c r="S535" i="5"/>
  <c r="G535" i="5" s="1"/>
  <c r="J535" i="5" s="1"/>
  <c r="R536" i="5"/>
  <c r="K535" i="5"/>
  <c r="M535" i="5" s="1"/>
  <c r="K535" i="9"/>
  <c r="M535" i="9" s="1"/>
  <c r="R536" i="9"/>
  <c r="S535" i="9"/>
  <c r="G535" i="9" s="1"/>
  <c r="J535" i="9" s="1"/>
  <c r="K535" i="10"/>
  <c r="M535" i="10" s="1"/>
  <c r="R536" i="10"/>
  <c r="S535" i="10"/>
  <c r="G535" i="10" s="1"/>
  <c r="J535" i="10" s="1"/>
  <c r="F536" i="9"/>
  <c r="F536" i="10"/>
  <c r="L534" i="10"/>
  <c r="L534" i="9"/>
  <c r="L534" i="5"/>
  <c r="L535" i="5" l="1"/>
  <c r="N448" i="5"/>
  <c r="H449" i="5"/>
  <c r="Q449" i="5" s="1"/>
  <c r="O448" i="5"/>
  <c r="P448" i="5" s="1"/>
  <c r="T541" i="10"/>
  <c r="C542" i="10"/>
  <c r="T541" i="5"/>
  <c r="C542" i="5"/>
  <c r="T546" i="9"/>
  <c r="C547" i="9"/>
  <c r="H425" i="9"/>
  <c r="O424" i="9"/>
  <c r="P424" i="9" s="1"/>
  <c r="N424" i="9"/>
  <c r="Q425" i="9"/>
  <c r="I424" i="9"/>
  <c r="I416" i="10"/>
  <c r="N416" i="10"/>
  <c r="H417" i="10"/>
  <c r="Q417" i="10" s="1"/>
  <c r="O416" i="10"/>
  <c r="P416" i="10" s="1"/>
  <c r="L535" i="10"/>
  <c r="F537" i="10"/>
  <c r="R537" i="10"/>
  <c r="K536" i="10"/>
  <c r="M536" i="10" s="1"/>
  <c r="S536" i="10"/>
  <c r="G536" i="10" s="1"/>
  <c r="J536" i="10" s="1"/>
  <c r="F537" i="5"/>
  <c r="F537" i="9"/>
  <c r="R537" i="9"/>
  <c r="K536" i="9"/>
  <c r="M536" i="9" s="1"/>
  <c r="S536" i="9"/>
  <c r="G536" i="9" s="1"/>
  <c r="J536" i="9" s="1"/>
  <c r="S536" i="5"/>
  <c r="G536" i="5" s="1"/>
  <c r="J536" i="5" s="1"/>
  <c r="R537" i="5"/>
  <c r="K536" i="5"/>
  <c r="M536" i="5" s="1"/>
  <c r="L535" i="9"/>
  <c r="H450" i="5" l="1"/>
  <c r="Q450" i="5"/>
  <c r="O449" i="5"/>
  <c r="P449" i="5" s="1"/>
  <c r="N449" i="5"/>
  <c r="T542" i="5"/>
  <c r="C543" i="5"/>
  <c r="Q426" i="9"/>
  <c r="N425" i="9"/>
  <c r="O425" i="9"/>
  <c r="P425" i="9" s="1"/>
  <c r="H426" i="9"/>
  <c r="C543" i="10"/>
  <c r="T542" i="10"/>
  <c r="I425" i="9"/>
  <c r="C548" i="9"/>
  <c r="T547" i="9"/>
  <c r="L536" i="9"/>
  <c r="I449" i="5"/>
  <c r="H418" i="10"/>
  <c r="Q418" i="10" s="1"/>
  <c r="N417" i="10"/>
  <c r="O417" i="10"/>
  <c r="P417" i="10" s="1"/>
  <c r="I417" i="10"/>
  <c r="L536" i="10"/>
  <c r="F538" i="5"/>
  <c r="S537" i="5"/>
  <c r="G537" i="5" s="1"/>
  <c r="J537" i="5" s="1"/>
  <c r="R538" i="5"/>
  <c r="K537" i="5"/>
  <c r="M537" i="5" s="1"/>
  <c r="K537" i="10"/>
  <c r="M537" i="10" s="1"/>
  <c r="R538" i="10"/>
  <c r="S537" i="10"/>
  <c r="G537" i="10" s="1"/>
  <c r="J537" i="10" s="1"/>
  <c r="K537" i="9"/>
  <c r="M537" i="9" s="1"/>
  <c r="R538" i="9"/>
  <c r="S537" i="9"/>
  <c r="G537" i="9" s="1"/>
  <c r="J537" i="9" s="1"/>
  <c r="F538" i="10"/>
  <c r="F538" i="9"/>
  <c r="L536" i="5"/>
  <c r="C549" i="9" l="1"/>
  <c r="T548" i="9"/>
  <c r="T543" i="5"/>
  <c r="C544" i="5"/>
  <c r="L537" i="5"/>
  <c r="C544" i="10"/>
  <c r="T543" i="10"/>
  <c r="I426" i="9"/>
  <c r="I427" i="9" s="1"/>
  <c r="O450" i="5"/>
  <c r="P450" i="5" s="1"/>
  <c r="H451" i="5"/>
  <c r="N450" i="5"/>
  <c r="Q451" i="5"/>
  <c r="H427" i="9"/>
  <c r="Q427" i="9"/>
  <c r="O426" i="9"/>
  <c r="P426" i="9" s="1"/>
  <c r="N426" i="9"/>
  <c r="I450" i="5"/>
  <c r="N418" i="10"/>
  <c r="H419" i="10"/>
  <c r="Q419" i="10" s="1"/>
  <c r="O418" i="10"/>
  <c r="P418" i="10" s="1"/>
  <c r="L537" i="10"/>
  <c r="I418" i="10"/>
  <c r="I419" i="10" s="1"/>
  <c r="F539" i="9"/>
  <c r="R539" i="9"/>
  <c r="K538" i="9"/>
  <c r="M538" i="9" s="1"/>
  <c r="S538" i="9"/>
  <c r="G538" i="9" s="1"/>
  <c r="J538" i="9" s="1"/>
  <c r="R539" i="10"/>
  <c r="K538" i="10"/>
  <c r="M538" i="10" s="1"/>
  <c r="S538" i="10"/>
  <c r="G538" i="10" s="1"/>
  <c r="J538" i="10" s="1"/>
  <c r="F539" i="5"/>
  <c r="G538" i="5"/>
  <c r="J538" i="5" s="1"/>
  <c r="F539" i="10"/>
  <c r="S538" i="5"/>
  <c r="R539" i="5"/>
  <c r="K538" i="5"/>
  <c r="M538" i="5" s="1"/>
  <c r="L537" i="9"/>
  <c r="L538" i="9" l="1"/>
  <c r="I451" i="5"/>
  <c r="C545" i="10"/>
  <c r="T544" i="10"/>
  <c r="H452" i="5"/>
  <c r="I452" i="5" s="1"/>
  <c r="N451" i="5"/>
  <c r="O451" i="5"/>
  <c r="P451" i="5" s="1"/>
  <c r="Q452" i="5"/>
  <c r="C545" i="5"/>
  <c r="T544" i="5"/>
  <c r="H428" i="9"/>
  <c r="I428" i="9" s="1"/>
  <c r="O427" i="9"/>
  <c r="P427" i="9" s="1"/>
  <c r="N427" i="9"/>
  <c r="L538" i="5"/>
  <c r="C550" i="9"/>
  <c r="T549" i="9"/>
  <c r="N419" i="10"/>
  <c r="O419" i="10"/>
  <c r="P419" i="10" s="1"/>
  <c r="H420" i="10"/>
  <c r="Q420" i="10" s="1"/>
  <c r="L538" i="10"/>
  <c r="F540" i="5"/>
  <c r="F540" i="9"/>
  <c r="S539" i="5"/>
  <c r="G539" i="5" s="1"/>
  <c r="J539" i="5" s="1"/>
  <c r="R540" i="5"/>
  <c r="K539" i="5"/>
  <c r="M539" i="5" s="1"/>
  <c r="K539" i="10"/>
  <c r="M539" i="10" s="1"/>
  <c r="R540" i="10"/>
  <c r="S539" i="10"/>
  <c r="G539" i="10" s="1"/>
  <c r="J539" i="10" s="1"/>
  <c r="F540" i="10"/>
  <c r="K539" i="9"/>
  <c r="M539" i="9" s="1"/>
  <c r="R540" i="9"/>
  <c r="S539" i="9"/>
  <c r="G539" i="9" s="1"/>
  <c r="J539" i="9" s="1"/>
  <c r="T545" i="5" l="1"/>
  <c r="C546" i="5"/>
  <c r="L539" i="9"/>
  <c r="T550" i="9"/>
  <c r="C551" i="9"/>
  <c r="Q428" i="9"/>
  <c r="T545" i="10"/>
  <c r="C546" i="10"/>
  <c r="O452" i="5"/>
  <c r="P452" i="5" s="1"/>
  <c r="N452" i="5"/>
  <c r="H453" i="5"/>
  <c r="I453" i="5" s="1"/>
  <c r="I420" i="10"/>
  <c r="N420" i="10"/>
  <c r="O420" i="10"/>
  <c r="P420" i="10" s="1"/>
  <c r="H421" i="10"/>
  <c r="Q421" i="10" s="1"/>
  <c r="L539" i="10"/>
  <c r="S540" i="5"/>
  <c r="R541" i="5"/>
  <c r="K540" i="5"/>
  <c r="M540" i="5" s="1"/>
  <c r="F541" i="5"/>
  <c r="G540" i="5"/>
  <c r="J540" i="5" s="1"/>
  <c r="R541" i="10"/>
  <c r="K540" i="10"/>
  <c r="M540" i="10" s="1"/>
  <c r="S540" i="10"/>
  <c r="G540" i="10" s="1"/>
  <c r="J540" i="10" s="1"/>
  <c r="R541" i="9"/>
  <c r="K540" i="9"/>
  <c r="M540" i="9" s="1"/>
  <c r="S540" i="9"/>
  <c r="G540" i="9" s="1"/>
  <c r="J540" i="9" s="1"/>
  <c r="L540" i="9"/>
  <c r="L539" i="5"/>
  <c r="L540" i="5" s="1"/>
  <c r="F541" i="10"/>
  <c r="F541" i="9"/>
  <c r="H429" i="9" l="1"/>
  <c r="I429" i="9" s="1"/>
  <c r="N428" i="9"/>
  <c r="Q429" i="9"/>
  <c r="O428" i="9"/>
  <c r="P428" i="9" s="1"/>
  <c r="C552" i="9"/>
  <c r="T551" i="9"/>
  <c r="Q453" i="5"/>
  <c r="T546" i="5"/>
  <c r="C547" i="5"/>
  <c r="C547" i="10"/>
  <c r="T546" i="10"/>
  <c r="I421" i="10"/>
  <c r="O421" i="10"/>
  <c r="P421" i="10" s="1"/>
  <c r="N421" i="10"/>
  <c r="H422" i="10"/>
  <c r="Q422" i="10" s="1"/>
  <c r="F542" i="10"/>
  <c r="R542" i="10"/>
  <c r="K541" i="10"/>
  <c r="M541" i="10" s="1"/>
  <c r="S541" i="10"/>
  <c r="G541" i="10" s="1"/>
  <c r="J541" i="10" s="1"/>
  <c r="S541" i="5"/>
  <c r="G541" i="5" s="1"/>
  <c r="J541" i="5" s="1"/>
  <c r="R542" i="5"/>
  <c r="K541" i="5"/>
  <c r="M541" i="5" s="1"/>
  <c r="L540" i="10"/>
  <c r="L541" i="9"/>
  <c r="F542" i="9"/>
  <c r="R542" i="9"/>
  <c r="K541" i="9"/>
  <c r="M541" i="9" s="1"/>
  <c r="S541" i="9"/>
  <c r="G541" i="9" s="1"/>
  <c r="J541" i="9" s="1"/>
  <c r="F542" i="5"/>
  <c r="L541" i="5" l="1"/>
  <c r="N453" i="5"/>
  <c r="O453" i="5"/>
  <c r="P453" i="5" s="1"/>
  <c r="H454" i="5"/>
  <c r="I454" i="5" s="1"/>
  <c r="C553" i="9"/>
  <c r="T552" i="9"/>
  <c r="C548" i="10"/>
  <c r="T547" i="10"/>
  <c r="O429" i="9"/>
  <c r="P429" i="9" s="1"/>
  <c r="N429" i="9"/>
  <c r="H430" i="9"/>
  <c r="Q430" i="9" s="1"/>
  <c r="T547" i="5"/>
  <c r="C548" i="5"/>
  <c r="I430" i="9"/>
  <c r="O422" i="10"/>
  <c r="P422" i="10" s="1"/>
  <c r="H423" i="10"/>
  <c r="Q423" i="10" s="1"/>
  <c r="N422" i="10"/>
  <c r="I422" i="10"/>
  <c r="L541" i="10"/>
  <c r="F543" i="5"/>
  <c r="F543" i="9"/>
  <c r="F543" i="10"/>
  <c r="S542" i="5"/>
  <c r="G542" i="5" s="1"/>
  <c r="J542" i="5" s="1"/>
  <c r="R543" i="5"/>
  <c r="K542" i="5"/>
  <c r="M542" i="5" s="1"/>
  <c r="K542" i="10"/>
  <c r="M542" i="10" s="1"/>
  <c r="R543" i="10"/>
  <c r="S542" i="10"/>
  <c r="G542" i="10" s="1"/>
  <c r="J542" i="10" s="1"/>
  <c r="R543" i="9"/>
  <c r="K542" i="9"/>
  <c r="M542" i="9" s="1"/>
  <c r="S542" i="9"/>
  <c r="G542" i="9" s="1"/>
  <c r="J542" i="9" s="1"/>
  <c r="H431" i="9" l="1"/>
  <c r="I431" i="9" s="1"/>
  <c r="N430" i="9"/>
  <c r="O430" i="9"/>
  <c r="P430" i="9" s="1"/>
  <c r="Q431" i="9"/>
  <c r="C549" i="10"/>
  <c r="T548" i="10"/>
  <c r="C554" i="9"/>
  <c r="T553" i="9"/>
  <c r="Q454" i="5"/>
  <c r="C549" i="5"/>
  <c r="T548" i="5"/>
  <c r="L542" i="5"/>
  <c r="O423" i="10"/>
  <c r="P423" i="10" s="1"/>
  <c r="N423" i="10"/>
  <c r="H424" i="10"/>
  <c r="Q424" i="10" s="1"/>
  <c r="I423" i="10"/>
  <c r="L542" i="10"/>
  <c r="K543" i="10"/>
  <c r="M543" i="10" s="1"/>
  <c r="R544" i="10"/>
  <c r="S543" i="10"/>
  <c r="G543" i="10" s="1"/>
  <c r="J543" i="10" s="1"/>
  <c r="S543" i="5"/>
  <c r="G543" i="5" s="1"/>
  <c r="J543" i="5" s="1"/>
  <c r="R544" i="5"/>
  <c r="K543" i="5"/>
  <c r="M543" i="5" s="1"/>
  <c r="F544" i="10"/>
  <c r="F544" i="5"/>
  <c r="K543" i="9"/>
  <c r="M543" i="9" s="1"/>
  <c r="R544" i="9"/>
  <c r="S543" i="9"/>
  <c r="G543" i="9" s="1"/>
  <c r="J543" i="9" s="1"/>
  <c r="F544" i="9"/>
  <c r="L542" i="9"/>
  <c r="T549" i="10" l="1"/>
  <c r="C550" i="10"/>
  <c r="H432" i="9"/>
  <c r="I432" i="9" s="1"/>
  <c r="O431" i="9"/>
  <c r="P431" i="9" s="1"/>
  <c r="N431" i="9"/>
  <c r="Q432" i="9"/>
  <c r="T549" i="5"/>
  <c r="C550" i="5"/>
  <c r="N454" i="5"/>
  <c r="O454" i="5"/>
  <c r="P454" i="5" s="1"/>
  <c r="H455" i="5"/>
  <c r="T554" i="9"/>
  <c r="C555" i="9"/>
  <c r="L543" i="10"/>
  <c r="N424" i="10"/>
  <c r="H425" i="10"/>
  <c r="Q425" i="10" s="1"/>
  <c r="O424" i="10"/>
  <c r="P424" i="10" s="1"/>
  <c r="I424" i="10"/>
  <c r="F545" i="5"/>
  <c r="L543" i="5"/>
  <c r="K544" i="10"/>
  <c r="M544" i="10" s="1"/>
  <c r="R545" i="10"/>
  <c r="S544" i="10"/>
  <c r="G544" i="10" s="1"/>
  <c r="F545" i="10"/>
  <c r="F545" i="9"/>
  <c r="R545" i="9"/>
  <c r="K544" i="9"/>
  <c r="M544" i="9" s="1"/>
  <c r="S544" i="9"/>
  <c r="G544" i="9" s="1"/>
  <c r="S544" i="5"/>
  <c r="G544" i="5" s="1"/>
  <c r="R545" i="5"/>
  <c r="K544" i="5"/>
  <c r="M544" i="5" s="1"/>
  <c r="L543" i="9"/>
  <c r="T550" i="5" l="1"/>
  <c r="C551" i="5"/>
  <c r="C556" i="9"/>
  <c r="T555" i="9"/>
  <c r="O432" i="9"/>
  <c r="P432" i="9" s="1"/>
  <c r="H433" i="9"/>
  <c r="I433" i="9" s="1"/>
  <c r="N432" i="9"/>
  <c r="C551" i="10"/>
  <c r="T550" i="10"/>
  <c r="L544" i="9"/>
  <c r="Q455" i="5"/>
  <c r="I455" i="5"/>
  <c r="O425" i="10"/>
  <c r="P425" i="10" s="1"/>
  <c r="N425" i="10"/>
  <c r="H426" i="10"/>
  <c r="Q426" i="10" s="1"/>
  <c r="I425" i="10"/>
  <c r="J544" i="5"/>
  <c r="AF48" i="5" s="1"/>
  <c r="O13" i="3" s="1"/>
  <c r="AE48" i="5"/>
  <c r="M13" i="3" s="1"/>
  <c r="S545" i="5"/>
  <c r="G545" i="5" s="1"/>
  <c r="J545" i="5" s="1"/>
  <c r="R546" i="5"/>
  <c r="K545" i="5"/>
  <c r="M545" i="5" s="1"/>
  <c r="K545" i="10"/>
  <c r="M545" i="10" s="1"/>
  <c r="R546" i="10"/>
  <c r="S545" i="10"/>
  <c r="V49" i="5"/>
  <c r="AD48" i="5"/>
  <c r="M28" i="3" s="1"/>
  <c r="F546" i="5"/>
  <c r="V49" i="10"/>
  <c r="AD48" i="10"/>
  <c r="L544" i="10"/>
  <c r="J544" i="9"/>
  <c r="AF48" i="9" s="1"/>
  <c r="W36" i="8" s="1"/>
  <c r="AE48" i="9"/>
  <c r="R36" i="8" s="1"/>
  <c r="J544" i="10"/>
  <c r="AF48" i="10" s="1"/>
  <c r="AE48" i="10"/>
  <c r="K545" i="9"/>
  <c r="M545" i="9" s="1"/>
  <c r="R546" i="9"/>
  <c r="S545" i="9"/>
  <c r="G545" i="9" s="1"/>
  <c r="J545" i="9" s="1"/>
  <c r="V49" i="9"/>
  <c r="AD48" i="9"/>
  <c r="F546" i="9"/>
  <c r="G545" i="10"/>
  <c r="J545" i="10" s="1"/>
  <c r="F546" i="10"/>
  <c r="L544" i="5"/>
  <c r="L545" i="5" l="1"/>
  <c r="Q433" i="9"/>
  <c r="H456" i="5"/>
  <c r="Q456" i="5" s="1"/>
  <c r="N455" i="5"/>
  <c r="O455" i="5"/>
  <c r="P455" i="5" s="1"/>
  <c r="C557" i="9"/>
  <c r="T556" i="9"/>
  <c r="L545" i="9"/>
  <c r="T551" i="5"/>
  <c r="C552" i="5"/>
  <c r="C552" i="10"/>
  <c r="T551" i="10"/>
  <c r="N426" i="10"/>
  <c r="H427" i="10"/>
  <c r="Q427" i="10" s="1"/>
  <c r="O426" i="10"/>
  <c r="P426" i="10" s="1"/>
  <c r="I426" i="10"/>
  <c r="L545" i="10"/>
  <c r="F547" i="5"/>
  <c r="F547" i="10"/>
  <c r="F547" i="9"/>
  <c r="R547" i="9"/>
  <c r="S546" i="9"/>
  <c r="G546" i="9" s="1"/>
  <c r="J546" i="9" s="1"/>
  <c r="K546" i="9"/>
  <c r="M546" i="9" s="1"/>
  <c r="K546" i="10"/>
  <c r="M546" i="10" s="1"/>
  <c r="R547" i="10"/>
  <c r="S546" i="10"/>
  <c r="G546" i="10" s="1"/>
  <c r="J546" i="10" s="1"/>
  <c r="L546" i="9"/>
  <c r="R547" i="5"/>
  <c r="S546" i="5"/>
  <c r="G546" i="5" s="1"/>
  <c r="J546" i="5" s="1"/>
  <c r="K546" i="5"/>
  <c r="M546" i="5" s="1"/>
  <c r="N456" i="5" l="1"/>
  <c r="O456" i="5"/>
  <c r="P456" i="5" s="1"/>
  <c r="H457" i="5"/>
  <c r="Q457" i="5" s="1"/>
  <c r="O433" i="9"/>
  <c r="P433" i="9" s="1"/>
  <c r="H434" i="9"/>
  <c r="I434" i="9" s="1"/>
  <c r="N433" i="9"/>
  <c r="Q434" i="9"/>
  <c r="C558" i="9"/>
  <c r="T557" i="9"/>
  <c r="C553" i="10"/>
  <c r="T552" i="10"/>
  <c r="I456" i="5"/>
  <c r="I457" i="5" s="1"/>
  <c r="C553" i="5"/>
  <c r="T552" i="5"/>
  <c r="N427" i="10"/>
  <c r="H428" i="10"/>
  <c r="Q428" i="10" s="1"/>
  <c r="O427" i="10"/>
  <c r="P427" i="10" s="1"/>
  <c r="L546" i="10"/>
  <c r="I427" i="10"/>
  <c r="K547" i="5"/>
  <c r="M547" i="5" s="1"/>
  <c r="S547" i="5"/>
  <c r="G547" i="5" s="1"/>
  <c r="J547" i="5" s="1"/>
  <c r="R548" i="5"/>
  <c r="F548" i="9"/>
  <c r="F548" i="5"/>
  <c r="L546" i="5"/>
  <c r="K547" i="10"/>
  <c r="M547" i="10" s="1"/>
  <c r="R548" i="10"/>
  <c r="S547" i="10"/>
  <c r="G547" i="10" s="1"/>
  <c r="J547" i="10" s="1"/>
  <c r="K547" i="9"/>
  <c r="M547" i="9" s="1"/>
  <c r="R548" i="9"/>
  <c r="S547" i="9"/>
  <c r="G547" i="9" s="1"/>
  <c r="J547" i="9" s="1"/>
  <c r="F548" i="10"/>
  <c r="L547" i="9"/>
  <c r="L547" i="5" l="1"/>
  <c r="T558" i="9"/>
  <c r="C559" i="9"/>
  <c r="H435" i="9"/>
  <c r="Q435" i="9" s="1"/>
  <c r="O434" i="9"/>
  <c r="P434" i="9" s="1"/>
  <c r="N434" i="9"/>
  <c r="T553" i="5"/>
  <c r="C554" i="5"/>
  <c r="I428" i="10"/>
  <c r="H458" i="5"/>
  <c r="Q458" i="5" s="1"/>
  <c r="O457" i="5"/>
  <c r="P457" i="5" s="1"/>
  <c r="N457" i="5"/>
  <c r="I458" i="5"/>
  <c r="T553" i="10"/>
  <c r="C554" i="10"/>
  <c r="O428" i="10"/>
  <c r="P428" i="10" s="1"/>
  <c r="N428" i="10"/>
  <c r="H429" i="10"/>
  <c r="Q429" i="10" s="1"/>
  <c r="L547" i="10"/>
  <c r="K548" i="10"/>
  <c r="M548" i="10" s="1"/>
  <c r="R549" i="10"/>
  <c r="S548" i="10"/>
  <c r="G548" i="10" s="1"/>
  <c r="J548" i="10" s="1"/>
  <c r="F549" i="5"/>
  <c r="F549" i="10"/>
  <c r="K548" i="5"/>
  <c r="M548" i="5" s="1"/>
  <c r="S548" i="5"/>
  <c r="G548" i="5" s="1"/>
  <c r="J548" i="5" s="1"/>
  <c r="R549" i="5"/>
  <c r="R549" i="9"/>
  <c r="S548" i="9"/>
  <c r="G548" i="9" s="1"/>
  <c r="J548" i="9" s="1"/>
  <c r="K548" i="9"/>
  <c r="M548" i="9" s="1"/>
  <c r="F549" i="9"/>
  <c r="I435" i="9" l="1"/>
  <c r="T554" i="5"/>
  <c r="C555" i="5"/>
  <c r="C555" i="10"/>
  <c r="T554" i="10"/>
  <c r="O435" i="9"/>
  <c r="P435" i="9" s="1"/>
  <c r="H436" i="9"/>
  <c r="I436" i="9" s="1"/>
  <c r="N435" i="9"/>
  <c r="N458" i="5"/>
  <c r="O458" i="5"/>
  <c r="P458" i="5" s="1"/>
  <c r="H459" i="5"/>
  <c r="Q459" i="5" s="1"/>
  <c r="C560" i="9"/>
  <c r="T559" i="9"/>
  <c r="L548" i="10"/>
  <c r="I429" i="10"/>
  <c r="O429" i="10"/>
  <c r="P429" i="10" s="1"/>
  <c r="H430" i="10"/>
  <c r="Q430" i="10" s="1"/>
  <c r="N429" i="10"/>
  <c r="F550" i="9"/>
  <c r="K549" i="5"/>
  <c r="M549" i="5" s="1"/>
  <c r="S549" i="5"/>
  <c r="G549" i="5" s="1"/>
  <c r="J549" i="5" s="1"/>
  <c r="R550" i="5"/>
  <c r="F550" i="10"/>
  <c r="K549" i="9"/>
  <c r="M549" i="9" s="1"/>
  <c r="R550" i="9"/>
  <c r="S549" i="9"/>
  <c r="G549" i="9" s="1"/>
  <c r="J549" i="9" s="1"/>
  <c r="F550" i="5"/>
  <c r="K549" i="10"/>
  <c r="M549" i="10" s="1"/>
  <c r="R550" i="10"/>
  <c r="S549" i="10"/>
  <c r="G549" i="10" s="1"/>
  <c r="J549" i="10" s="1"/>
  <c r="L548" i="5"/>
  <c r="L549" i="5" s="1"/>
  <c r="L548" i="9"/>
  <c r="Q436" i="9" l="1"/>
  <c r="H437" i="9"/>
  <c r="I437" i="9" s="1"/>
  <c r="N436" i="9"/>
  <c r="Q437" i="9"/>
  <c r="O436" i="9"/>
  <c r="P436" i="9" s="1"/>
  <c r="C561" i="9"/>
  <c r="T560" i="9"/>
  <c r="O459" i="5"/>
  <c r="P459" i="5" s="1"/>
  <c r="H460" i="5"/>
  <c r="Q460" i="5" s="1"/>
  <c r="N459" i="5"/>
  <c r="C556" i="10"/>
  <c r="T555" i="10"/>
  <c r="T555" i="5"/>
  <c r="C556" i="5"/>
  <c r="L549" i="9"/>
  <c r="I459" i="5"/>
  <c r="I460" i="5" s="1"/>
  <c r="N430" i="10"/>
  <c r="H431" i="10"/>
  <c r="Q431" i="10" s="1"/>
  <c r="O430" i="10"/>
  <c r="P430" i="10" s="1"/>
  <c r="I430" i="10"/>
  <c r="L549" i="10"/>
  <c r="K550" i="10"/>
  <c r="M550" i="10" s="1"/>
  <c r="R551" i="10"/>
  <c r="S550" i="10"/>
  <c r="G550" i="10" s="1"/>
  <c r="J550" i="10" s="1"/>
  <c r="F551" i="9"/>
  <c r="F551" i="10"/>
  <c r="F551" i="5"/>
  <c r="K550" i="5"/>
  <c r="M550" i="5" s="1"/>
  <c r="S550" i="5"/>
  <c r="G550" i="5" s="1"/>
  <c r="J550" i="5" s="1"/>
  <c r="R551" i="5"/>
  <c r="R551" i="9"/>
  <c r="S550" i="9"/>
  <c r="G550" i="9" s="1"/>
  <c r="J550" i="9" s="1"/>
  <c r="K550" i="9"/>
  <c r="M550" i="9" s="1"/>
  <c r="C557" i="5" l="1"/>
  <c r="T556" i="5"/>
  <c r="N437" i="9"/>
  <c r="O437" i="9"/>
  <c r="P437" i="9" s="1"/>
  <c r="H438" i="9"/>
  <c r="Q438" i="9" s="1"/>
  <c r="C557" i="10"/>
  <c r="T556" i="10"/>
  <c r="C562" i="9"/>
  <c r="T561" i="9"/>
  <c r="O460" i="5"/>
  <c r="P460" i="5" s="1"/>
  <c r="H461" i="5"/>
  <c r="I461" i="5" s="1"/>
  <c r="N460" i="5"/>
  <c r="L550" i="10"/>
  <c r="N431" i="10"/>
  <c r="H432" i="10"/>
  <c r="Q432" i="10" s="1"/>
  <c r="O431" i="10"/>
  <c r="P431" i="10" s="1"/>
  <c r="I431" i="10"/>
  <c r="K551" i="10"/>
  <c r="M551" i="10" s="1"/>
  <c r="R552" i="10"/>
  <c r="S551" i="10"/>
  <c r="G551" i="10" s="1"/>
  <c r="J551" i="10" s="1"/>
  <c r="K551" i="9"/>
  <c r="M551" i="9" s="1"/>
  <c r="R552" i="9"/>
  <c r="S551" i="9"/>
  <c r="G551" i="9" s="1"/>
  <c r="J551" i="9" s="1"/>
  <c r="F552" i="10"/>
  <c r="L550" i="5"/>
  <c r="F552" i="9"/>
  <c r="K551" i="5"/>
  <c r="M551" i="5" s="1"/>
  <c r="S551" i="5"/>
  <c r="G551" i="5" s="1"/>
  <c r="J551" i="5" s="1"/>
  <c r="R552" i="5"/>
  <c r="F552" i="5"/>
  <c r="L550" i="9"/>
  <c r="L551" i="9" s="1"/>
  <c r="I432" i="10" l="1"/>
  <c r="T557" i="10"/>
  <c r="C558" i="10"/>
  <c r="O438" i="9"/>
  <c r="P438" i="9" s="1"/>
  <c r="H439" i="9"/>
  <c r="Q439" i="9" s="1"/>
  <c r="N438" i="9"/>
  <c r="Q461" i="5"/>
  <c r="T562" i="9"/>
  <c r="C563" i="9"/>
  <c r="T557" i="5"/>
  <c r="C558" i="5"/>
  <c r="I438" i="9"/>
  <c r="I439" i="9" s="1"/>
  <c r="O432" i="10"/>
  <c r="P432" i="10" s="1"/>
  <c r="H433" i="10"/>
  <c r="Q433" i="10" s="1"/>
  <c r="N432" i="10"/>
  <c r="L551" i="10"/>
  <c r="K552" i="10"/>
  <c r="M552" i="10" s="1"/>
  <c r="R553" i="10"/>
  <c r="S552" i="10"/>
  <c r="G552" i="10" s="1"/>
  <c r="J552" i="10" s="1"/>
  <c r="K552" i="5"/>
  <c r="M552" i="5" s="1"/>
  <c r="S552" i="5"/>
  <c r="G552" i="5" s="1"/>
  <c r="J552" i="5" s="1"/>
  <c r="R553" i="5"/>
  <c r="F553" i="9"/>
  <c r="F553" i="10"/>
  <c r="F553" i="5"/>
  <c r="R553" i="9"/>
  <c r="K552" i="9"/>
  <c r="M552" i="9" s="1"/>
  <c r="S552" i="9"/>
  <c r="G552" i="9" s="1"/>
  <c r="J552" i="9" s="1"/>
  <c r="L551" i="5"/>
  <c r="L552" i="5" s="1"/>
  <c r="L552" i="9" l="1"/>
  <c r="N461" i="5"/>
  <c r="O461" i="5"/>
  <c r="P461" i="5" s="1"/>
  <c r="H462" i="5"/>
  <c r="I462" i="5" s="1"/>
  <c r="O439" i="9"/>
  <c r="P439" i="9" s="1"/>
  <c r="H440" i="9"/>
  <c r="I440" i="9" s="1"/>
  <c r="N439" i="9"/>
  <c r="T558" i="5"/>
  <c r="C559" i="5"/>
  <c r="C559" i="10"/>
  <c r="T558" i="10"/>
  <c r="C564" i="9"/>
  <c r="T563" i="9"/>
  <c r="L552" i="10"/>
  <c r="I433" i="10"/>
  <c r="N433" i="10"/>
  <c r="O433" i="10"/>
  <c r="P433" i="10" s="1"/>
  <c r="H434" i="10"/>
  <c r="R554" i="9"/>
  <c r="K553" i="9"/>
  <c r="M553" i="9" s="1"/>
  <c r="S553" i="9"/>
  <c r="G553" i="9" s="1"/>
  <c r="J553" i="9" s="1"/>
  <c r="F554" i="10"/>
  <c r="K553" i="5"/>
  <c r="M553" i="5" s="1"/>
  <c r="S553" i="5"/>
  <c r="G553" i="5" s="1"/>
  <c r="J553" i="5" s="1"/>
  <c r="R554" i="5"/>
  <c r="R554" i="10"/>
  <c r="S553" i="10"/>
  <c r="G553" i="10" s="1"/>
  <c r="J553" i="10" s="1"/>
  <c r="K553" i="10"/>
  <c r="M553" i="10" s="1"/>
  <c r="F554" i="5"/>
  <c r="F554" i="9"/>
  <c r="L553" i="5"/>
  <c r="L553" i="9" l="1"/>
  <c r="Q440" i="9"/>
  <c r="C565" i="9"/>
  <c r="T564" i="9"/>
  <c r="C560" i="10"/>
  <c r="T559" i="10"/>
  <c r="Q462" i="5"/>
  <c r="T559" i="5"/>
  <c r="C560" i="5"/>
  <c r="I434" i="10"/>
  <c r="Q434" i="10"/>
  <c r="K554" i="10"/>
  <c r="M554" i="10" s="1"/>
  <c r="R555" i="10"/>
  <c r="S554" i="10"/>
  <c r="G554" i="10" s="1"/>
  <c r="J554" i="10" s="1"/>
  <c r="K554" i="9"/>
  <c r="M554" i="9" s="1"/>
  <c r="R555" i="9"/>
  <c r="S554" i="9"/>
  <c r="G554" i="9" s="1"/>
  <c r="J554" i="9" s="1"/>
  <c r="L553" i="10"/>
  <c r="F555" i="9"/>
  <c r="F555" i="5"/>
  <c r="K554" i="5"/>
  <c r="M554" i="5" s="1"/>
  <c r="S554" i="5"/>
  <c r="G554" i="5" s="1"/>
  <c r="J554" i="5" s="1"/>
  <c r="R555" i="5"/>
  <c r="F555" i="10"/>
  <c r="O462" i="5" l="1"/>
  <c r="P462" i="5" s="1"/>
  <c r="H463" i="5"/>
  <c r="I463" i="5" s="1"/>
  <c r="N462" i="5"/>
  <c r="C561" i="10"/>
  <c r="T560" i="10"/>
  <c r="C566" i="9"/>
  <c r="T565" i="9"/>
  <c r="C561" i="5"/>
  <c r="T560" i="5"/>
  <c r="H441" i="9"/>
  <c r="I441" i="9" s="1"/>
  <c r="O440" i="9"/>
  <c r="P440" i="9" s="1"/>
  <c r="N440" i="9"/>
  <c r="Q441" i="9"/>
  <c r="L554" i="9"/>
  <c r="O434" i="10"/>
  <c r="P434" i="10" s="1"/>
  <c r="N434" i="10"/>
  <c r="H435" i="10"/>
  <c r="I435" i="10" s="1"/>
  <c r="K555" i="5"/>
  <c r="M555" i="5" s="1"/>
  <c r="S555" i="5"/>
  <c r="G555" i="5" s="1"/>
  <c r="J555" i="5" s="1"/>
  <c r="R556" i="5"/>
  <c r="K555" i="9"/>
  <c r="M555" i="9" s="1"/>
  <c r="R556" i="9"/>
  <c r="S555" i="9"/>
  <c r="G555" i="9" s="1"/>
  <c r="J555" i="9" s="1"/>
  <c r="F556" i="10"/>
  <c r="F556" i="5"/>
  <c r="F556" i="9"/>
  <c r="K555" i="10"/>
  <c r="M555" i="10" s="1"/>
  <c r="R556" i="10"/>
  <c r="S555" i="10"/>
  <c r="G555" i="10" s="1"/>
  <c r="J555" i="10" s="1"/>
  <c r="L554" i="5"/>
  <c r="L554" i="10"/>
  <c r="T566" i="9" l="1"/>
  <c r="C567" i="9"/>
  <c r="T561" i="10"/>
  <c r="C562" i="10"/>
  <c r="L555" i="9"/>
  <c r="I442" i="9"/>
  <c r="Q463" i="5"/>
  <c r="O441" i="9"/>
  <c r="P441" i="9" s="1"/>
  <c r="H442" i="9"/>
  <c r="Q442" i="9" s="1"/>
  <c r="N441" i="9"/>
  <c r="T561" i="5"/>
  <c r="C562" i="5"/>
  <c r="Q435" i="10"/>
  <c r="L555" i="10"/>
  <c r="L556" i="10" s="1"/>
  <c r="F557" i="5"/>
  <c r="R557" i="10"/>
  <c r="K556" i="10"/>
  <c r="M556" i="10" s="1"/>
  <c r="S556" i="10"/>
  <c r="V50" i="10" s="1"/>
  <c r="L555" i="5"/>
  <c r="R557" i="9"/>
  <c r="K556" i="9"/>
  <c r="M556" i="9" s="1"/>
  <c r="S556" i="9"/>
  <c r="V50" i="9" s="1"/>
  <c r="F557" i="9"/>
  <c r="F557" i="10"/>
  <c r="K556" i="5"/>
  <c r="M556" i="5" s="1"/>
  <c r="S556" i="5"/>
  <c r="V50" i="5" s="1"/>
  <c r="R557" i="5"/>
  <c r="H464" i="5" l="1"/>
  <c r="O463" i="5"/>
  <c r="P463" i="5" s="1"/>
  <c r="N463" i="5"/>
  <c r="T562" i="5"/>
  <c r="C563" i="5"/>
  <c r="C563" i="10"/>
  <c r="T562" i="10"/>
  <c r="C568" i="9"/>
  <c r="T567" i="9"/>
  <c r="G556" i="9"/>
  <c r="J556" i="9" s="1"/>
  <c r="O442" i="9"/>
  <c r="P442" i="9" s="1"/>
  <c r="N442" i="9"/>
  <c r="H443" i="9"/>
  <c r="Q443" i="9" s="1"/>
  <c r="N435" i="10"/>
  <c r="O435" i="10"/>
  <c r="P435" i="10" s="1"/>
  <c r="H436" i="10"/>
  <c r="I436" i="10" s="1"/>
  <c r="F558" i="5"/>
  <c r="S557" i="5"/>
  <c r="G557" i="5" s="1"/>
  <c r="J557" i="5" s="1"/>
  <c r="R558" i="5"/>
  <c r="K557" i="5"/>
  <c r="M557" i="5" s="1"/>
  <c r="F558" i="10"/>
  <c r="L556" i="9"/>
  <c r="G556" i="5"/>
  <c r="J556" i="5" s="1"/>
  <c r="K557" i="10"/>
  <c r="M557" i="10" s="1"/>
  <c r="S557" i="10"/>
  <c r="G557" i="10" s="1"/>
  <c r="J557" i="10" s="1"/>
  <c r="R558" i="10"/>
  <c r="K557" i="9"/>
  <c r="M557" i="9" s="1"/>
  <c r="S557" i="9"/>
  <c r="G557" i="9" s="1"/>
  <c r="J557" i="9" s="1"/>
  <c r="R558" i="9"/>
  <c r="F558" i="9"/>
  <c r="G556" i="10"/>
  <c r="J556" i="10" s="1"/>
  <c r="L556" i="5"/>
  <c r="H444" i="9" l="1"/>
  <c r="Q444" i="9" s="1"/>
  <c r="O443" i="9"/>
  <c r="P443" i="9" s="1"/>
  <c r="N443" i="9"/>
  <c r="T563" i="5"/>
  <c r="C564" i="5"/>
  <c r="I443" i="9"/>
  <c r="I444" i="9" s="1"/>
  <c r="C564" i="10"/>
  <c r="T563" i="10"/>
  <c r="Q436" i="10"/>
  <c r="O436" i="10" s="1"/>
  <c r="P436" i="10" s="1"/>
  <c r="C569" i="9"/>
  <c r="T568" i="9"/>
  <c r="Q464" i="5"/>
  <c r="I464" i="5"/>
  <c r="H437" i="10"/>
  <c r="Q437" i="10" s="1"/>
  <c r="N436" i="10"/>
  <c r="F559" i="5"/>
  <c r="R559" i="9"/>
  <c r="K558" i="9"/>
  <c r="M558" i="9" s="1"/>
  <c r="S558" i="9"/>
  <c r="G558" i="9" s="1"/>
  <c r="J558" i="9" s="1"/>
  <c r="F559" i="9"/>
  <c r="F559" i="10"/>
  <c r="R559" i="10"/>
  <c r="S558" i="10"/>
  <c r="G558" i="10" s="1"/>
  <c r="J558" i="10" s="1"/>
  <c r="K558" i="10"/>
  <c r="M558" i="10" s="1"/>
  <c r="S558" i="5"/>
  <c r="G558" i="5" s="1"/>
  <c r="J558" i="5" s="1"/>
  <c r="R559" i="5"/>
  <c r="K558" i="5"/>
  <c r="M558" i="5" s="1"/>
  <c r="L557" i="5"/>
  <c r="L558" i="5" s="1"/>
  <c r="L557" i="10"/>
  <c r="L557" i="9"/>
  <c r="O444" i="9" l="1"/>
  <c r="P444" i="9" s="1"/>
  <c r="N444" i="9"/>
  <c r="H445" i="9"/>
  <c r="Q445" i="9" s="1"/>
  <c r="I445" i="9"/>
  <c r="O464" i="5"/>
  <c r="P464" i="5" s="1"/>
  <c r="H465" i="5"/>
  <c r="Q465" i="5" s="1"/>
  <c r="N464" i="5"/>
  <c r="C565" i="10"/>
  <c r="T564" i="10"/>
  <c r="C570" i="9"/>
  <c r="T569" i="9"/>
  <c r="C565" i="5"/>
  <c r="T564" i="5"/>
  <c r="L558" i="9"/>
  <c r="H438" i="10"/>
  <c r="Q438" i="10" s="1"/>
  <c r="N437" i="10"/>
  <c r="O437" i="10"/>
  <c r="P437" i="10" s="1"/>
  <c r="I437" i="10"/>
  <c r="L558" i="10"/>
  <c r="S559" i="5"/>
  <c r="G559" i="5" s="1"/>
  <c r="J559" i="5" s="1"/>
  <c r="R560" i="5"/>
  <c r="K559" i="5"/>
  <c r="M559" i="5" s="1"/>
  <c r="K559" i="10"/>
  <c r="M559" i="10" s="1"/>
  <c r="R560" i="10"/>
  <c r="S559" i="10"/>
  <c r="G559" i="10" s="1"/>
  <c r="J559" i="10" s="1"/>
  <c r="F560" i="9"/>
  <c r="F560" i="5"/>
  <c r="K559" i="9"/>
  <c r="M559" i="9" s="1"/>
  <c r="S559" i="9"/>
  <c r="G559" i="9" s="1"/>
  <c r="J559" i="9" s="1"/>
  <c r="R560" i="9"/>
  <c r="L559" i="9"/>
  <c r="F560" i="10"/>
  <c r="L559" i="10" l="1"/>
  <c r="L559" i="5"/>
  <c r="T565" i="5"/>
  <c r="C566" i="5"/>
  <c r="I465" i="5"/>
  <c r="O465" i="5"/>
  <c r="P465" i="5" s="1"/>
  <c r="N465" i="5"/>
  <c r="H466" i="5"/>
  <c r="Q466" i="5" s="1"/>
  <c r="N445" i="9"/>
  <c r="O445" i="9"/>
  <c r="P445" i="9" s="1"/>
  <c r="H446" i="9"/>
  <c r="I446" i="9" s="1"/>
  <c r="Q446" i="9"/>
  <c r="T570" i="9"/>
  <c r="C571" i="9"/>
  <c r="T565" i="10"/>
  <c r="C566" i="10"/>
  <c r="N438" i="10"/>
  <c r="O438" i="10"/>
  <c r="P438" i="10" s="1"/>
  <c r="H439" i="10"/>
  <c r="Q439" i="10" s="1"/>
  <c r="I438" i="10"/>
  <c r="R561" i="9"/>
  <c r="K560" i="9"/>
  <c r="M560" i="9" s="1"/>
  <c r="S560" i="9"/>
  <c r="G560" i="9" s="1"/>
  <c r="J560" i="9" s="1"/>
  <c r="F561" i="5"/>
  <c r="S560" i="5"/>
  <c r="G560" i="5" s="1"/>
  <c r="J560" i="5" s="1"/>
  <c r="R561" i="5"/>
  <c r="K560" i="5"/>
  <c r="M560" i="5" s="1"/>
  <c r="F561" i="9"/>
  <c r="R561" i="10"/>
  <c r="S560" i="10"/>
  <c r="G560" i="10" s="1"/>
  <c r="J560" i="10" s="1"/>
  <c r="K560" i="10"/>
  <c r="M560" i="10" s="1"/>
  <c r="F561" i="10"/>
  <c r="L560" i="9" l="1"/>
  <c r="O466" i="5"/>
  <c r="P466" i="5" s="1"/>
  <c r="H467" i="5"/>
  <c r="Q467" i="5" s="1"/>
  <c r="N466" i="5"/>
  <c r="C572" i="9"/>
  <c r="T571" i="9"/>
  <c r="C567" i="10"/>
  <c r="T566" i="10"/>
  <c r="L560" i="5"/>
  <c r="I466" i="5"/>
  <c r="T566" i="5"/>
  <c r="C567" i="5"/>
  <c r="N446" i="9"/>
  <c r="O446" i="9"/>
  <c r="P446" i="9" s="1"/>
  <c r="H447" i="9"/>
  <c r="Q447" i="9" s="1"/>
  <c r="O439" i="10"/>
  <c r="P439" i="10" s="1"/>
  <c r="H440" i="10"/>
  <c r="Q440" i="10" s="1"/>
  <c r="N439" i="10"/>
  <c r="I439" i="10"/>
  <c r="F562" i="10"/>
  <c r="F562" i="5"/>
  <c r="K561" i="10"/>
  <c r="M561" i="10" s="1"/>
  <c r="R562" i="10"/>
  <c r="S561" i="10"/>
  <c r="G561" i="10" s="1"/>
  <c r="J561" i="10" s="1"/>
  <c r="K561" i="9"/>
  <c r="M561" i="9" s="1"/>
  <c r="S561" i="9"/>
  <c r="G561" i="9" s="1"/>
  <c r="J561" i="9" s="1"/>
  <c r="R562" i="9"/>
  <c r="L560" i="10"/>
  <c r="F562" i="9"/>
  <c r="S561" i="5"/>
  <c r="G561" i="5" s="1"/>
  <c r="J561" i="5" s="1"/>
  <c r="R562" i="5"/>
  <c r="K561" i="5"/>
  <c r="M561" i="5" s="1"/>
  <c r="I467" i="5" l="1"/>
  <c r="L561" i="5"/>
  <c r="I447" i="9"/>
  <c r="H448" i="9"/>
  <c r="Q448" i="9" s="1"/>
  <c r="N447" i="9"/>
  <c r="O447" i="9"/>
  <c r="P447" i="9" s="1"/>
  <c r="C568" i="10"/>
  <c r="T567" i="10"/>
  <c r="C573" i="9"/>
  <c r="T572" i="9"/>
  <c r="L561" i="10"/>
  <c r="T567" i="5"/>
  <c r="C568" i="5"/>
  <c r="L561" i="9"/>
  <c r="H468" i="5"/>
  <c r="I468" i="5" s="1"/>
  <c r="Q468" i="5"/>
  <c r="N467" i="5"/>
  <c r="O467" i="5"/>
  <c r="P467" i="5" s="1"/>
  <c r="O440" i="10"/>
  <c r="P440" i="10" s="1"/>
  <c r="N440" i="10"/>
  <c r="H441" i="10"/>
  <c r="Q441" i="10" s="1"/>
  <c r="I440" i="10"/>
  <c r="F563" i="10"/>
  <c r="R563" i="10"/>
  <c r="S562" i="10"/>
  <c r="G562" i="10" s="1"/>
  <c r="J562" i="10" s="1"/>
  <c r="K562" i="10"/>
  <c r="M562" i="10" s="1"/>
  <c r="F563" i="9"/>
  <c r="G562" i="9"/>
  <c r="J562" i="9" s="1"/>
  <c r="F563" i="5"/>
  <c r="R563" i="9"/>
  <c r="K562" i="9"/>
  <c r="M562" i="9" s="1"/>
  <c r="S562" i="9"/>
  <c r="S562" i="5"/>
  <c r="G562" i="5" s="1"/>
  <c r="J562" i="5" s="1"/>
  <c r="R563" i="5"/>
  <c r="K562" i="5"/>
  <c r="M562" i="5" s="1"/>
  <c r="L562" i="9" l="1"/>
  <c r="C569" i="10"/>
  <c r="T568" i="10"/>
  <c r="O468" i="5"/>
  <c r="P468" i="5" s="1"/>
  <c r="N468" i="5"/>
  <c r="H469" i="5"/>
  <c r="I469" i="5" s="1"/>
  <c r="C574" i="9"/>
  <c r="T573" i="9"/>
  <c r="C569" i="5"/>
  <c r="T568" i="5"/>
  <c r="O448" i="9"/>
  <c r="P448" i="9" s="1"/>
  <c r="H449" i="9"/>
  <c r="Q449" i="9" s="1"/>
  <c r="N448" i="9"/>
  <c r="I448" i="9"/>
  <c r="O441" i="10"/>
  <c r="P441" i="10" s="1"/>
  <c r="H442" i="10"/>
  <c r="Q442" i="10" s="1"/>
  <c r="N441" i="10"/>
  <c r="L562" i="10"/>
  <c r="I441" i="10"/>
  <c r="F564" i="9"/>
  <c r="F564" i="10"/>
  <c r="K563" i="10"/>
  <c r="M563" i="10" s="1"/>
  <c r="R564" i="10"/>
  <c r="S563" i="10"/>
  <c r="G563" i="10" s="1"/>
  <c r="J563" i="10" s="1"/>
  <c r="L562" i="5"/>
  <c r="S563" i="5"/>
  <c r="G563" i="5" s="1"/>
  <c r="J563" i="5" s="1"/>
  <c r="R564" i="5"/>
  <c r="K563" i="5"/>
  <c r="M563" i="5" s="1"/>
  <c r="K563" i="9"/>
  <c r="M563" i="9" s="1"/>
  <c r="R564" i="9"/>
  <c r="S563" i="9"/>
  <c r="G563" i="9" s="1"/>
  <c r="J563" i="9" s="1"/>
  <c r="F564" i="5"/>
  <c r="L563" i="10"/>
  <c r="I449" i="9" l="1"/>
  <c r="I442" i="10"/>
  <c r="L563" i="5"/>
  <c r="N449" i="9"/>
  <c r="H450" i="9"/>
  <c r="I450" i="9" s="1"/>
  <c r="Q450" i="9"/>
  <c r="O449" i="9"/>
  <c r="P449" i="9" s="1"/>
  <c r="T574" i="9"/>
  <c r="C575" i="9"/>
  <c r="Q469" i="5"/>
  <c r="T569" i="5"/>
  <c r="C570" i="5"/>
  <c r="T569" i="10"/>
  <c r="C570" i="10"/>
  <c r="N442" i="10"/>
  <c r="O442" i="10"/>
  <c r="P442" i="10" s="1"/>
  <c r="H443" i="10"/>
  <c r="Q443" i="10" s="1"/>
  <c r="F565" i="10"/>
  <c r="R565" i="9"/>
  <c r="K564" i="9"/>
  <c r="M564" i="9" s="1"/>
  <c r="S564" i="9"/>
  <c r="G564" i="9" s="1"/>
  <c r="J564" i="9" s="1"/>
  <c r="S564" i="5"/>
  <c r="G564" i="5" s="1"/>
  <c r="J564" i="5" s="1"/>
  <c r="R565" i="5"/>
  <c r="K564" i="5"/>
  <c r="M564" i="5" s="1"/>
  <c r="R565" i="10"/>
  <c r="S564" i="10"/>
  <c r="G564" i="10" s="1"/>
  <c r="J564" i="10" s="1"/>
  <c r="K564" i="10"/>
  <c r="M564" i="10" s="1"/>
  <c r="F565" i="9"/>
  <c r="F565" i="5"/>
  <c r="L563" i="9"/>
  <c r="L564" i="9" s="1"/>
  <c r="H470" i="5" l="1"/>
  <c r="O469" i="5"/>
  <c r="P469" i="5" s="1"/>
  <c r="N469" i="5"/>
  <c r="L564" i="10"/>
  <c r="C571" i="10"/>
  <c r="T570" i="10"/>
  <c r="H451" i="9"/>
  <c r="I451" i="9" s="1"/>
  <c r="N450" i="9"/>
  <c r="O450" i="9"/>
  <c r="P450" i="9" s="1"/>
  <c r="C576" i="9"/>
  <c r="T575" i="9"/>
  <c r="T570" i="5"/>
  <c r="C571" i="5"/>
  <c r="H444" i="10"/>
  <c r="Q444" i="10" s="1"/>
  <c r="O443" i="10"/>
  <c r="P443" i="10" s="1"/>
  <c r="N443" i="10"/>
  <c r="I443" i="10"/>
  <c r="F566" i="5"/>
  <c r="S565" i="5"/>
  <c r="G565" i="5" s="1"/>
  <c r="J565" i="5" s="1"/>
  <c r="R566" i="5"/>
  <c r="K565" i="5"/>
  <c r="M565" i="5" s="1"/>
  <c r="R566" i="9"/>
  <c r="K565" i="9"/>
  <c r="M565" i="9" s="1"/>
  <c r="S565" i="9"/>
  <c r="G565" i="9" s="1"/>
  <c r="J565" i="9" s="1"/>
  <c r="F566" i="10"/>
  <c r="F566" i="9"/>
  <c r="R566" i="10"/>
  <c r="K565" i="10"/>
  <c r="M565" i="10" s="1"/>
  <c r="S565" i="10"/>
  <c r="G565" i="10" s="1"/>
  <c r="J565" i="10" s="1"/>
  <c r="L564" i="5"/>
  <c r="L565" i="9" l="1"/>
  <c r="C572" i="10"/>
  <c r="T571" i="10"/>
  <c r="Q451" i="9"/>
  <c r="T571" i="5"/>
  <c r="C572" i="5"/>
  <c r="C577" i="9"/>
  <c r="T576" i="9"/>
  <c r="Q470" i="5"/>
  <c r="I470" i="5"/>
  <c r="O444" i="10"/>
  <c r="P444" i="10" s="1"/>
  <c r="H445" i="10"/>
  <c r="Q445" i="10" s="1"/>
  <c r="N444" i="10"/>
  <c r="I444" i="10"/>
  <c r="F567" i="10"/>
  <c r="F567" i="5"/>
  <c r="R567" i="9"/>
  <c r="K566" i="9"/>
  <c r="M566" i="9" s="1"/>
  <c r="S566" i="9"/>
  <c r="G566" i="9" s="1"/>
  <c r="J566" i="9" s="1"/>
  <c r="L565" i="10"/>
  <c r="L565" i="5"/>
  <c r="K566" i="10"/>
  <c r="M566" i="10" s="1"/>
  <c r="S566" i="10"/>
  <c r="G566" i="10" s="1"/>
  <c r="J566" i="10" s="1"/>
  <c r="R567" i="10"/>
  <c r="F567" i="9"/>
  <c r="L566" i="9"/>
  <c r="S566" i="5"/>
  <c r="G566" i="5" s="1"/>
  <c r="J566" i="5" s="1"/>
  <c r="R567" i="5"/>
  <c r="K566" i="5"/>
  <c r="M566" i="5" s="1"/>
  <c r="C578" i="9" l="1"/>
  <c r="T577" i="9"/>
  <c r="C573" i="5"/>
  <c r="T572" i="5"/>
  <c r="H452" i="9"/>
  <c r="I452" i="9" s="1"/>
  <c r="O451" i="9"/>
  <c r="P451" i="9" s="1"/>
  <c r="N451" i="9"/>
  <c r="O470" i="5"/>
  <c r="P470" i="5" s="1"/>
  <c r="N470" i="5"/>
  <c r="H471" i="5"/>
  <c r="Q471" i="5" s="1"/>
  <c r="C573" i="10"/>
  <c r="T572" i="10"/>
  <c r="H446" i="10"/>
  <c r="Q446" i="10" s="1"/>
  <c r="N445" i="10"/>
  <c r="O445" i="10"/>
  <c r="P445" i="10" s="1"/>
  <c r="I445" i="10"/>
  <c r="K567" i="10"/>
  <c r="M567" i="10" s="1"/>
  <c r="R568" i="10"/>
  <c r="S567" i="10"/>
  <c r="G567" i="10" s="1"/>
  <c r="J567" i="10" s="1"/>
  <c r="K567" i="9"/>
  <c r="M567" i="9" s="1"/>
  <c r="R568" i="9"/>
  <c r="S567" i="9"/>
  <c r="G567" i="9" s="1"/>
  <c r="J567" i="9" s="1"/>
  <c r="F568" i="10"/>
  <c r="S567" i="5"/>
  <c r="G567" i="5" s="1"/>
  <c r="J567" i="5" s="1"/>
  <c r="R568" i="5"/>
  <c r="K567" i="5"/>
  <c r="M567" i="5" s="1"/>
  <c r="F568" i="9"/>
  <c r="L566" i="5"/>
  <c r="F568" i="5"/>
  <c r="L567" i="9"/>
  <c r="L566" i="10"/>
  <c r="Q452" i="9" l="1"/>
  <c r="T573" i="10"/>
  <c r="C574" i="10"/>
  <c r="T573" i="5"/>
  <c r="C574" i="5"/>
  <c r="O471" i="5"/>
  <c r="P471" i="5" s="1"/>
  <c r="H472" i="5"/>
  <c r="Q472" i="5" s="1"/>
  <c r="N471" i="5"/>
  <c r="I471" i="5"/>
  <c r="T578" i="9"/>
  <c r="C579" i="9"/>
  <c r="N446" i="10"/>
  <c r="H447" i="10"/>
  <c r="Q447" i="10" s="1"/>
  <c r="O446" i="10"/>
  <c r="P446" i="10" s="1"/>
  <c r="I446" i="10"/>
  <c r="L567" i="10"/>
  <c r="F569" i="5"/>
  <c r="F569" i="9"/>
  <c r="R569" i="9"/>
  <c r="S568" i="9"/>
  <c r="V51" i="9" s="1"/>
  <c r="K568" i="9"/>
  <c r="M568" i="9" s="1"/>
  <c r="S568" i="5"/>
  <c r="V51" i="5" s="1"/>
  <c r="R569" i="5"/>
  <c r="K568" i="5"/>
  <c r="M568" i="5" s="1"/>
  <c r="K568" i="10"/>
  <c r="M568" i="10" s="1"/>
  <c r="S568" i="10"/>
  <c r="V51" i="10" s="1"/>
  <c r="R569" i="10"/>
  <c r="F569" i="10"/>
  <c r="L567" i="5"/>
  <c r="T574" i="5" l="1"/>
  <c r="C575" i="5"/>
  <c r="L568" i="5"/>
  <c r="C580" i="9"/>
  <c r="T579" i="9"/>
  <c r="H473" i="5"/>
  <c r="Q473" i="5" s="1"/>
  <c r="N472" i="5"/>
  <c r="O472" i="5"/>
  <c r="P472" i="5" s="1"/>
  <c r="L568" i="9"/>
  <c r="C575" i="10"/>
  <c r="T574" i="10"/>
  <c r="I472" i="5"/>
  <c r="N452" i="9"/>
  <c r="O452" i="9"/>
  <c r="P452" i="9" s="1"/>
  <c r="H453" i="9"/>
  <c r="I453" i="9" s="1"/>
  <c r="O447" i="10"/>
  <c r="P447" i="10" s="1"/>
  <c r="N447" i="10"/>
  <c r="H448" i="10"/>
  <c r="Q448" i="10" s="1"/>
  <c r="I447" i="10"/>
  <c r="G568" i="10"/>
  <c r="J568" i="10" s="1"/>
  <c r="G568" i="5"/>
  <c r="J568" i="5" s="1"/>
  <c r="K569" i="9"/>
  <c r="M569" i="9" s="1"/>
  <c r="R570" i="9"/>
  <c r="S569" i="9"/>
  <c r="G569" i="9" s="1"/>
  <c r="J569" i="9" s="1"/>
  <c r="K569" i="10"/>
  <c r="M569" i="10" s="1"/>
  <c r="R570" i="10"/>
  <c r="S569" i="10"/>
  <c r="G569" i="10" s="1"/>
  <c r="J569" i="10" s="1"/>
  <c r="R570" i="5"/>
  <c r="S569" i="5"/>
  <c r="G569" i="5" s="1"/>
  <c r="J569" i="5" s="1"/>
  <c r="K569" i="5"/>
  <c r="M569" i="5" s="1"/>
  <c r="F570" i="9"/>
  <c r="F570" i="5"/>
  <c r="F570" i="10"/>
  <c r="L568" i="10"/>
  <c r="G568" i="9"/>
  <c r="J568" i="9" s="1"/>
  <c r="O473" i="5" l="1"/>
  <c r="P473" i="5" s="1"/>
  <c r="H474" i="5"/>
  <c r="Q474" i="5" s="1"/>
  <c r="N473" i="5"/>
  <c r="I473" i="5"/>
  <c r="I474" i="5" s="1"/>
  <c r="C581" i="9"/>
  <c r="T580" i="9"/>
  <c r="Q453" i="9"/>
  <c r="L569" i="5"/>
  <c r="L570" i="5" s="1"/>
  <c r="L569" i="9"/>
  <c r="C576" i="10"/>
  <c r="T575" i="10"/>
  <c r="T575" i="5"/>
  <c r="C576" i="5"/>
  <c r="H449" i="10"/>
  <c r="Q449" i="10" s="1"/>
  <c r="O448" i="10"/>
  <c r="P448" i="10" s="1"/>
  <c r="N448" i="10"/>
  <c r="I448" i="10"/>
  <c r="L569" i="10"/>
  <c r="R571" i="5"/>
  <c r="S570" i="5"/>
  <c r="G570" i="5" s="1"/>
  <c r="J570" i="5" s="1"/>
  <c r="K570" i="5"/>
  <c r="M570" i="5" s="1"/>
  <c r="F571" i="10"/>
  <c r="K570" i="10"/>
  <c r="M570" i="10" s="1"/>
  <c r="R571" i="10"/>
  <c r="S570" i="10"/>
  <c r="G570" i="10" s="1"/>
  <c r="J570" i="10" s="1"/>
  <c r="F571" i="5"/>
  <c r="F571" i="9"/>
  <c r="R571" i="9"/>
  <c r="S570" i="9"/>
  <c r="G570" i="9" s="1"/>
  <c r="J570" i="9" s="1"/>
  <c r="K570" i="9"/>
  <c r="M570" i="9" s="1"/>
  <c r="C582" i="9" l="1"/>
  <c r="T581" i="9"/>
  <c r="C577" i="5"/>
  <c r="T576" i="5"/>
  <c r="H454" i="9"/>
  <c r="I454" i="9" s="1"/>
  <c r="N453" i="9"/>
  <c r="Q454" i="9"/>
  <c r="O453" i="9"/>
  <c r="P453" i="9" s="1"/>
  <c r="C577" i="10"/>
  <c r="T576" i="10"/>
  <c r="N474" i="5"/>
  <c r="H475" i="5"/>
  <c r="I475" i="5" s="1"/>
  <c r="O474" i="5"/>
  <c r="P474" i="5" s="1"/>
  <c r="N449" i="10"/>
  <c r="H450" i="10"/>
  <c r="Q450" i="10" s="1"/>
  <c r="O449" i="10"/>
  <c r="P449" i="10" s="1"/>
  <c r="I449" i="10"/>
  <c r="K571" i="9"/>
  <c r="M571" i="9" s="1"/>
  <c r="R572" i="9"/>
  <c r="S571" i="9"/>
  <c r="G571" i="9" s="1"/>
  <c r="J571" i="9" s="1"/>
  <c r="F572" i="5"/>
  <c r="K571" i="5"/>
  <c r="M571" i="5" s="1"/>
  <c r="S571" i="5"/>
  <c r="G571" i="5" s="1"/>
  <c r="J571" i="5" s="1"/>
  <c r="R572" i="5"/>
  <c r="F572" i="9"/>
  <c r="K571" i="10"/>
  <c r="M571" i="10" s="1"/>
  <c r="R572" i="10"/>
  <c r="S571" i="10"/>
  <c r="G571" i="10" s="1"/>
  <c r="J571" i="10" s="1"/>
  <c r="F572" i="10"/>
  <c r="L570" i="10"/>
  <c r="L570" i="9"/>
  <c r="L571" i="9" s="1"/>
  <c r="L571" i="10" l="1"/>
  <c r="H455" i="9"/>
  <c r="I455" i="9" s="1"/>
  <c r="N454" i="9"/>
  <c r="O454" i="9"/>
  <c r="P454" i="9" s="1"/>
  <c r="Q455" i="9"/>
  <c r="Q475" i="5"/>
  <c r="L571" i="5"/>
  <c r="L572" i="5" s="1"/>
  <c r="T577" i="10"/>
  <c r="C578" i="10"/>
  <c r="T577" i="5"/>
  <c r="C578" i="5"/>
  <c r="T582" i="9"/>
  <c r="C583" i="9"/>
  <c r="H451" i="10"/>
  <c r="Q451" i="10" s="1"/>
  <c r="N450" i="10"/>
  <c r="O450" i="10"/>
  <c r="P450" i="10" s="1"/>
  <c r="I450" i="10"/>
  <c r="K572" i="10"/>
  <c r="M572" i="10" s="1"/>
  <c r="R573" i="10"/>
  <c r="S572" i="10"/>
  <c r="G572" i="10" s="1"/>
  <c r="J572" i="10" s="1"/>
  <c r="F573" i="9"/>
  <c r="R573" i="9"/>
  <c r="K572" i="9"/>
  <c r="M572" i="9" s="1"/>
  <c r="S572" i="9"/>
  <c r="G572" i="9" s="1"/>
  <c r="J572" i="9" s="1"/>
  <c r="F573" i="10"/>
  <c r="K572" i="5"/>
  <c r="M572" i="5" s="1"/>
  <c r="S572" i="5"/>
  <c r="G572" i="5" s="1"/>
  <c r="J572" i="5" s="1"/>
  <c r="R573" i="5"/>
  <c r="F573" i="5"/>
  <c r="L572" i="10"/>
  <c r="C584" i="9" l="1"/>
  <c r="T583" i="9"/>
  <c r="O455" i="9"/>
  <c r="P455" i="9" s="1"/>
  <c r="H456" i="9"/>
  <c r="Q456" i="9" s="1"/>
  <c r="N455" i="9"/>
  <c r="O475" i="5"/>
  <c r="P475" i="5" s="1"/>
  <c r="N475" i="5"/>
  <c r="Q476" i="5"/>
  <c r="H476" i="5"/>
  <c r="I476" i="5" s="1"/>
  <c r="T578" i="5"/>
  <c r="C579" i="5"/>
  <c r="I456" i="9"/>
  <c r="C579" i="10"/>
  <c r="T578" i="10"/>
  <c r="O451" i="10"/>
  <c r="P451" i="10" s="1"/>
  <c r="N451" i="10"/>
  <c r="H452" i="10"/>
  <c r="Q452" i="10" s="1"/>
  <c r="I451" i="10"/>
  <c r="F574" i="9"/>
  <c r="L572" i="9"/>
  <c r="K573" i="9"/>
  <c r="M573" i="9" s="1"/>
  <c r="R574" i="9"/>
  <c r="S573" i="9"/>
  <c r="G573" i="9" s="1"/>
  <c r="J573" i="9" s="1"/>
  <c r="K573" i="10"/>
  <c r="M573" i="10" s="1"/>
  <c r="R574" i="10"/>
  <c r="S573" i="10"/>
  <c r="G573" i="10" s="1"/>
  <c r="J573" i="10" s="1"/>
  <c r="F574" i="5"/>
  <c r="K573" i="5"/>
  <c r="M573" i="5" s="1"/>
  <c r="S573" i="5"/>
  <c r="G573" i="5" s="1"/>
  <c r="J573" i="5" s="1"/>
  <c r="R574" i="5"/>
  <c r="F574" i="10"/>
  <c r="C580" i="10" l="1"/>
  <c r="T579" i="10"/>
  <c r="T579" i="5"/>
  <c r="C580" i="5"/>
  <c r="H477" i="5"/>
  <c r="I477" i="5" s="1"/>
  <c r="O476" i="5"/>
  <c r="P476" i="5" s="1"/>
  <c r="Q477" i="5"/>
  <c r="N476" i="5"/>
  <c r="H457" i="9"/>
  <c r="Q457" i="9" s="1"/>
  <c r="N456" i="9"/>
  <c r="O456" i="9"/>
  <c r="P456" i="9" s="1"/>
  <c r="L573" i="9"/>
  <c r="C585" i="9"/>
  <c r="T584" i="9"/>
  <c r="I452" i="10"/>
  <c r="H453" i="10"/>
  <c r="N452" i="10"/>
  <c r="O452" i="10"/>
  <c r="P452" i="10" s="1"/>
  <c r="L573" i="10"/>
  <c r="K574" i="5"/>
  <c r="M574" i="5" s="1"/>
  <c r="S574" i="5"/>
  <c r="G574" i="5" s="1"/>
  <c r="J574" i="5" s="1"/>
  <c r="R575" i="5"/>
  <c r="R575" i="9"/>
  <c r="S574" i="9"/>
  <c r="G574" i="9" s="1"/>
  <c r="J574" i="9" s="1"/>
  <c r="K574" i="9"/>
  <c r="M574" i="9" s="1"/>
  <c r="F575" i="10"/>
  <c r="F575" i="9"/>
  <c r="K574" i="10"/>
  <c r="M574" i="10" s="1"/>
  <c r="R575" i="10"/>
  <c r="S574" i="10"/>
  <c r="G574" i="10" s="1"/>
  <c r="J574" i="10" s="1"/>
  <c r="L574" i="9"/>
  <c r="L573" i="5"/>
  <c r="F575" i="5"/>
  <c r="O457" i="9" l="1"/>
  <c r="P457" i="9" s="1"/>
  <c r="H458" i="9"/>
  <c r="Q458" i="9" s="1"/>
  <c r="N457" i="9"/>
  <c r="H478" i="5"/>
  <c r="Q478" i="5" s="1"/>
  <c r="O477" i="5"/>
  <c r="P477" i="5" s="1"/>
  <c r="N477" i="5"/>
  <c r="I478" i="5"/>
  <c r="I457" i="9"/>
  <c r="C581" i="5"/>
  <c r="T580" i="5"/>
  <c r="C586" i="9"/>
  <c r="T585" i="9"/>
  <c r="C581" i="10"/>
  <c r="T580" i="10"/>
  <c r="I453" i="10"/>
  <c r="Q453" i="10"/>
  <c r="L574" i="10"/>
  <c r="F576" i="9"/>
  <c r="L574" i="5"/>
  <c r="F576" i="5"/>
  <c r="F576" i="10"/>
  <c r="K575" i="5"/>
  <c r="M575" i="5" s="1"/>
  <c r="S575" i="5"/>
  <c r="G575" i="5" s="1"/>
  <c r="J575" i="5" s="1"/>
  <c r="R576" i="5"/>
  <c r="K575" i="10"/>
  <c r="M575" i="10" s="1"/>
  <c r="R576" i="10"/>
  <c r="S575" i="10"/>
  <c r="G575" i="10" s="1"/>
  <c r="J575" i="10" s="1"/>
  <c r="K575" i="9"/>
  <c r="M575" i="9" s="1"/>
  <c r="R576" i="9"/>
  <c r="S575" i="9"/>
  <c r="G575" i="9" s="1"/>
  <c r="J575" i="9" s="1"/>
  <c r="N458" i="9" l="1"/>
  <c r="H459" i="9"/>
  <c r="O458" i="9"/>
  <c r="P458" i="9" s="1"/>
  <c r="T581" i="10"/>
  <c r="C582" i="10"/>
  <c r="T586" i="9"/>
  <c r="C587" i="9"/>
  <c r="T581" i="5"/>
  <c r="C582" i="5"/>
  <c r="H479" i="5"/>
  <c r="Q479" i="5" s="1"/>
  <c r="O478" i="5"/>
  <c r="P478" i="5" s="1"/>
  <c r="N478" i="5"/>
  <c r="L575" i="5"/>
  <c r="I458" i="9"/>
  <c r="O453" i="10"/>
  <c r="P453" i="10" s="1"/>
  <c r="H454" i="10"/>
  <c r="I454" i="10" s="1"/>
  <c r="N453" i="10"/>
  <c r="L575" i="10"/>
  <c r="K576" i="5"/>
  <c r="M576" i="5" s="1"/>
  <c r="S576" i="5"/>
  <c r="G576" i="5" s="1"/>
  <c r="J576" i="5" s="1"/>
  <c r="R577" i="5"/>
  <c r="F577" i="10"/>
  <c r="L575" i="9"/>
  <c r="F577" i="9"/>
  <c r="R577" i="9"/>
  <c r="S576" i="9"/>
  <c r="G576" i="9" s="1"/>
  <c r="J576" i="9" s="1"/>
  <c r="K576" i="9"/>
  <c r="M576" i="9" s="1"/>
  <c r="F577" i="5"/>
  <c r="K576" i="10"/>
  <c r="M576" i="10" s="1"/>
  <c r="R577" i="10"/>
  <c r="S576" i="10"/>
  <c r="G576" i="10" s="1"/>
  <c r="J576" i="10" s="1"/>
  <c r="I479" i="5" l="1"/>
  <c r="H480" i="5"/>
  <c r="O479" i="5"/>
  <c r="P479" i="5" s="1"/>
  <c r="N479" i="5"/>
  <c r="Q480" i="5"/>
  <c r="I459" i="9"/>
  <c r="C583" i="10"/>
  <c r="T582" i="10"/>
  <c r="T582" i="5"/>
  <c r="C583" i="5"/>
  <c r="C588" i="9"/>
  <c r="T587" i="9"/>
  <c r="Q459" i="9"/>
  <c r="Q454" i="10"/>
  <c r="L576" i="10"/>
  <c r="F578" i="5"/>
  <c r="F578" i="10"/>
  <c r="R578" i="9"/>
  <c r="K577" i="9"/>
  <c r="M577" i="9" s="1"/>
  <c r="S577" i="9"/>
  <c r="G577" i="9" s="1"/>
  <c r="J577" i="9" s="1"/>
  <c r="R578" i="10"/>
  <c r="S577" i="10"/>
  <c r="G577" i="10" s="1"/>
  <c r="J577" i="10" s="1"/>
  <c r="K577" i="10"/>
  <c r="M577" i="10" s="1"/>
  <c r="F578" i="9"/>
  <c r="K577" i="5"/>
  <c r="M577" i="5" s="1"/>
  <c r="S577" i="5"/>
  <c r="G577" i="5" s="1"/>
  <c r="J577" i="5" s="1"/>
  <c r="R578" i="5"/>
  <c r="L576" i="5"/>
  <c r="L577" i="5" s="1"/>
  <c r="L576" i="9"/>
  <c r="L577" i="9" s="1"/>
  <c r="N459" i="9" l="1"/>
  <c r="O459" i="9"/>
  <c r="P459" i="9" s="1"/>
  <c r="H460" i="9"/>
  <c r="I460" i="9" s="1"/>
  <c r="O480" i="5"/>
  <c r="P480" i="5" s="1"/>
  <c r="N480" i="5"/>
  <c r="H481" i="5"/>
  <c r="Q481" i="5" s="1"/>
  <c r="T583" i="5"/>
  <c r="C584" i="5"/>
  <c r="C584" i="10"/>
  <c r="T583" i="10"/>
  <c r="C589" i="9"/>
  <c r="T588" i="9"/>
  <c r="I480" i="5"/>
  <c r="O454" i="10"/>
  <c r="P454" i="10" s="1"/>
  <c r="N454" i="10"/>
  <c r="H455" i="10"/>
  <c r="L577" i="10"/>
  <c r="R579" i="9"/>
  <c r="K578" i="9"/>
  <c r="M578" i="9" s="1"/>
  <c r="S578" i="9"/>
  <c r="G578" i="9" s="1"/>
  <c r="J578" i="9" s="1"/>
  <c r="F579" i="5"/>
  <c r="K578" i="5"/>
  <c r="M578" i="5" s="1"/>
  <c r="S578" i="5"/>
  <c r="G578" i="5" s="1"/>
  <c r="J578" i="5" s="1"/>
  <c r="R579" i="5"/>
  <c r="F579" i="9"/>
  <c r="F579" i="10"/>
  <c r="K578" i="10"/>
  <c r="M578" i="10" s="1"/>
  <c r="R579" i="10"/>
  <c r="S578" i="10"/>
  <c r="G578" i="10" s="1"/>
  <c r="J578" i="10" s="1"/>
  <c r="L578" i="5"/>
  <c r="I481" i="5" l="1"/>
  <c r="O481" i="5"/>
  <c r="P481" i="5" s="1"/>
  <c r="H482" i="5"/>
  <c r="I482" i="5" s="1"/>
  <c r="Q482" i="5"/>
  <c r="N481" i="5"/>
  <c r="C590" i="9"/>
  <c r="T589" i="9"/>
  <c r="Q460" i="9"/>
  <c r="C585" i="5"/>
  <c r="T584" i="5"/>
  <c r="C585" i="10"/>
  <c r="T584" i="10"/>
  <c r="Q455" i="10"/>
  <c r="I455" i="10"/>
  <c r="K579" i="9"/>
  <c r="M579" i="9" s="1"/>
  <c r="R580" i="9"/>
  <c r="S579" i="9"/>
  <c r="G579" i="9" s="1"/>
  <c r="J579" i="9" s="1"/>
  <c r="L578" i="10"/>
  <c r="K579" i="10"/>
  <c r="M579" i="10" s="1"/>
  <c r="R580" i="10"/>
  <c r="S579" i="10"/>
  <c r="G579" i="10" s="1"/>
  <c r="J579" i="10" s="1"/>
  <c r="F580" i="10"/>
  <c r="K579" i="5"/>
  <c r="M579" i="5" s="1"/>
  <c r="S579" i="5"/>
  <c r="G579" i="5" s="1"/>
  <c r="J579" i="5" s="1"/>
  <c r="R580" i="5"/>
  <c r="F580" i="9"/>
  <c r="F580" i="5"/>
  <c r="L578" i="9"/>
  <c r="L579" i="9" s="1"/>
  <c r="T585" i="5" l="1"/>
  <c r="C586" i="5"/>
  <c r="H461" i="9"/>
  <c r="I461" i="9" s="1"/>
  <c r="N460" i="9"/>
  <c r="Q461" i="9"/>
  <c r="O460" i="9"/>
  <c r="P460" i="9" s="1"/>
  <c r="T585" i="10"/>
  <c r="C586" i="10"/>
  <c r="T590" i="9"/>
  <c r="C591" i="9"/>
  <c r="O482" i="5"/>
  <c r="P482" i="5" s="1"/>
  <c r="H483" i="5"/>
  <c r="I483" i="5" s="1"/>
  <c r="N482" i="5"/>
  <c r="H456" i="10"/>
  <c r="Q456" i="10" s="1"/>
  <c r="N455" i="10"/>
  <c r="O455" i="10"/>
  <c r="P455" i="10" s="1"/>
  <c r="F581" i="5"/>
  <c r="L579" i="10"/>
  <c r="R581" i="9"/>
  <c r="K580" i="9"/>
  <c r="M580" i="9" s="1"/>
  <c r="S580" i="9"/>
  <c r="V52" i="9" s="1"/>
  <c r="F581" i="9"/>
  <c r="K580" i="5"/>
  <c r="M580" i="5" s="1"/>
  <c r="S580" i="5"/>
  <c r="V52" i="5" s="1"/>
  <c r="R581" i="5"/>
  <c r="F581" i="10"/>
  <c r="R581" i="10"/>
  <c r="K580" i="10"/>
  <c r="M580" i="10" s="1"/>
  <c r="S580" i="10"/>
  <c r="V52" i="10" s="1"/>
  <c r="L579" i="5"/>
  <c r="G580" i="9" l="1"/>
  <c r="J580" i="9" s="1"/>
  <c r="H462" i="9"/>
  <c r="Q462" i="9" s="1"/>
  <c r="N461" i="9"/>
  <c r="O461" i="9"/>
  <c r="P461" i="9" s="1"/>
  <c r="G580" i="5"/>
  <c r="J580" i="5" s="1"/>
  <c r="I456" i="10"/>
  <c r="L580" i="5"/>
  <c r="I462" i="9"/>
  <c r="C587" i="10"/>
  <c r="T586" i="10"/>
  <c r="Q483" i="5"/>
  <c r="C592" i="9"/>
  <c r="T591" i="9"/>
  <c r="T586" i="5"/>
  <c r="C587" i="5"/>
  <c r="N456" i="10"/>
  <c r="O456" i="10"/>
  <c r="P456" i="10" s="1"/>
  <c r="H457" i="10"/>
  <c r="Q457" i="10" s="1"/>
  <c r="G580" i="10"/>
  <c r="J580" i="10" s="1"/>
  <c r="F582" i="10"/>
  <c r="K581" i="9"/>
  <c r="M581" i="9" s="1"/>
  <c r="S581" i="9"/>
  <c r="G581" i="9" s="1"/>
  <c r="J581" i="9" s="1"/>
  <c r="R582" i="9"/>
  <c r="F582" i="5"/>
  <c r="K581" i="10"/>
  <c r="M581" i="10" s="1"/>
  <c r="R582" i="10"/>
  <c r="S581" i="10"/>
  <c r="G581" i="10" s="1"/>
  <c r="J581" i="10" s="1"/>
  <c r="S581" i="5"/>
  <c r="G581" i="5" s="1"/>
  <c r="J581" i="5" s="1"/>
  <c r="R582" i="5"/>
  <c r="K581" i="5"/>
  <c r="M581" i="5" s="1"/>
  <c r="F582" i="9"/>
  <c r="L580" i="9"/>
  <c r="L580" i="10"/>
  <c r="L581" i="9" l="1"/>
  <c r="C593" i="9"/>
  <c r="T592" i="9"/>
  <c r="O483" i="5"/>
  <c r="P483" i="5" s="1"/>
  <c r="N483" i="5"/>
  <c r="H484" i="5"/>
  <c r="C588" i="10"/>
  <c r="T587" i="10"/>
  <c r="T587" i="5"/>
  <c r="C588" i="5"/>
  <c r="O462" i="9"/>
  <c r="P462" i="9" s="1"/>
  <c r="H463" i="9"/>
  <c r="I463" i="9" s="1"/>
  <c r="N462" i="9"/>
  <c r="L581" i="10"/>
  <c r="N457" i="10"/>
  <c r="H458" i="10"/>
  <c r="Q458" i="10" s="1"/>
  <c r="O457" i="10"/>
  <c r="P457" i="10" s="1"/>
  <c r="I457" i="10"/>
  <c r="R583" i="10"/>
  <c r="S582" i="10"/>
  <c r="G582" i="10" s="1"/>
  <c r="J582" i="10" s="1"/>
  <c r="K582" i="10"/>
  <c r="M582" i="10" s="1"/>
  <c r="L581" i="5"/>
  <c r="F583" i="9"/>
  <c r="R583" i="9"/>
  <c r="K582" i="9"/>
  <c r="M582" i="9" s="1"/>
  <c r="S582" i="9"/>
  <c r="G582" i="9" s="1"/>
  <c r="J582" i="9" s="1"/>
  <c r="F583" i="5"/>
  <c r="F583" i="10"/>
  <c r="S582" i="5"/>
  <c r="G582" i="5" s="1"/>
  <c r="J582" i="5" s="1"/>
  <c r="R583" i="5"/>
  <c r="K582" i="5"/>
  <c r="M582" i="5" s="1"/>
  <c r="Q484" i="5" l="1"/>
  <c r="I484" i="5"/>
  <c r="C589" i="5"/>
  <c r="T588" i="5"/>
  <c r="C594" i="9"/>
  <c r="T593" i="9"/>
  <c r="C589" i="10"/>
  <c r="T588" i="10"/>
  <c r="Q463" i="9"/>
  <c r="O458" i="10"/>
  <c r="P458" i="10" s="1"/>
  <c r="N458" i="10"/>
  <c r="H459" i="10"/>
  <c r="Q459" i="10" s="1"/>
  <c r="L582" i="10"/>
  <c r="I458" i="10"/>
  <c r="F584" i="9"/>
  <c r="G583" i="9"/>
  <c r="J583" i="9" s="1"/>
  <c r="F584" i="10"/>
  <c r="K583" i="10"/>
  <c r="M583" i="10" s="1"/>
  <c r="R584" i="10"/>
  <c r="S583" i="10"/>
  <c r="G583" i="10" s="1"/>
  <c r="J583" i="10" s="1"/>
  <c r="L582" i="5"/>
  <c r="F584" i="5"/>
  <c r="S583" i="5"/>
  <c r="G583" i="5" s="1"/>
  <c r="J583" i="5" s="1"/>
  <c r="R584" i="5"/>
  <c r="K583" i="5"/>
  <c r="M583" i="5" s="1"/>
  <c r="K583" i="9"/>
  <c r="M583" i="9" s="1"/>
  <c r="S583" i="9"/>
  <c r="R584" i="9"/>
  <c r="L582" i="9"/>
  <c r="L583" i="9" s="1"/>
  <c r="T589" i="5" l="1"/>
  <c r="C590" i="5"/>
  <c r="T589" i="10"/>
  <c r="C590" i="10"/>
  <c r="T594" i="9"/>
  <c r="C595" i="9"/>
  <c r="Q464" i="9"/>
  <c r="H464" i="9"/>
  <c r="I464" i="9" s="1"/>
  <c r="N463" i="9"/>
  <c r="O463" i="9"/>
  <c r="P463" i="9" s="1"/>
  <c r="N484" i="5"/>
  <c r="H485" i="5"/>
  <c r="Q485" i="5" s="1"/>
  <c r="O484" i="5"/>
  <c r="P484" i="5" s="1"/>
  <c r="I459" i="10"/>
  <c r="L583" i="10"/>
  <c r="H460" i="10"/>
  <c r="Q460" i="10" s="1"/>
  <c r="N459" i="10"/>
  <c r="O459" i="10"/>
  <c r="P459" i="10" s="1"/>
  <c r="R585" i="10"/>
  <c r="S584" i="10"/>
  <c r="G584" i="10" s="1"/>
  <c r="J584" i="10" s="1"/>
  <c r="K584" i="10"/>
  <c r="M584" i="10" s="1"/>
  <c r="R585" i="9"/>
  <c r="K584" i="9"/>
  <c r="M584" i="9" s="1"/>
  <c r="S584" i="9"/>
  <c r="G584" i="9" s="1"/>
  <c r="J584" i="9" s="1"/>
  <c r="S584" i="5"/>
  <c r="R585" i="5"/>
  <c r="K584" i="5"/>
  <c r="M584" i="5" s="1"/>
  <c r="F585" i="5"/>
  <c r="G584" i="5"/>
  <c r="J584" i="5" s="1"/>
  <c r="F585" i="9"/>
  <c r="F585" i="10"/>
  <c r="L583" i="5"/>
  <c r="I460" i="10" l="1"/>
  <c r="L584" i="5"/>
  <c r="C596" i="9"/>
  <c r="T595" i="9"/>
  <c r="C591" i="10"/>
  <c r="T590" i="10"/>
  <c r="I485" i="5"/>
  <c r="C591" i="5"/>
  <c r="T590" i="5"/>
  <c r="H465" i="9"/>
  <c r="Q465" i="9" s="1"/>
  <c r="N464" i="9"/>
  <c r="O464" i="9"/>
  <c r="P464" i="9" s="1"/>
  <c r="N485" i="5"/>
  <c r="O485" i="5"/>
  <c r="P485" i="5" s="1"/>
  <c r="H486" i="5"/>
  <c r="Q486" i="5" s="1"/>
  <c r="I465" i="9"/>
  <c r="O460" i="10"/>
  <c r="P460" i="10" s="1"/>
  <c r="H461" i="10"/>
  <c r="I461" i="10" s="1"/>
  <c r="N460" i="10"/>
  <c r="L584" i="10"/>
  <c r="F586" i="9"/>
  <c r="K585" i="10"/>
  <c r="M585" i="10" s="1"/>
  <c r="R586" i="10"/>
  <c r="S585" i="10"/>
  <c r="G585" i="10" s="1"/>
  <c r="J585" i="10" s="1"/>
  <c r="F586" i="5"/>
  <c r="L584" i="9"/>
  <c r="F586" i="10"/>
  <c r="S585" i="5"/>
  <c r="G585" i="5" s="1"/>
  <c r="J585" i="5" s="1"/>
  <c r="R586" i="5"/>
  <c r="K585" i="5"/>
  <c r="M585" i="5" s="1"/>
  <c r="K585" i="9"/>
  <c r="M585" i="9" s="1"/>
  <c r="S585" i="9"/>
  <c r="G585" i="9" s="1"/>
  <c r="J585" i="9" s="1"/>
  <c r="R586" i="9"/>
  <c r="H487" i="5" l="1"/>
  <c r="N486" i="5"/>
  <c r="Q487" i="5"/>
  <c r="O486" i="5"/>
  <c r="P486" i="5" s="1"/>
  <c r="O465" i="9"/>
  <c r="P465" i="9" s="1"/>
  <c r="H466" i="9"/>
  <c r="I466" i="9" s="1"/>
  <c r="N465" i="9"/>
  <c r="Q466" i="9"/>
  <c r="L585" i="5"/>
  <c r="C592" i="10"/>
  <c r="T591" i="10"/>
  <c r="T591" i="5"/>
  <c r="C592" i="5"/>
  <c r="I486" i="5"/>
  <c r="I487" i="5" s="1"/>
  <c r="C597" i="9"/>
  <c r="T596" i="9"/>
  <c r="Q461" i="10"/>
  <c r="H462" i="10" s="1"/>
  <c r="L585" i="10"/>
  <c r="S586" i="5"/>
  <c r="R587" i="5"/>
  <c r="K586" i="5"/>
  <c r="M586" i="5" s="1"/>
  <c r="F587" i="10"/>
  <c r="F587" i="5"/>
  <c r="G586" i="5"/>
  <c r="J586" i="5" s="1"/>
  <c r="F587" i="9"/>
  <c r="R587" i="9"/>
  <c r="K586" i="9"/>
  <c r="M586" i="9" s="1"/>
  <c r="S586" i="9"/>
  <c r="G586" i="9" s="1"/>
  <c r="J586" i="9" s="1"/>
  <c r="R587" i="10"/>
  <c r="S586" i="10"/>
  <c r="G586" i="10" s="1"/>
  <c r="J586" i="10" s="1"/>
  <c r="K586" i="10"/>
  <c r="M586" i="10" s="1"/>
  <c r="L585" i="9"/>
  <c r="C598" i="9" l="1"/>
  <c r="T597" i="9"/>
  <c r="H467" i="9"/>
  <c r="I467" i="9" s="1"/>
  <c r="N466" i="9"/>
  <c r="O466" i="9"/>
  <c r="P466" i="9" s="1"/>
  <c r="Q467" i="9"/>
  <c r="I488" i="5"/>
  <c r="C593" i="5"/>
  <c r="T592" i="5"/>
  <c r="N487" i="5"/>
  <c r="O487" i="5"/>
  <c r="P487" i="5" s="1"/>
  <c r="H488" i="5"/>
  <c r="Q488" i="5" s="1"/>
  <c r="C593" i="10"/>
  <c r="T592" i="10"/>
  <c r="L586" i="9"/>
  <c r="L587" i="9" s="1"/>
  <c r="O461" i="10"/>
  <c r="P461" i="10" s="1"/>
  <c r="Q462" i="10"/>
  <c r="N462" i="10" s="1"/>
  <c r="I462" i="10"/>
  <c r="N461" i="10"/>
  <c r="H463" i="10"/>
  <c r="Q463" i="10" s="1"/>
  <c r="K587" i="9"/>
  <c r="M587" i="9" s="1"/>
  <c r="S587" i="9"/>
  <c r="G587" i="9" s="1"/>
  <c r="J587" i="9" s="1"/>
  <c r="R588" i="9"/>
  <c r="F588" i="9"/>
  <c r="F588" i="10"/>
  <c r="K587" i="10"/>
  <c r="M587" i="10" s="1"/>
  <c r="R588" i="10"/>
  <c r="S587" i="10"/>
  <c r="G587" i="10" s="1"/>
  <c r="J587" i="10" s="1"/>
  <c r="F588" i="5"/>
  <c r="S587" i="5"/>
  <c r="G587" i="5" s="1"/>
  <c r="J587" i="5" s="1"/>
  <c r="R588" i="5"/>
  <c r="K587" i="5"/>
  <c r="M587" i="5" s="1"/>
  <c r="L586" i="10"/>
  <c r="L587" i="10" s="1"/>
  <c r="L586" i="5"/>
  <c r="L587" i="5" l="1"/>
  <c r="T593" i="5"/>
  <c r="C594" i="5"/>
  <c r="H468" i="9"/>
  <c r="Q468" i="9" s="1"/>
  <c r="O467" i="9"/>
  <c r="P467" i="9" s="1"/>
  <c r="N467" i="9"/>
  <c r="H489" i="5"/>
  <c r="Q489" i="5" s="1"/>
  <c r="O488" i="5"/>
  <c r="P488" i="5" s="1"/>
  <c r="N488" i="5"/>
  <c r="T593" i="10"/>
  <c r="C594" i="10"/>
  <c r="I468" i="9"/>
  <c r="T598" i="9"/>
  <c r="C599" i="9"/>
  <c r="O462" i="10"/>
  <c r="P462" i="10" s="1"/>
  <c r="H464" i="10"/>
  <c r="Q464" i="10" s="1"/>
  <c r="O463" i="10"/>
  <c r="P463" i="10" s="1"/>
  <c r="N463" i="10"/>
  <c r="I463" i="10"/>
  <c r="F589" i="5"/>
  <c r="F589" i="9"/>
  <c r="R589" i="10"/>
  <c r="S588" i="10"/>
  <c r="G588" i="10" s="1"/>
  <c r="J588" i="10" s="1"/>
  <c r="K588" i="10"/>
  <c r="M588" i="10" s="1"/>
  <c r="S588" i="5"/>
  <c r="G588" i="5" s="1"/>
  <c r="J588" i="5" s="1"/>
  <c r="R589" i="5"/>
  <c r="K588" i="5"/>
  <c r="M588" i="5" s="1"/>
  <c r="F589" i="10"/>
  <c r="R589" i="9"/>
  <c r="K588" i="9"/>
  <c r="M588" i="9" s="1"/>
  <c r="S588" i="9"/>
  <c r="G588" i="9" s="1"/>
  <c r="J588" i="9" s="1"/>
  <c r="C600" i="9" l="1"/>
  <c r="T599" i="9"/>
  <c r="O468" i="9"/>
  <c r="P468" i="9" s="1"/>
  <c r="N468" i="9"/>
  <c r="H469" i="9"/>
  <c r="Q469" i="9" s="1"/>
  <c r="H490" i="5"/>
  <c r="Q490" i="5" s="1"/>
  <c r="O489" i="5"/>
  <c r="P489" i="5" s="1"/>
  <c r="N489" i="5"/>
  <c r="I489" i="5"/>
  <c r="C595" i="10"/>
  <c r="T594" i="10"/>
  <c r="C595" i="5"/>
  <c r="T594" i="5"/>
  <c r="O464" i="10"/>
  <c r="P464" i="10" s="1"/>
  <c r="H465" i="10"/>
  <c r="Q465" i="10" s="1"/>
  <c r="N464" i="10"/>
  <c r="I464" i="10"/>
  <c r="F590" i="5"/>
  <c r="F590" i="9"/>
  <c r="G589" i="9"/>
  <c r="J589" i="9" s="1"/>
  <c r="F590" i="10"/>
  <c r="R590" i="9"/>
  <c r="K589" i="9"/>
  <c r="M589" i="9" s="1"/>
  <c r="S589" i="9"/>
  <c r="S589" i="5"/>
  <c r="G589" i="5" s="1"/>
  <c r="J589" i="5" s="1"/>
  <c r="R590" i="5"/>
  <c r="K589" i="5"/>
  <c r="M589" i="5" s="1"/>
  <c r="R590" i="10"/>
  <c r="K589" i="10"/>
  <c r="M589" i="10" s="1"/>
  <c r="S589" i="10"/>
  <c r="G589" i="10" s="1"/>
  <c r="J589" i="10" s="1"/>
  <c r="L588" i="9"/>
  <c r="L588" i="5"/>
  <c r="L588" i="10"/>
  <c r="L589" i="9" l="1"/>
  <c r="L589" i="10"/>
  <c r="N490" i="5"/>
  <c r="O490" i="5"/>
  <c r="P490" i="5" s="1"/>
  <c r="H491" i="5"/>
  <c r="T595" i="5"/>
  <c r="C596" i="5"/>
  <c r="H470" i="9"/>
  <c r="Q470" i="9" s="1"/>
  <c r="N469" i="9"/>
  <c r="O469" i="9"/>
  <c r="P469" i="9" s="1"/>
  <c r="T595" i="10"/>
  <c r="C596" i="10"/>
  <c r="I469" i="9"/>
  <c r="I490" i="5"/>
  <c r="C601" i="9"/>
  <c r="T600" i="9"/>
  <c r="O465" i="10"/>
  <c r="P465" i="10" s="1"/>
  <c r="H466" i="10"/>
  <c r="N465" i="10"/>
  <c r="I465" i="10"/>
  <c r="F591" i="5"/>
  <c r="R591" i="9"/>
  <c r="K590" i="9"/>
  <c r="M590" i="9" s="1"/>
  <c r="S590" i="9"/>
  <c r="G590" i="9" s="1"/>
  <c r="J590" i="9" s="1"/>
  <c r="S590" i="5"/>
  <c r="G590" i="5" s="1"/>
  <c r="J590" i="5" s="1"/>
  <c r="R591" i="5"/>
  <c r="K590" i="5"/>
  <c r="M590" i="5" s="1"/>
  <c r="K590" i="10"/>
  <c r="M590" i="10" s="1"/>
  <c r="S590" i="10"/>
  <c r="G590" i="10" s="1"/>
  <c r="J590" i="10" s="1"/>
  <c r="R591" i="10"/>
  <c r="F591" i="10"/>
  <c r="F591" i="9"/>
  <c r="L589" i="5"/>
  <c r="N470" i="9" l="1"/>
  <c r="H471" i="9"/>
  <c r="Q471" i="9"/>
  <c r="O470" i="9"/>
  <c r="P470" i="9" s="1"/>
  <c r="C602" i="9"/>
  <c r="T601" i="9"/>
  <c r="I491" i="5"/>
  <c r="T596" i="5"/>
  <c r="C597" i="5"/>
  <c r="C597" i="10"/>
  <c r="T596" i="10"/>
  <c r="Q491" i="5"/>
  <c r="I470" i="9"/>
  <c r="I471" i="9" s="1"/>
  <c r="L590" i="5"/>
  <c r="L591" i="5" s="1"/>
  <c r="L590" i="9"/>
  <c r="L591" i="9" s="1"/>
  <c r="I466" i="10"/>
  <c r="Q466" i="10"/>
  <c r="F592" i="9"/>
  <c r="K591" i="9"/>
  <c r="M591" i="9" s="1"/>
  <c r="R592" i="9"/>
  <c r="S591" i="9"/>
  <c r="G591" i="9" s="1"/>
  <c r="J591" i="9" s="1"/>
  <c r="F592" i="5"/>
  <c r="K591" i="10"/>
  <c r="M591" i="10" s="1"/>
  <c r="R592" i="10"/>
  <c r="S591" i="10"/>
  <c r="G591" i="10" s="1"/>
  <c r="J591" i="10" s="1"/>
  <c r="K591" i="5"/>
  <c r="M591" i="5" s="1"/>
  <c r="R592" i="5"/>
  <c r="S591" i="5"/>
  <c r="G591" i="5" s="1"/>
  <c r="J591" i="5" s="1"/>
  <c r="F592" i="10"/>
  <c r="L590" i="10"/>
  <c r="T602" i="9" l="1"/>
  <c r="C603" i="9"/>
  <c r="O471" i="9"/>
  <c r="P471" i="9" s="1"/>
  <c r="H472" i="9"/>
  <c r="I472" i="9" s="1"/>
  <c r="N471" i="9"/>
  <c r="T597" i="10"/>
  <c r="C598" i="10"/>
  <c r="N491" i="5"/>
  <c r="O491" i="5"/>
  <c r="P491" i="5" s="1"/>
  <c r="H492" i="5"/>
  <c r="I492" i="5" s="1"/>
  <c r="T597" i="5"/>
  <c r="C598" i="5"/>
  <c r="N466" i="10"/>
  <c r="H467" i="10"/>
  <c r="I467" i="10" s="1"/>
  <c r="O466" i="10"/>
  <c r="P466" i="10" s="1"/>
  <c r="L591" i="10"/>
  <c r="R593" i="9"/>
  <c r="K592" i="9"/>
  <c r="M592" i="9" s="1"/>
  <c r="S592" i="9"/>
  <c r="V53" i="9" s="1"/>
  <c r="K592" i="10"/>
  <c r="M592" i="10" s="1"/>
  <c r="R593" i="10"/>
  <c r="S592" i="10"/>
  <c r="V53" i="10" s="1"/>
  <c r="F593" i="5"/>
  <c r="F593" i="9"/>
  <c r="K592" i="5"/>
  <c r="M592" i="5" s="1"/>
  <c r="R593" i="5"/>
  <c r="S592" i="5"/>
  <c r="V53" i="5" s="1"/>
  <c r="F593" i="10"/>
  <c r="L592" i="9"/>
  <c r="Q467" i="10" l="1"/>
  <c r="G592" i="9"/>
  <c r="J592" i="9" s="1"/>
  <c r="T598" i="5"/>
  <c r="C599" i="5"/>
  <c r="Q492" i="5"/>
  <c r="Q472" i="9"/>
  <c r="T603" i="9"/>
  <c r="C604" i="9"/>
  <c r="T604" i="9" s="1"/>
  <c r="C599" i="10"/>
  <c r="T598" i="10"/>
  <c r="G592" i="10"/>
  <c r="J592" i="10" s="1"/>
  <c r="H468" i="10"/>
  <c r="Q468" i="10" s="1"/>
  <c r="O467" i="10"/>
  <c r="P467" i="10" s="1"/>
  <c r="N467" i="10"/>
  <c r="L592" i="10"/>
  <c r="L593" i="10" s="1"/>
  <c r="I468" i="10"/>
  <c r="K593" i="10"/>
  <c r="M593" i="10" s="1"/>
  <c r="R594" i="10"/>
  <c r="S593" i="10"/>
  <c r="G593" i="10" s="1"/>
  <c r="J593" i="10" s="1"/>
  <c r="K593" i="9"/>
  <c r="M593" i="9" s="1"/>
  <c r="R594" i="9"/>
  <c r="S593" i="9"/>
  <c r="G593" i="9" s="1"/>
  <c r="J593" i="9" s="1"/>
  <c r="F594" i="10"/>
  <c r="F594" i="5"/>
  <c r="L592" i="5"/>
  <c r="K593" i="5"/>
  <c r="M593" i="5" s="1"/>
  <c r="S593" i="5"/>
  <c r="G593" i="5" s="1"/>
  <c r="J593" i="5" s="1"/>
  <c r="R594" i="5"/>
  <c r="F594" i="9"/>
  <c r="G592" i="5"/>
  <c r="J592" i="5" s="1"/>
  <c r="L593" i="5" l="1"/>
  <c r="H493" i="5"/>
  <c r="I493" i="5" s="1"/>
  <c r="Q493" i="5"/>
  <c r="N492" i="5"/>
  <c r="O492" i="5"/>
  <c r="P492" i="5" s="1"/>
  <c r="L593" i="9"/>
  <c r="L594" i="9" s="1"/>
  <c r="N472" i="9"/>
  <c r="H473" i="9"/>
  <c r="I473" i="9" s="1"/>
  <c r="O472" i="9"/>
  <c r="P472" i="9" s="1"/>
  <c r="C600" i="5"/>
  <c r="T599" i="5"/>
  <c r="C600" i="10"/>
  <c r="T599" i="10"/>
  <c r="O468" i="10"/>
  <c r="P468" i="10" s="1"/>
  <c r="H469" i="10"/>
  <c r="Q469" i="10" s="1"/>
  <c r="N468" i="10"/>
  <c r="F595" i="9"/>
  <c r="F595" i="5"/>
  <c r="R595" i="9"/>
  <c r="S594" i="9"/>
  <c r="G594" i="9" s="1"/>
  <c r="J594" i="9" s="1"/>
  <c r="K594" i="9"/>
  <c r="M594" i="9" s="1"/>
  <c r="K594" i="10"/>
  <c r="M594" i="10" s="1"/>
  <c r="R595" i="10"/>
  <c r="S594" i="10"/>
  <c r="G594" i="10" s="1"/>
  <c r="J594" i="10" s="1"/>
  <c r="F595" i="10"/>
  <c r="K594" i="5"/>
  <c r="M594" i="5" s="1"/>
  <c r="S594" i="5"/>
  <c r="G594" i="5" s="1"/>
  <c r="J594" i="5" s="1"/>
  <c r="R595" i="5"/>
  <c r="L594" i="5"/>
  <c r="Q473" i="9" l="1"/>
  <c r="C601" i="10"/>
  <c r="T600" i="10"/>
  <c r="T600" i="5"/>
  <c r="C601" i="5"/>
  <c r="H494" i="5"/>
  <c r="I494" i="5" s="1"/>
  <c r="O493" i="5"/>
  <c r="P493" i="5" s="1"/>
  <c r="N493" i="5"/>
  <c r="I469" i="10"/>
  <c r="O469" i="10"/>
  <c r="P469" i="10" s="1"/>
  <c r="H470" i="10"/>
  <c r="Q470" i="10" s="1"/>
  <c r="N469" i="10"/>
  <c r="L594" i="10"/>
  <c r="F596" i="10"/>
  <c r="K595" i="10"/>
  <c r="M595" i="10" s="1"/>
  <c r="R596" i="10"/>
  <c r="S595" i="10"/>
  <c r="G595" i="10" s="1"/>
  <c r="J595" i="10" s="1"/>
  <c r="K595" i="9"/>
  <c r="M595" i="9" s="1"/>
  <c r="R596" i="9"/>
  <c r="S595" i="9"/>
  <c r="G595" i="9" s="1"/>
  <c r="J595" i="9" s="1"/>
  <c r="F596" i="9"/>
  <c r="K595" i="5"/>
  <c r="M595" i="5" s="1"/>
  <c r="S595" i="5"/>
  <c r="G595" i="5" s="1"/>
  <c r="J595" i="5" s="1"/>
  <c r="R596" i="5"/>
  <c r="F596" i="5"/>
  <c r="L595" i="5" l="1"/>
  <c r="C602" i="5"/>
  <c r="T601" i="5"/>
  <c r="T601" i="10"/>
  <c r="C602" i="10"/>
  <c r="L595" i="9"/>
  <c r="L596" i="9" s="1"/>
  <c r="Q494" i="5"/>
  <c r="H474" i="9"/>
  <c r="I474" i="9" s="1"/>
  <c r="O473" i="9"/>
  <c r="P473" i="9" s="1"/>
  <c r="N473" i="9"/>
  <c r="N470" i="10"/>
  <c r="O470" i="10"/>
  <c r="P470" i="10" s="1"/>
  <c r="H471" i="10"/>
  <c r="Q471" i="10" s="1"/>
  <c r="I470" i="10"/>
  <c r="L595" i="10"/>
  <c r="F597" i="9"/>
  <c r="F597" i="10"/>
  <c r="R597" i="5"/>
  <c r="S596" i="5"/>
  <c r="G596" i="5" s="1"/>
  <c r="J596" i="5" s="1"/>
  <c r="K596" i="5"/>
  <c r="M596" i="5" s="1"/>
  <c r="F597" i="5"/>
  <c r="R597" i="9"/>
  <c r="K596" i="9"/>
  <c r="M596" i="9" s="1"/>
  <c r="S596" i="9"/>
  <c r="G596" i="9" s="1"/>
  <c r="J596" i="9" s="1"/>
  <c r="K596" i="10"/>
  <c r="M596" i="10" s="1"/>
  <c r="R597" i="10"/>
  <c r="S596" i="10"/>
  <c r="G596" i="10" s="1"/>
  <c r="J596" i="10" s="1"/>
  <c r="Q474" i="9" l="1"/>
  <c r="H495" i="5"/>
  <c r="I495" i="5" s="1"/>
  <c r="N494" i="5"/>
  <c r="O494" i="5"/>
  <c r="P494" i="5" s="1"/>
  <c r="Q495" i="5"/>
  <c r="C603" i="10"/>
  <c r="T602" i="10"/>
  <c r="T602" i="5"/>
  <c r="C603" i="5"/>
  <c r="H472" i="10"/>
  <c r="Q472" i="10" s="1"/>
  <c r="N471" i="10"/>
  <c r="O471" i="10"/>
  <c r="P471" i="10" s="1"/>
  <c r="I471" i="10"/>
  <c r="L596" i="10"/>
  <c r="F598" i="9"/>
  <c r="G597" i="9"/>
  <c r="J597" i="9" s="1"/>
  <c r="F598" i="5"/>
  <c r="F598" i="10"/>
  <c r="K597" i="5"/>
  <c r="M597" i="5" s="1"/>
  <c r="S597" i="5"/>
  <c r="G597" i="5" s="1"/>
  <c r="J597" i="5" s="1"/>
  <c r="R598" i="5"/>
  <c r="K597" i="10"/>
  <c r="M597" i="10" s="1"/>
  <c r="R598" i="10"/>
  <c r="S597" i="10"/>
  <c r="G597" i="10" s="1"/>
  <c r="J597" i="10" s="1"/>
  <c r="K597" i="9"/>
  <c r="M597" i="9" s="1"/>
  <c r="R598" i="9"/>
  <c r="S597" i="9"/>
  <c r="L596" i="5"/>
  <c r="L597" i="5" s="1"/>
  <c r="T603" i="10" l="1"/>
  <c r="C604" i="10"/>
  <c r="T604" i="10" s="1"/>
  <c r="H496" i="5"/>
  <c r="I496" i="5" s="1"/>
  <c r="N495" i="5"/>
  <c r="O495" i="5"/>
  <c r="P495" i="5" s="1"/>
  <c r="T603" i="5"/>
  <c r="C604" i="5"/>
  <c r="T604" i="5" s="1"/>
  <c r="O474" i="9"/>
  <c r="P474" i="9" s="1"/>
  <c r="H475" i="9"/>
  <c r="I475" i="9" s="1"/>
  <c r="N474" i="9"/>
  <c r="Q475" i="9"/>
  <c r="O472" i="10"/>
  <c r="P472" i="10" s="1"/>
  <c r="N472" i="10"/>
  <c r="H473" i="10"/>
  <c r="Q473" i="10" s="1"/>
  <c r="I472" i="10"/>
  <c r="S598" i="5"/>
  <c r="G598" i="5" s="1"/>
  <c r="J598" i="5" s="1"/>
  <c r="R599" i="5"/>
  <c r="K598" i="5"/>
  <c r="M598" i="5" s="1"/>
  <c r="F599" i="5"/>
  <c r="F599" i="9"/>
  <c r="L598" i="5"/>
  <c r="L597" i="10"/>
  <c r="R599" i="9"/>
  <c r="S598" i="9"/>
  <c r="G598" i="9" s="1"/>
  <c r="J598" i="9" s="1"/>
  <c r="K598" i="9"/>
  <c r="M598" i="9" s="1"/>
  <c r="K598" i="10"/>
  <c r="M598" i="10" s="1"/>
  <c r="R599" i="10"/>
  <c r="S598" i="10"/>
  <c r="G598" i="10" s="1"/>
  <c r="J598" i="10" s="1"/>
  <c r="F599" i="10"/>
  <c r="L597" i="9"/>
  <c r="L598" i="9" s="1"/>
  <c r="Q496" i="5" l="1"/>
  <c r="N475" i="9"/>
  <c r="O475" i="9"/>
  <c r="P475" i="9" s="1"/>
  <c r="H476" i="9"/>
  <c r="I476" i="9" s="1"/>
  <c r="H474" i="10"/>
  <c r="Q474" i="10" s="1"/>
  <c r="O473" i="10"/>
  <c r="P473" i="10" s="1"/>
  <c r="N473" i="10"/>
  <c r="I473" i="10"/>
  <c r="F600" i="10"/>
  <c r="F600" i="5"/>
  <c r="L598" i="10"/>
  <c r="R600" i="10"/>
  <c r="K599" i="10"/>
  <c r="M599" i="10" s="1"/>
  <c r="S599" i="10"/>
  <c r="G599" i="10" s="1"/>
  <c r="J599" i="10" s="1"/>
  <c r="R600" i="9"/>
  <c r="K599" i="9"/>
  <c r="M599" i="9" s="1"/>
  <c r="S599" i="9"/>
  <c r="G599" i="9" s="1"/>
  <c r="J599" i="9" s="1"/>
  <c r="F600" i="9"/>
  <c r="K599" i="5"/>
  <c r="M599" i="5" s="1"/>
  <c r="R600" i="5"/>
  <c r="S599" i="5"/>
  <c r="G599" i="5" s="1"/>
  <c r="J599" i="5" s="1"/>
  <c r="Q476" i="9" l="1"/>
  <c r="N496" i="5"/>
  <c r="O496" i="5"/>
  <c r="P496" i="5" s="1"/>
  <c r="H497" i="5"/>
  <c r="I497" i="5" s="1"/>
  <c r="N474" i="10"/>
  <c r="H475" i="10"/>
  <c r="Q475" i="10" s="1"/>
  <c r="O474" i="10"/>
  <c r="P474" i="10" s="1"/>
  <c r="I474" i="10"/>
  <c r="L599" i="10"/>
  <c r="F601" i="5"/>
  <c r="R601" i="9"/>
  <c r="S600" i="9"/>
  <c r="G600" i="9" s="1"/>
  <c r="J600" i="9" s="1"/>
  <c r="K600" i="9"/>
  <c r="M600" i="9" s="1"/>
  <c r="R601" i="10"/>
  <c r="K600" i="10"/>
  <c r="M600" i="10" s="1"/>
  <c r="S600" i="10"/>
  <c r="G600" i="10" s="1"/>
  <c r="J600" i="10" s="1"/>
  <c r="F601" i="10"/>
  <c r="K600" i="5"/>
  <c r="M600" i="5" s="1"/>
  <c r="S600" i="5"/>
  <c r="G600" i="5" s="1"/>
  <c r="J600" i="5" s="1"/>
  <c r="R601" i="5"/>
  <c r="L599" i="9"/>
  <c r="L599" i="5"/>
  <c r="F601" i="9"/>
  <c r="Q497" i="5" l="1"/>
  <c r="O497" i="5" s="1"/>
  <c r="P497" i="5" s="1"/>
  <c r="H498" i="5"/>
  <c r="I498" i="5" s="1"/>
  <c r="N497" i="5"/>
  <c r="Q498" i="5"/>
  <c r="N476" i="9"/>
  <c r="O476" i="9"/>
  <c r="P476" i="9" s="1"/>
  <c r="H477" i="9"/>
  <c r="I477" i="9" s="1"/>
  <c r="L600" i="5"/>
  <c r="L600" i="10"/>
  <c r="N475" i="10"/>
  <c r="H476" i="10"/>
  <c r="O475" i="10"/>
  <c r="P475" i="10" s="1"/>
  <c r="I475" i="10"/>
  <c r="K601" i="5"/>
  <c r="M601" i="5" s="1"/>
  <c r="R602" i="5"/>
  <c r="S601" i="5"/>
  <c r="G601" i="5" s="1"/>
  <c r="J601" i="5" s="1"/>
  <c r="F602" i="10"/>
  <c r="F602" i="5"/>
  <c r="R602" i="10"/>
  <c r="S601" i="10"/>
  <c r="G601" i="10" s="1"/>
  <c r="J601" i="10" s="1"/>
  <c r="K601" i="10"/>
  <c r="M601" i="10" s="1"/>
  <c r="L600" i="9"/>
  <c r="K601" i="9"/>
  <c r="M601" i="9" s="1"/>
  <c r="R602" i="9"/>
  <c r="S601" i="9"/>
  <c r="G601" i="9" s="1"/>
  <c r="J601" i="9" s="1"/>
  <c r="F602" i="9"/>
  <c r="Q477" i="9" l="1"/>
  <c r="L601" i="5"/>
  <c r="H499" i="5"/>
  <c r="I499" i="5" s="1"/>
  <c r="N498" i="5"/>
  <c r="O498" i="5"/>
  <c r="P498" i="5" s="1"/>
  <c r="Q499" i="5"/>
  <c r="L601" i="9"/>
  <c r="L601" i="10"/>
  <c r="I476" i="10"/>
  <c r="Q476" i="10"/>
  <c r="R603" i="10"/>
  <c r="K602" i="10"/>
  <c r="M602" i="10" s="1"/>
  <c r="S602" i="10"/>
  <c r="G602" i="10" s="1"/>
  <c r="J602" i="10" s="1"/>
  <c r="F603" i="10"/>
  <c r="F603" i="9"/>
  <c r="R603" i="9"/>
  <c r="K602" i="9"/>
  <c r="M602" i="9" s="1"/>
  <c r="S602" i="9"/>
  <c r="G602" i="9" s="1"/>
  <c r="J602" i="9" s="1"/>
  <c r="F603" i="5"/>
  <c r="K602" i="5"/>
  <c r="M602" i="5" s="1"/>
  <c r="S602" i="5"/>
  <c r="G602" i="5" s="1"/>
  <c r="J602" i="5" s="1"/>
  <c r="R603" i="5"/>
  <c r="H500" i="5" l="1"/>
  <c r="I500" i="5" s="1"/>
  <c r="N499" i="5"/>
  <c r="O499" i="5"/>
  <c r="P499" i="5" s="1"/>
  <c r="Q500" i="5"/>
  <c r="L602" i="5"/>
  <c r="O477" i="9"/>
  <c r="P477" i="9" s="1"/>
  <c r="H478" i="9"/>
  <c r="I478" i="9" s="1"/>
  <c r="Q478" i="9"/>
  <c r="N477" i="9"/>
  <c r="N476" i="10"/>
  <c r="H477" i="10"/>
  <c r="I477" i="10" s="1"/>
  <c r="O476" i="10"/>
  <c r="P476" i="10" s="1"/>
  <c r="L602" i="10"/>
  <c r="K603" i="9"/>
  <c r="M603" i="9" s="1"/>
  <c r="R604" i="9"/>
  <c r="S603" i="9"/>
  <c r="G603" i="9" s="1"/>
  <c r="J603" i="9" s="1"/>
  <c r="L602" i="9"/>
  <c r="F604" i="10"/>
  <c r="F604" i="9"/>
  <c r="K603" i="10"/>
  <c r="M603" i="10" s="1"/>
  <c r="S603" i="10"/>
  <c r="G603" i="10" s="1"/>
  <c r="J603" i="10" s="1"/>
  <c r="R604" i="10"/>
  <c r="K603" i="5"/>
  <c r="M603" i="5" s="1"/>
  <c r="S603" i="5"/>
  <c r="G603" i="5" s="1"/>
  <c r="J603" i="5" s="1"/>
  <c r="R604" i="5"/>
  <c r="F604" i="5"/>
  <c r="L603" i="5" l="1"/>
  <c r="N500" i="5"/>
  <c r="O500" i="5"/>
  <c r="P500" i="5" s="1"/>
  <c r="H501" i="5"/>
  <c r="AB23" i="5" s="1"/>
  <c r="AC23" i="5" s="1"/>
  <c r="H479" i="9"/>
  <c r="Q479" i="9" s="1"/>
  <c r="N478" i="9"/>
  <c r="O478" i="9"/>
  <c r="P478" i="9" s="1"/>
  <c r="Q477" i="10"/>
  <c r="L603" i="9"/>
  <c r="S604" i="5"/>
  <c r="G604" i="5" s="1"/>
  <c r="K604" i="5"/>
  <c r="M604" i="5" s="1"/>
  <c r="K604" i="9"/>
  <c r="M604" i="9" s="1"/>
  <c r="S604" i="9"/>
  <c r="K604" i="10"/>
  <c r="M604" i="10" s="1"/>
  <c r="S604" i="10"/>
  <c r="L603" i="10"/>
  <c r="L604" i="5" l="1"/>
  <c r="N479" i="9"/>
  <c r="O479" i="9"/>
  <c r="P479" i="9" s="1"/>
  <c r="H480" i="9"/>
  <c r="Q480" i="9" s="1"/>
  <c r="Q501" i="5"/>
  <c r="L604" i="9"/>
  <c r="I501" i="5"/>
  <c r="I479" i="9"/>
  <c r="I480" i="9" s="1"/>
  <c r="N477" i="10"/>
  <c r="H478" i="10"/>
  <c r="I478" i="10" s="1"/>
  <c r="O477" i="10"/>
  <c r="P477" i="10" s="1"/>
  <c r="L604" i="10"/>
  <c r="AE49" i="5"/>
  <c r="M14" i="3" s="1"/>
  <c r="J604" i="5"/>
  <c r="AF49" i="5" s="1"/>
  <c r="O14" i="3" s="1"/>
  <c r="AB22" i="5"/>
  <c r="AC22" i="5" s="1"/>
  <c r="V54" i="9"/>
  <c r="AD49" i="9"/>
  <c r="V54" i="5"/>
  <c r="AD49" i="5"/>
  <c r="M29" i="3" s="1"/>
  <c r="V54" i="10"/>
  <c r="AD49" i="10"/>
  <c r="G604" i="9"/>
  <c r="G604" i="10"/>
  <c r="O480" i="9" l="1"/>
  <c r="P480" i="9" s="1"/>
  <c r="N480" i="9"/>
  <c r="H481" i="9"/>
  <c r="Q481" i="9" s="1"/>
  <c r="H502" i="5"/>
  <c r="Q502" i="5" s="1"/>
  <c r="N501" i="5"/>
  <c r="O501" i="5"/>
  <c r="P501" i="5" s="1"/>
  <c r="Q478" i="10"/>
  <c r="AE49" i="9"/>
  <c r="R37" i="8" s="1"/>
  <c r="J604" i="9"/>
  <c r="AF49" i="9" s="1"/>
  <c r="W37" i="8" s="1"/>
  <c r="AB22" i="9"/>
  <c r="AC22" i="9" s="1"/>
  <c r="AE49" i="10"/>
  <c r="J604" i="10"/>
  <c r="AF49" i="10" s="1"/>
  <c r="AB22" i="10"/>
  <c r="AC22" i="10" s="1"/>
  <c r="N502" i="5" l="1"/>
  <c r="O502" i="5"/>
  <c r="P502" i="5" s="1"/>
  <c r="H503" i="5"/>
  <c r="Q503" i="5" s="1"/>
  <c r="H482" i="9"/>
  <c r="Q482" i="9" s="1"/>
  <c r="N481" i="9"/>
  <c r="O481" i="9"/>
  <c r="P481" i="9" s="1"/>
  <c r="I502" i="5"/>
  <c r="I503" i="5" s="1"/>
  <c r="I481" i="9"/>
  <c r="I482" i="9" s="1"/>
  <c r="H479" i="10"/>
  <c r="I479" i="10" s="1"/>
  <c r="O478" i="10"/>
  <c r="P478" i="10" s="1"/>
  <c r="N478" i="10"/>
  <c r="H483" i="9" l="1"/>
  <c r="Q483" i="9" s="1"/>
  <c r="N482" i="9"/>
  <c r="O482" i="9"/>
  <c r="P482" i="9" s="1"/>
  <c r="O503" i="5"/>
  <c r="P503" i="5" s="1"/>
  <c r="H504" i="5"/>
  <c r="I504" i="5" s="1"/>
  <c r="N503" i="5"/>
  <c r="Q479" i="10"/>
  <c r="I483" i="9" l="1"/>
  <c r="Q504" i="5"/>
  <c r="N483" i="9"/>
  <c r="O483" i="9"/>
  <c r="P483" i="9" s="1"/>
  <c r="H484" i="9"/>
  <c r="Q484" i="9" s="1"/>
  <c r="O479" i="10"/>
  <c r="P479" i="10" s="1"/>
  <c r="H480" i="10"/>
  <c r="I480" i="10" s="1"/>
  <c r="N479" i="10"/>
  <c r="H485" i="9" l="1"/>
  <c r="Q485" i="9" s="1"/>
  <c r="O484" i="9"/>
  <c r="P484" i="9" s="1"/>
  <c r="N484" i="9"/>
  <c r="N504" i="5"/>
  <c r="O504" i="5"/>
  <c r="P504" i="5" s="1"/>
  <c r="H505" i="5"/>
  <c r="I505" i="5" s="1"/>
  <c r="I484" i="9"/>
  <c r="Q480" i="10"/>
  <c r="H486" i="9" l="1"/>
  <c r="Q486" i="9" s="1"/>
  <c r="N485" i="9"/>
  <c r="O485" i="9"/>
  <c r="P485" i="9" s="1"/>
  <c r="Q505" i="5"/>
  <c r="I485" i="9"/>
  <c r="I486" i="9" s="1"/>
  <c r="O480" i="10"/>
  <c r="P480" i="10" s="1"/>
  <c r="H481" i="10"/>
  <c r="N480" i="10"/>
  <c r="N505" i="5" l="1"/>
  <c r="O505" i="5"/>
  <c r="P505" i="5" s="1"/>
  <c r="H506" i="5"/>
  <c r="N486" i="9"/>
  <c r="H487" i="9"/>
  <c r="I487" i="9" s="1"/>
  <c r="O486" i="9"/>
  <c r="P486" i="9" s="1"/>
  <c r="Q481" i="10"/>
  <c r="I481" i="10"/>
  <c r="Q487" i="9" l="1"/>
  <c r="Q506" i="5"/>
  <c r="I506" i="5"/>
  <c r="N481" i="10"/>
  <c r="H482" i="10"/>
  <c r="Q482" i="10" s="1"/>
  <c r="O481" i="10"/>
  <c r="P481" i="10" s="1"/>
  <c r="O506" i="5" l="1"/>
  <c r="P506" i="5" s="1"/>
  <c r="H507" i="5"/>
  <c r="Q507" i="5" s="1"/>
  <c r="N506" i="5"/>
  <c r="H488" i="9"/>
  <c r="N487" i="9"/>
  <c r="O487" i="9"/>
  <c r="P487" i="9" s="1"/>
  <c r="I482" i="10"/>
  <c r="I483" i="10" s="1"/>
  <c r="H483" i="10"/>
  <c r="Q483" i="10" s="1"/>
  <c r="N482" i="10"/>
  <c r="O482" i="10"/>
  <c r="P482" i="10" s="1"/>
  <c r="Q488" i="9" l="1"/>
  <c r="I488" i="9"/>
  <c r="H508" i="5"/>
  <c r="Q508" i="5" s="1"/>
  <c r="O507" i="5"/>
  <c r="P507" i="5" s="1"/>
  <c r="N507" i="5"/>
  <c r="I507" i="5"/>
  <c r="I508" i="5" s="1"/>
  <c r="O483" i="10"/>
  <c r="P483" i="10" s="1"/>
  <c r="N483" i="10"/>
  <c r="H484" i="10"/>
  <c r="Q484" i="10" s="1"/>
  <c r="O508" i="5" l="1"/>
  <c r="P508" i="5" s="1"/>
  <c r="N508" i="5"/>
  <c r="H509" i="5"/>
  <c r="I509" i="5" s="1"/>
  <c r="H489" i="9"/>
  <c r="I489" i="9" s="1"/>
  <c r="N488" i="9"/>
  <c r="O488" i="9"/>
  <c r="P488" i="9" s="1"/>
  <c r="H485" i="10"/>
  <c r="Q485" i="10" s="1"/>
  <c r="N484" i="10"/>
  <c r="O484" i="10"/>
  <c r="P484" i="10" s="1"/>
  <c r="I484" i="10"/>
  <c r="Q509" i="5" l="1"/>
  <c r="Q489" i="9"/>
  <c r="H510" i="5"/>
  <c r="I510" i="5" s="1"/>
  <c r="N509" i="5"/>
  <c r="O509" i="5"/>
  <c r="P509" i="5" s="1"/>
  <c r="Q510" i="5"/>
  <c r="N485" i="10"/>
  <c r="H486" i="10"/>
  <c r="Q486" i="10" s="1"/>
  <c r="O485" i="10"/>
  <c r="P485" i="10" s="1"/>
  <c r="I485" i="10"/>
  <c r="H511" i="5" l="1"/>
  <c r="I511" i="5" s="1"/>
  <c r="N510" i="5"/>
  <c r="O510" i="5"/>
  <c r="P510" i="5" s="1"/>
  <c r="H490" i="9"/>
  <c r="I490" i="9" s="1"/>
  <c r="N489" i="9"/>
  <c r="O489" i="9"/>
  <c r="P489" i="9" s="1"/>
  <c r="N486" i="10"/>
  <c r="O486" i="10"/>
  <c r="P486" i="10" s="1"/>
  <c r="H487" i="10"/>
  <c r="Q487" i="10" s="1"/>
  <c r="I486" i="10"/>
  <c r="Q490" i="9" l="1"/>
  <c r="Q511" i="5"/>
  <c r="N490" i="9"/>
  <c r="O490" i="9"/>
  <c r="P490" i="9" s="1"/>
  <c r="H491" i="9"/>
  <c r="Q491" i="9" s="1"/>
  <c r="H512" i="5"/>
  <c r="Q512" i="5" s="1"/>
  <c r="O511" i="5"/>
  <c r="P511" i="5" s="1"/>
  <c r="N511" i="5"/>
  <c r="H488" i="10"/>
  <c r="O487" i="10"/>
  <c r="P487" i="10" s="1"/>
  <c r="N487" i="10"/>
  <c r="I487" i="10"/>
  <c r="I512" i="5" l="1"/>
  <c r="I491" i="9"/>
  <c r="N491" i="9"/>
  <c r="O491" i="9"/>
  <c r="P491" i="9" s="1"/>
  <c r="H492" i="9"/>
  <c r="Q492" i="9" s="1"/>
  <c r="H513" i="5"/>
  <c r="Q513" i="5" s="1"/>
  <c r="N512" i="5"/>
  <c r="O512" i="5"/>
  <c r="P512" i="5" s="1"/>
  <c r="I488" i="10"/>
  <c r="Q488" i="10"/>
  <c r="I492" i="9" l="1"/>
  <c r="H514" i="5"/>
  <c r="Q514" i="5" s="1"/>
  <c r="O513" i="5"/>
  <c r="P513" i="5" s="1"/>
  <c r="N513" i="5"/>
  <c r="H493" i="9"/>
  <c r="I493" i="9" s="1"/>
  <c r="N492" i="9"/>
  <c r="O492" i="9"/>
  <c r="P492" i="9" s="1"/>
  <c r="I513" i="5"/>
  <c r="H489" i="10"/>
  <c r="I489" i="10" s="1"/>
  <c r="O488" i="10"/>
  <c r="P488" i="10" s="1"/>
  <c r="N488" i="10"/>
  <c r="Q493" i="9" l="1"/>
  <c r="H515" i="5"/>
  <c r="N514" i="5"/>
  <c r="Q515" i="5"/>
  <c r="O514" i="5"/>
  <c r="P514" i="5" s="1"/>
  <c r="O493" i="9"/>
  <c r="P493" i="9" s="1"/>
  <c r="H494" i="9"/>
  <c r="Q494" i="9" s="1"/>
  <c r="N493" i="9"/>
  <c r="I514" i="5"/>
  <c r="Q489" i="10"/>
  <c r="I515" i="5" l="1"/>
  <c r="H495" i="9"/>
  <c r="Q495" i="9" s="1"/>
  <c r="O494" i="9"/>
  <c r="P494" i="9" s="1"/>
  <c r="N494" i="9"/>
  <c r="H516" i="5"/>
  <c r="Q516" i="5" s="1"/>
  <c r="O515" i="5"/>
  <c r="P515" i="5" s="1"/>
  <c r="N515" i="5"/>
  <c r="I494" i="9"/>
  <c r="I495" i="9" s="1"/>
  <c r="N489" i="10"/>
  <c r="H490" i="10"/>
  <c r="I490" i="10" s="1"/>
  <c r="O489" i="10"/>
  <c r="P489" i="10" s="1"/>
  <c r="I516" i="5" l="1"/>
  <c r="N516" i="5"/>
  <c r="O516" i="5"/>
  <c r="P516" i="5" s="1"/>
  <c r="H517" i="5"/>
  <c r="Q517" i="5" s="1"/>
  <c r="O495" i="9"/>
  <c r="P495" i="9" s="1"/>
  <c r="H496" i="9"/>
  <c r="Q496" i="9" s="1"/>
  <c r="N495" i="9"/>
  <c r="Q490" i="10"/>
  <c r="O496" i="9" l="1"/>
  <c r="P496" i="9" s="1"/>
  <c r="H497" i="9"/>
  <c r="Q497" i="9" s="1"/>
  <c r="N496" i="9"/>
  <c r="I517" i="5"/>
  <c r="H518" i="5"/>
  <c r="Q518" i="5" s="1"/>
  <c r="N517" i="5"/>
  <c r="O517" i="5"/>
  <c r="P517" i="5" s="1"/>
  <c r="I496" i="9"/>
  <c r="N490" i="10"/>
  <c r="H491" i="10"/>
  <c r="O490" i="10"/>
  <c r="P490" i="10" s="1"/>
  <c r="N518" i="5" l="1"/>
  <c r="O518" i="5"/>
  <c r="P518" i="5" s="1"/>
  <c r="H519" i="5"/>
  <c r="Q519" i="5" s="1"/>
  <c r="I518" i="5"/>
  <c r="I519" i="5" s="1"/>
  <c r="N497" i="9"/>
  <c r="O497" i="9"/>
  <c r="P497" i="9" s="1"/>
  <c r="H498" i="9"/>
  <c r="Q498" i="9" s="1"/>
  <c r="I497" i="9"/>
  <c r="Q491" i="10"/>
  <c r="I491" i="10"/>
  <c r="N498" i="9" l="1"/>
  <c r="O498" i="9"/>
  <c r="P498" i="9" s="1"/>
  <c r="H499" i="9"/>
  <c r="Q499" i="9"/>
  <c r="I498" i="9"/>
  <c r="I499" i="9" s="1"/>
  <c r="I520" i="5"/>
  <c r="O519" i="5"/>
  <c r="P519" i="5" s="1"/>
  <c r="N519" i="5"/>
  <c r="H520" i="5"/>
  <c r="Q520" i="5" s="1"/>
  <c r="O491" i="10"/>
  <c r="P491" i="10" s="1"/>
  <c r="H492" i="10"/>
  <c r="Q492" i="10" s="1"/>
  <c r="N491" i="10"/>
  <c r="O499" i="9" l="1"/>
  <c r="P499" i="9" s="1"/>
  <c r="H500" i="9"/>
  <c r="Q500" i="9" s="1"/>
  <c r="N499" i="9"/>
  <c r="H521" i="5"/>
  <c r="I521" i="5" s="1"/>
  <c r="O520" i="5"/>
  <c r="P520" i="5" s="1"/>
  <c r="N520" i="5"/>
  <c r="I492" i="10"/>
  <c r="O492" i="10"/>
  <c r="P492" i="10" s="1"/>
  <c r="N492" i="10"/>
  <c r="H493" i="10"/>
  <c r="Q493" i="10" s="1"/>
  <c r="O500" i="9" l="1"/>
  <c r="P500" i="9" s="1"/>
  <c r="H501" i="9"/>
  <c r="AB23" i="9" s="1"/>
  <c r="AC23" i="9" s="1"/>
  <c r="N500" i="9"/>
  <c r="Q501" i="9"/>
  <c r="Q521" i="5"/>
  <c r="I500" i="9"/>
  <c r="I501" i="9" s="1"/>
  <c r="I493" i="10"/>
  <c r="H494" i="10"/>
  <c r="O493" i="10"/>
  <c r="P493" i="10" s="1"/>
  <c r="N493" i="10"/>
  <c r="H522" i="5" l="1"/>
  <c r="I522" i="5" s="1"/>
  <c r="O521" i="5"/>
  <c r="P521" i="5" s="1"/>
  <c r="N521" i="5"/>
  <c r="H502" i="9"/>
  <c r="I502" i="9" s="1"/>
  <c r="O501" i="9"/>
  <c r="P501" i="9" s="1"/>
  <c r="N501" i="9"/>
  <c r="I494" i="10"/>
  <c r="Q494" i="10"/>
  <c r="Q522" i="5" l="1"/>
  <c r="Q502" i="9"/>
  <c r="O494" i="10"/>
  <c r="P494" i="10" s="1"/>
  <c r="H495" i="10"/>
  <c r="I495" i="10" s="1"/>
  <c r="N494" i="10"/>
  <c r="H503" i="9" l="1"/>
  <c r="I503" i="9" s="1"/>
  <c r="O502" i="9"/>
  <c r="P502" i="9" s="1"/>
  <c r="Q503" i="9"/>
  <c r="N502" i="9"/>
  <c r="H523" i="5"/>
  <c r="N522" i="5"/>
  <c r="O522" i="5"/>
  <c r="P522" i="5" s="1"/>
  <c r="Q495" i="10"/>
  <c r="Q523" i="5" l="1"/>
  <c r="I523" i="5"/>
  <c r="O503" i="9"/>
  <c r="P503" i="9" s="1"/>
  <c r="H504" i="9"/>
  <c r="Q504" i="9" s="1"/>
  <c r="N503" i="9"/>
  <c r="I504" i="9"/>
  <c r="O495" i="10"/>
  <c r="P495" i="10" s="1"/>
  <c r="N495" i="10"/>
  <c r="H496" i="10"/>
  <c r="I496" i="10" s="1"/>
  <c r="N504" i="9" l="1"/>
  <c r="H505" i="9"/>
  <c r="I505" i="9" s="1"/>
  <c r="O504" i="9"/>
  <c r="P504" i="9" s="1"/>
  <c r="Q505" i="9"/>
  <c r="H524" i="5"/>
  <c r="I524" i="5" s="1"/>
  <c r="O523" i="5"/>
  <c r="P523" i="5" s="1"/>
  <c r="N523" i="5"/>
  <c r="Q496" i="10"/>
  <c r="Q524" i="5" l="1"/>
  <c r="O505" i="9"/>
  <c r="P505" i="9" s="1"/>
  <c r="H506" i="9"/>
  <c r="I506" i="9" s="1"/>
  <c r="N505" i="9"/>
  <c r="N496" i="10"/>
  <c r="O496" i="10"/>
  <c r="P496" i="10" s="1"/>
  <c r="H497" i="10"/>
  <c r="Q506" i="9" l="1"/>
  <c r="N524" i="5"/>
  <c r="O524" i="5"/>
  <c r="P524" i="5" s="1"/>
  <c r="H525" i="5"/>
  <c r="I525" i="5" s="1"/>
  <c r="Q497" i="10"/>
  <c r="I497" i="10"/>
  <c r="Q525" i="5" l="1"/>
  <c r="H507" i="9"/>
  <c r="I507" i="9" s="1"/>
  <c r="O506" i="9"/>
  <c r="P506" i="9" s="1"/>
  <c r="N506" i="9"/>
  <c r="N497" i="10"/>
  <c r="O497" i="10"/>
  <c r="P497" i="10" s="1"/>
  <c r="H498" i="10"/>
  <c r="Q498" i="10" s="1"/>
  <c r="Q507" i="9" l="1"/>
  <c r="O525" i="5"/>
  <c r="P525" i="5" s="1"/>
  <c r="H526" i="5"/>
  <c r="I526" i="5" s="1"/>
  <c r="N525" i="5"/>
  <c r="O507" i="9"/>
  <c r="P507" i="9" s="1"/>
  <c r="H508" i="9"/>
  <c r="I508" i="9" s="1"/>
  <c r="N507" i="9"/>
  <c r="I498" i="10"/>
  <c r="H499" i="10"/>
  <c r="Q499" i="10" s="1"/>
  <c r="O498" i="10"/>
  <c r="P498" i="10" s="1"/>
  <c r="N498" i="10"/>
  <c r="Q508" i="9" l="1"/>
  <c r="Q526" i="5"/>
  <c r="I499" i="10"/>
  <c r="H500" i="10"/>
  <c r="Q500" i="10" s="1"/>
  <c r="O499" i="10"/>
  <c r="P499" i="10" s="1"/>
  <c r="N499" i="10"/>
  <c r="N526" i="5" l="1"/>
  <c r="O526" i="5"/>
  <c r="P526" i="5" s="1"/>
  <c r="H527" i="5"/>
  <c r="I527" i="5" s="1"/>
  <c r="O508" i="9"/>
  <c r="P508" i="9" s="1"/>
  <c r="H509" i="9"/>
  <c r="N508" i="9"/>
  <c r="N500" i="10"/>
  <c r="H501" i="10"/>
  <c r="AB23" i="10" s="1"/>
  <c r="AC23" i="10" s="1"/>
  <c r="O500" i="10"/>
  <c r="P500" i="10" s="1"/>
  <c r="I500" i="10"/>
  <c r="Q509" i="9" l="1"/>
  <c r="I509" i="9"/>
  <c r="Q527" i="5"/>
  <c r="I501" i="10"/>
  <c r="Q501" i="10"/>
  <c r="H528" i="5" l="1"/>
  <c r="I528" i="5" s="1"/>
  <c r="N527" i="5"/>
  <c r="O527" i="5"/>
  <c r="P527" i="5" s="1"/>
  <c r="Q528" i="5"/>
  <c r="H510" i="9"/>
  <c r="Q510" i="9" s="1"/>
  <c r="O509" i="9"/>
  <c r="P509" i="9" s="1"/>
  <c r="N509" i="9"/>
  <c r="H502" i="10"/>
  <c r="N501" i="10"/>
  <c r="O501" i="10"/>
  <c r="P501" i="10" s="1"/>
  <c r="I510" i="9" l="1"/>
  <c r="N510" i="9"/>
  <c r="O510" i="9"/>
  <c r="P510" i="9" s="1"/>
  <c r="H511" i="9"/>
  <c r="Q511" i="9" s="1"/>
  <c r="N528" i="5"/>
  <c r="O528" i="5"/>
  <c r="P528" i="5" s="1"/>
  <c r="H529" i="5"/>
  <c r="I529" i="5" s="1"/>
  <c r="Q502" i="10"/>
  <c r="I502" i="10"/>
  <c r="N511" i="9" l="1"/>
  <c r="H512" i="9"/>
  <c r="Q512" i="9" s="1"/>
  <c r="O511" i="9"/>
  <c r="P511" i="9" s="1"/>
  <c r="Q529" i="5"/>
  <c r="I511" i="9"/>
  <c r="I512" i="9" s="1"/>
  <c r="N502" i="10"/>
  <c r="H503" i="10"/>
  <c r="Q503" i="10" s="1"/>
  <c r="O502" i="10"/>
  <c r="P502" i="10" s="1"/>
  <c r="N529" i="5" l="1"/>
  <c r="H530" i="5"/>
  <c r="O529" i="5"/>
  <c r="P529" i="5" s="1"/>
  <c r="N512" i="9"/>
  <c r="O512" i="9"/>
  <c r="P512" i="9" s="1"/>
  <c r="H513" i="9"/>
  <c r="Q513" i="9" s="1"/>
  <c r="I503" i="10"/>
  <c r="O503" i="10"/>
  <c r="P503" i="10" s="1"/>
  <c r="H504" i="10"/>
  <c r="Q504" i="10" s="1"/>
  <c r="N503" i="10"/>
  <c r="N513" i="9" l="1"/>
  <c r="H514" i="9"/>
  <c r="Q514" i="9" s="1"/>
  <c r="O513" i="9"/>
  <c r="P513" i="9" s="1"/>
  <c r="Q530" i="5"/>
  <c r="I530" i="5"/>
  <c r="I513" i="9"/>
  <c r="I514" i="9" s="1"/>
  <c r="N504" i="10"/>
  <c r="H505" i="10"/>
  <c r="Q505" i="10" s="1"/>
  <c r="O504" i="10"/>
  <c r="P504" i="10" s="1"/>
  <c r="I504" i="10"/>
  <c r="H531" i="5" l="1"/>
  <c r="Q531" i="5" s="1"/>
  <c r="N530" i="5"/>
  <c r="O530" i="5"/>
  <c r="P530" i="5" s="1"/>
  <c r="H515" i="9"/>
  <c r="Q515" i="9" s="1"/>
  <c r="N514" i="9"/>
  <c r="O514" i="9"/>
  <c r="P514" i="9" s="1"/>
  <c r="I531" i="5"/>
  <c r="O505" i="10"/>
  <c r="P505" i="10" s="1"/>
  <c r="N505" i="10"/>
  <c r="H506" i="10"/>
  <c r="Q506" i="10" s="1"/>
  <c r="I505" i="10"/>
  <c r="H532" i="5" l="1"/>
  <c r="Q532" i="5" s="1"/>
  <c r="O531" i="5"/>
  <c r="P531" i="5" s="1"/>
  <c r="N531" i="5"/>
  <c r="H516" i="9"/>
  <c r="Q516" i="9"/>
  <c r="O515" i="9"/>
  <c r="P515" i="9" s="1"/>
  <c r="N515" i="9"/>
  <c r="I515" i="9"/>
  <c r="O506" i="10"/>
  <c r="P506" i="10" s="1"/>
  <c r="H507" i="10"/>
  <c r="Q507" i="10" s="1"/>
  <c r="N506" i="10"/>
  <c r="I506" i="10"/>
  <c r="N532" i="5" l="1"/>
  <c r="O532" i="5"/>
  <c r="P532" i="5" s="1"/>
  <c r="H533" i="5"/>
  <c r="Q533" i="5" s="1"/>
  <c r="O516" i="9"/>
  <c r="P516" i="9" s="1"/>
  <c r="H517" i="9"/>
  <c r="N516" i="9"/>
  <c r="I516" i="9"/>
  <c r="I532" i="5"/>
  <c r="H508" i="10"/>
  <c r="N507" i="10"/>
  <c r="O507" i="10"/>
  <c r="P507" i="10" s="1"/>
  <c r="I507" i="10"/>
  <c r="I517" i="9" l="1"/>
  <c r="Q517" i="9"/>
  <c r="O533" i="5"/>
  <c r="P533" i="5" s="1"/>
  <c r="H534" i="5"/>
  <c r="Q534" i="5" s="1"/>
  <c r="N533" i="5"/>
  <c r="I533" i="5"/>
  <c r="I534" i="5" s="1"/>
  <c r="I508" i="10"/>
  <c r="Q508" i="10"/>
  <c r="O517" i="9" l="1"/>
  <c r="P517" i="9" s="1"/>
  <c r="N517" i="9"/>
  <c r="H518" i="9"/>
  <c r="I518" i="9" s="1"/>
  <c r="N534" i="5"/>
  <c r="O534" i="5"/>
  <c r="P534" i="5" s="1"/>
  <c r="H535" i="5"/>
  <c r="Q535" i="5" s="1"/>
  <c r="H509" i="10"/>
  <c r="I509" i="10" s="1"/>
  <c r="N508" i="10"/>
  <c r="O508" i="10"/>
  <c r="P508" i="10" s="1"/>
  <c r="O535" i="5" l="1"/>
  <c r="P535" i="5" s="1"/>
  <c r="H536" i="5"/>
  <c r="N535" i="5"/>
  <c r="Q536" i="5"/>
  <c r="I535" i="5"/>
  <c r="I536" i="5" s="1"/>
  <c r="Q518" i="9"/>
  <c r="Q509" i="10"/>
  <c r="H519" i="9" l="1"/>
  <c r="I519" i="9" s="1"/>
  <c r="O518" i="9"/>
  <c r="P518" i="9" s="1"/>
  <c r="N518" i="9"/>
  <c r="O536" i="5"/>
  <c r="P536" i="5" s="1"/>
  <c r="H537" i="5"/>
  <c r="Q537" i="5" s="1"/>
  <c r="N536" i="5"/>
  <c r="O509" i="10"/>
  <c r="P509" i="10" s="1"/>
  <c r="H510" i="10"/>
  <c r="I510" i="10" s="1"/>
  <c r="N509" i="10"/>
  <c r="N537" i="5" l="1"/>
  <c r="O537" i="5"/>
  <c r="P537" i="5" s="1"/>
  <c r="H538" i="5"/>
  <c r="Q538" i="5" s="1"/>
  <c r="I537" i="5"/>
  <c r="I538" i="5" s="1"/>
  <c r="Q519" i="9"/>
  <c r="Q510" i="10"/>
  <c r="N519" i="9" l="1"/>
  <c r="H520" i="9"/>
  <c r="O519" i="9"/>
  <c r="P519" i="9" s="1"/>
  <c r="N538" i="5"/>
  <c r="O538" i="5"/>
  <c r="P538" i="5" s="1"/>
  <c r="H539" i="5"/>
  <c r="Q539" i="5" s="1"/>
  <c r="H511" i="10"/>
  <c r="I511" i="10" s="1"/>
  <c r="N510" i="10"/>
  <c r="O510" i="10"/>
  <c r="P510" i="10" s="1"/>
  <c r="H540" i="5" l="1"/>
  <c r="Q540" i="5"/>
  <c r="N539" i="5"/>
  <c r="O539" i="5"/>
  <c r="P539" i="5" s="1"/>
  <c r="I539" i="5"/>
  <c r="I540" i="5" s="1"/>
  <c r="Q520" i="9"/>
  <c r="I520" i="9"/>
  <c r="Q511" i="10"/>
  <c r="N540" i="5" l="1"/>
  <c r="O540" i="5"/>
  <c r="P540" i="5" s="1"/>
  <c r="H541" i="5"/>
  <c r="Q541" i="5" s="1"/>
  <c r="H521" i="9"/>
  <c r="Q521" i="9" s="1"/>
  <c r="O520" i="9"/>
  <c r="P520" i="9" s="1"/>
  <c r="N520" i="9"/>
  <c r="O511" i="10"/>
  <c r="P511" i="10" s="1"/>
  <c r="H512" i="10"/>
  <c r="I512" i="10" s="1"/>
  <c r="N511" i="10"/>
  <c r="N541" i="5" l="1"/>
  <c r="O541" i="5"/>
  <c r="P541" i="5" s="1"/>
  <c r="H542" i="5"/>
  <c r="Q542" i="5" s="1"/>
  <c r="I541" i="5"/>
  <c r="I542" i="5" s="1"/>
  <c r="O521" i="9"/>
  <c r="P521" i="9" s="1"/>
  <c r="H522" i="9"/>
  <c r="Q522" i="9" s="1"/>
  <c r="N521" i="9"/>
  <c r="I521" i="9"/>
  <c r="Q512" i="10"/>
  <c r="H523" i="9" l="1"/>
  <c r="Q523" i="9" s="1"/>
  <c r="N522" i="9"/>
  <c r="O522" i="9"/>
  <c r="P522" i="9" s="1"/>
  <c r="N542" i="5"/>
  <c r="O542" i="5"/>
  <c r="P542" i="5" s="1"/>
  <c r="H543" i="5"/>
  <c r="Q543" i="5" s="1"/>
  <c r="I522" i="9"/>
  <c r="I523" i="9" s="1"/>
  <c r="O512" i="10"/>
  <c r="P512" i="10" s="1"/>
  <c r="H513" i="10"/>
  <c r="I513" i="10" s="1"/>
  <c r="N512" i="10"/>
  <c r="H544" i="5" l="1"/>
  <c r="N543" i="5"/>
  <c r="Q544" i="5"/>
  <c r="O543" i="5"/>
  <c r="P543" i="5" s="1"/>
  <c r="I543" i="5"/>
  <c r="I544" i="5" s="1"/>
  <c r="O523" i="9"/>
  <c r="P523" i="9" s="1"/>
  <c r="H524" i="9"/>
  <c r="Q524" i="9" s="1"/>
  <c r="N523" i="9"/>
  <c r="Q513" i="10"/>
  <c r="H525" i="9" l="1"/>
  <c r="Q525" i="9" s="1"/>
  <c r="N524" i="9"/>
  <c r="O524" i="9"/>
  <c r="P524" i="9" s="1"/>
  <c r="I524" i="9"/>
  <c r="I525" i="9" s="1"/>
  <c r="N544" i="5"/>
  <c r="H545" i="5"/>
  <c r="Q545" i="5" s="1"/>
  <c r="O544" i="5"/>
  <c r="P544" i="5" s="1"/>
  <c r="N513" i="10"/>
  <c r="H514" i="10"/>
  <c r="O513" i="10"/>
  <c r="P513" i="10" s="1"/>
  <c r="H546" i="5" l="1"/>
  <c r="O545" i="5"/>
  <c r="P545" i="5" s="1"/>
  <c r="N545" i="5"/>
  <c r="Q546" i="5"/>
  <c r="I545" i="5"/>
  <c r="I546" i="5" s="1"/>
  <c r="H526" i="9"/>
  <c r="I526" i="9" s="1"/>
  <c r="N525" i="9"/>
  <c r="O525" i="9"/>
  <c r="P525" i="9" s="1"/>
  <c r="Q514" i="10"/>
  <c r="I514" i="10"/>
  <c r="Q526" i="9" l="1"/>
  <c r="O546" i="5"/>
  <c r="P546" i="5" s="1"/>
  <c r="H547" i="5"/>
  <c r="Q547" i="5" s="1"/>
  <c r="N546" i="5"/>
  <c r="O514" i="10"/>
  <c r="P514" i="10" s="1"/>
  <c r="H515" i="10"/>
  <c r="Q515" i="10" s="1"/>
  <c r="N514" i="10"/>
  <c r="H548" i="5" l="1"/>
  <c r="Q548" i="5" s="1"/>
  <c r="O547" i="5"/>
  <c r="P547" i="5" s="1"/>
  <c r="N547" i="5"/>
  <c r="N526" i="9"/>
  <c r="H527" i="9"/>
  <c r="I527" i="9" s="1"/>
  <c r="O526" i="9"/>
  <c r="P526" i="9" s="1"/>
  <c r="Q527" i="9"/>
  <c r="I547" i="5"/>
  <c r="I515" i="10"/>
  <c r="N515" i="10"/>
  <c r="H516" i="10"/>
  <c r="Q516" i="10" s="1"/>
  <c r="O515" i="10"/>
  <c r="P515" i="10" s="1"/>
  <c r="O548" i="5" l="1"/>
  <c r="P548" i="5" s="1"/>
  <c r="H549" i="5"/>
  <c r="N548" i="5"/>
  <c r="Q549" i="5"/>
  <c r="N527" i="9"/>
  <c r="H528" i="9"/>
  <c r="I528" i="9" s="1"/>
  <c r="O527" i="9"/>
  <c r="P527" i="9" s="1"/>
  <c r="I548" i="5"/>
  <c r="I549" i="5" s="1"/>
  <c r="I516" i="10"/>
  <c r="O516" i="10"/>
  <c r="P516" i="10" s="1"/>
  <c r="H517" i="10"/>
  <c r="Q517" i="10" s="1"/>
  <c r="N516" i="10"/>
  <c r="Q528" i="9" l="1"/>
  <c r="H550" i="5"/>
  <c r="Q550" i="5" s="1"/>
  <c r="O549" i="5"/>
  <c r="P549" i="5" s="1"/>
  <c r="N549" i="5"/>
  <c r="I550" i="5"/>
  <c r="H518" i="10"/>
  <c r="Q518" i="10" s="1"/>
  <c r="N517" i="10"/>
  <c r="O517" i="10"/>
  <c r="P517" i="10" s="1"/>
  <c r="I517" i="10"/>
  <c r="O528" i="9" l="1"/>
  <c r="P528" i="9" s="1"/>
  <c r="N528" i="9"/>
  <c r="H529" i="9"/>
  <c r="I529" i="9" s="1"/>
  <c r="H551" i="5"/>
  <c r="I551" i="5" s="1"/>
  <c r="N550" i="5"/>
  <c r="O550" i="5"/>
  <c r="P550" i="5" s="1"/>
  <c r="I518" i="10"/>
  <c r="N518" i="10"/>
  <c r="O518" i="10"/>
  <c r="P518" i="10" s="1"/>
  <c r="H519" i="10"/>
  <c r="Q519" i="10" s="1"/>
  <c r="Q551" i="5" l="1"/>
  <c r="O551" i="5" s="1"/>
  <c r="P551" i="5" s="1"/>
  <c r="N551" i="5"/>
  <c r="H552" i="5"/>
  <c r="Q552" i="5" s="1"/>
  <c r="Q529" i="9"/>
  <c r="O519" i="10"/>
  <c r="P519" i="10" s="1"/>
  <c r="H520" i="10"/>
  <c r="Q520" i="10" s="1"/>
  <c r="N519" i="10"/>
  <c r="I519" i="10"/>
  <c r="O529" i="9" l="1"/>
  <c r="P529" i="9" s="1"/>
  <c r="H530" i="9"/>
  <c r="I530" i="9" s="1"/>
  <c r="N529" i="9"/>
  <c r="H553" i="5"/>
  <c r="Q553" i="5" s="1"/>
  <c r="O552" i="5"/>
  <c r="P552" i="5" s="1"/>
  <c r="N552" i="5"/>
  <c r="I552" i="5"/>
  <c r="I553" i="5" s="1"/>
  <c r="H521" i="10"/>
  <c r="Q521" i="10" s="1"/>
  <c r="O520" i="10"/>
  <c r="P520" i="10" s="1"/>
  <c r="N520" i="10"/>
  <c r="I520" i="10"/>
  <c r="O553" i="5" l="1"/>
  <c r="P553" i="5" s="1"/>
  <c r="N553" i="5"/>
  <c r="H554" i="5"/>
  <c r="I554" i="5" s="1"/>
  <c r="Q530" i="9"/>
  <c r="I521" i="10"/>
  <c r="N521" i="10"/>
  <c r="O521" i="10"/>
  <c r="P521" i="10" s="1"/>
  <c r="H522" i="10"/>
  <c r="O530" i="9" l="1"/>
  <c r="P530" i="9" s="1"/>
  <c r="N530" i="9"/>
  <c r="H531" i="9"/>
  <c r="I531" i="9" s="1"/>
  <c r="Q531" i="9"/>
  <c r="Q554" i="5"/>
  <c r="I522" i="10"/>
  <c r="Q522" i="10"/>
  <c r="O554" i="5" l="1"/>
  <c r="P554" i="5" s="1"/>
  <c r="N554" i="5"/>
  <c r="H555" i="5"/>
  <c r="O531" i="9"/>
  <c r="P531" i="9" s="1"/>
  <c r="H532" i="9"/>
  <c r="I532" i="9" s="1"/>
  <c r="N531" i="9"/>
  <c r="H523" i="10"/>
  <c r="I523" i="10" s="1"/>
  <c r="O522" i="10"/>
  <c r="P522" i="10" s="1"/>
  <c r="N522" i="10"/>
  <c r="Q532" i="9" l="1"/>
  <c r="O532" i="9"/>
  <c r="P532" i="9" s="1"/>
  <c r="H533" i="9"/>
  <c r="I533" i="9" s="1"/>
  <c r="N532" i="9"/>
  <c r="Q555" i="5"/>
  <c r="I555" i="5"/>
  <c r="Q523" i="10"/>
  <c r="H556" i="5" l="1"/>
  <c r="I556" i="5" s="1"/>
  <c r="N555" i="5"/>
  <c r="O555" i="5"/>
  <c r="P555" i="5" s="1"/>
  <c r="Q533" i="9"/>
  <c r="N523" i="10"/>
  <c r="H524" i="10"/>
  <c r="I524" i="10" s="1"/>
  <c r="O523" i="10"/>
  <c r="P523" i="10" s="1"/>
  <c r="Q556" i="5" l="1"/>
  <c r="H534" i="9"/>
  <c r="I534" i="9" s="1"/>
  <c r="N533" i="9"/>
  <c r="O533" i="9"/>
  <c r="P533" i="9" s="1"/>
  <c r="Q534" i="9"/>
  <c r="H557" i="5"/>
  <c r="I557" i="5" s="1"/>
  <c r="N556" i="5"/>
  <c r="O556" i="5"/>
  <c r="P556" i="5" s="1"/>
  <c r="Q524" i="10"/>
  <c r="Q557" i="5" l="1"/>
  <c r="H558" i="5"/>
  <c r="I558" i="5" s="1"/>
  <c r="N557" i="5"/>
  <c r="O557" i="5"/>
  <c r="P557" i="5" s="1"/>
  <c r="H535" i="9"/>
  <c r="I535" i="9" s="1"/>
  <c r="N534" i="9"/>
  <c r="O534" i="9"/>
  <c r="P534" i="9" s="1"/>
  <c r="O524" i="10"/>
  <c r="P524" i="10" s="1"/>
  <c r="N524" i="10"/>
  <c r="H525" i="10"/>
  <c r="I525" i="10" s="1"/>
  <c r="Q558" i="5" l="1"/>
  <c r="Q535" i="9"/>
  <c r="H536" i="9"/>
  <c r="I536" i="9" s="1"/>
  <c r="Q536" i="9"/>
  <c r="N535" i="9"/>
  <c r="O535" i="9"/>
  <c r="P535" i="9" s="1"/>
  <c r="N558" i="5"/>
  <c r="O558" i="5"/>
  <c r="P558" i="5" s="1"/>
  <c r="H559" i="5"/>
  <c r="I559" i="5" s="1"/>
  <c r="Q559" i="5"/>
  <c r="Q525" i="10"/>
  <c r="H560" i="5" l="1"/>
  <c r="Q560" i="5" s="1"/>
  <c r="N559" i="5"/>
  <c r="O559" i="5"/>
  <c r="P559" i="5" s="1"/>
  <c r="O536" i="9"/>
  <c r="P536" i="9" s="1"/>
  <c r="H537" i="9"/>
  <c r="Q537" i="9" s="1"/>
  <c r="N536" i="9"/>
  <c r="I560" i="5"/>
  <c r="N525" i="10"/>
  <c r="O525" i="10"/>
  <c r="P525" i="10" s="1"/>
  <c r="H526" i="10"/>
  <c r="I526" i="10" s="1"/>
  <c r="H538" i="9" l="1"/>
  <c r="Q538" i="9" s="1"/>
  <c r="N537" i="9"/>
  <c r="O537" i="9"/>
  <c r="P537" i="9" s="1"/>
  <c r="I537" i="9"/>
  <c r="I538" i="9" s="1"/>
  <c r="N560" i="5"/>
  <c r="O560" i="5"/>
  <c r="P560" i="5" s="1"/>
  <c r="H561" i="5"/>
  <c r="Q561" i="5" s="1"/>
  <c r="Q526" i="10"/>
  <c r="H562" i="5" l="1"/>
  <c r="Q562" i="5" s="1"/>
  <c r="N561" i="5"/>
  <c r="O561" i="5"/>
  <c r="P561" i="5" s="1"/>
  <c r="I561" i="5"/>
  <c r="I562" i="5" s="1"/>
  <c r="N538" i="9"/>
  <c r="O538" i="9"/>
  <c r="P538" i="9" s="1"/>
  <c r="H539" i="9"/>
  <c r="Q539" i="9" s="1"/>
  <c r="O526" i="10"/>
  <c r="P526" i="10" s="1"/>
  <c r="H527" i="10"/>
  <c r="N526" i="10"/>
  <c r="N539" i="9" l="1"/>
  <c r="H540" i="9"/>
  <c r="Q540" i="9" s="1"/>
  <c r="O539" i="9"/>
  <c r="P539" i="9" s="1"/>
  <c r="I539" i="9"/>
  <c r="N562" i="5"/>
  <c r="O562" i="5"/>
  <c r="P562" i="5" s="1"/>
  <c r="H563" i="5"/>
  <c r="Q563" i="5" s="1"/>
  <c r="Q527" i="10"/>
  <c r="I527" i="10"/>
  <c r="I540" i="9" l="1"/>
  <c r="H564" i="5"/>
  <c r="N563" i="5"/>
  <c r="O563" i="5"/>
  <c r="P563" i="5" s="1"/>
  <c r="Q564" i="5"/>
  <c r="Q541" i="9"/>
  <c r="O540" i="9"/>
  <c r="P540" i="9" s="1"/>
  <c r="N540" i="9"/>
  <c r="H541" i="9"/>
  <c r="I541" i="9" s="1"/>
  <c r="I563" i="5"/>
  <c r="H528" i="10"/>
  <c r="Q528" i="10" s="1"/>
  <c r="N527" i="10"/>
  <c r="O527" i="10"/>
  <c r="P527" i="10" s="1"/>
  <c r="I564" i="5" l="1"/>
  <c r="H565" i="5"/>
  <c r="I565" i="5" s="1"/>
  <c r="N564" i="5"/>
  <c r="O564" i="5"/>
  <c r="P564" i="5" s="1"/>
  <c r="Q565" i="5"/>
  <c r="O541" i="9"/>
  <c r="P541" i="9" s="1"/>
  <c r="N541" i="9"/>
  <c r="H542" i="9"/>
  <c r="Q542" i="9" s="1"/>
  <c r="I528" i="10"/>
  <c r="N528" i="10"/>
  <c r="H529" i="10"/>
  <c r="Q529" i="10" s="1"/>
  <c r="O528" i="10"/>
  <c r="P528" i="10" s="1"/>
  <c r="O542" i="9" l="1"/>
  <c r="P542" i="9" s="1"/>
  <c r="H543" i="9"/>
  <c r="Q543" i="9" s="1"/>
  <c r="N542" i="9"/>
  <c r="N565" i="5"/>
  <c r="H566" i="5"/>
  <c r="I566" i="5" s="1"/>
  <c r="O565" i="5"/>
  <c r="P565" i="5" s="1"/>
  <c r="I542" i="9"/>
  <c r="I543" i="9" s="1"/>
  <c r="H530" i="10"/>
  <c r="Q530" i="10" s="1"/>
  <c r="N529" i="10"/>
  <c r="O529" i="10"/>
  <c r="P529" i="10" s="1"/>
  <c r="I529" i="10"/>
  <c r="Q566" i="5" l="1"/>
  <c r="N566" i="5"/>
  <c r="O566" i="5"/>
  <c r="P566" i="5" s="1"/>
  <c r="H567" i="5"/>
  <c r="Q567" i="5" s="1"/>
  <c r="N543" i="9"/>
  <c r="O543" i="9"/>
  <c r="P543" i="9" s="1"/>
  <c r="H544" i="9"/>
  <c r="I544" i="9" s="1"/>
  <c r="I530" i="10"/>
  <c r="N530" i="10"/>
  <c r="H531" i="10"/>
  <c r="Q531" i="10" s="1"/>
  <c r="O530" i="10"/>
  <c r="P530" i="10" s="1"/>
  <c r="Q544" i="9" l="1"/>
  <c r="O567" i="5"/>
  <c r="P567" i="5" s="1"/>
  <c r="H568" i="5"/>
  <c r="Q568" i="5" s="1"/>
  <c r="N567" i="5"/>
  <c r="I567" i="5"/>
  <c r="I568" i="5" s="1"/>
  <c r="N531" i="10"/>
  <c r="O531" i="10"/>
  <c r="P531" i="10" s="1"/>
  <c r="H532" i="10"/>
  <c r="Q532" i="10" s="1"/>
  <c r="I531" i="10"/>
  <c r="O568" i="5" l="1"/>
  <c r="P568" i="5" s="1"/>
  <c r="N568" i="5"/>
  <c r="H569" i="5"/>
  <c r="Q569" i="5" s="1"/>
  <c r="O544" i="9"/>
  <c r="P544" i="9" s="1"/>
  <c r="H545" i="9"/>
  <c r="I545" i="9" s="1"/>
  <c r="N544" i="9"/>
  <c r="O532" i="10"/>
  <c r="P532" i="10" s="1"/>
  <c r="N532" i="10"/>
  <c r="H533" i="10"/>
  <c r="Q533" i="10" s="1"/>
  <c r="I532" i="10"/>
  <c r="Q545" i="9" l="1"/>
  <c r="H546" i="9"/>
  <c r="Q546" i="9" s="1"/>
  <c r="O545" i="9"/>
  <c r="P545" i="9" s="1"/>
  <c r="N545" i="9"/>
  <c r="I546" i="9"/>
  <c r="H570" i="5"/>
  <c r="Q570" i="5" s="1"/>
  <c r="O569" i="5"/>
  <c r="P569" i="5" s="1"/>
  <c r="N569" i="5"/>
  <c r="I569" i="5"/>
  <c r="N533" i="10"/>
  <c r="O533" i="10"/>
  <c r="P533" i="10" s="1"/>
  <c r="H534" i="10"/>
  <c r="Q534" i="10" s="1"/>
  <c r="I533" i="10"/>
  <c r="H571" i="5" l="1"/>
  <c r="O570" i="5"/>
  <c r="P570" i="5" s="1"/>
  <c r="N570" i="5"/>
  <c r="Q571" i="5"/>
  <c r="I570" i="5"/>
  <c r="I571" i="5" s="1"/>
  <c r="O546" i="9"/>
  <c r="P546" i="9" s="1"/>
  <c r="H547" i="9"/>
  <c r="Q547" i="9" s="1"/>
  <c r="N546" i="9"/>
  <c r="H535" i="10"/>
  <c r="Q535" i="10" s="1"/>
  <c r="N534" i="10"/>
  <c r="O534" i="10"/>
  <c r="P534" i="10" s="1"/>
  <c r="I534" i="10"/>
  <c r="O547" i="9" l="1"/>
  <c r="P547" i="9" s="1"/>
  <c r="N547" i="9"/>
  <c r="H548" i="9"/>
  <c r="Q548" i="9" s="1"/>
  <c r="I547" i="9"/>
  <c r="I548" i="9" s="1"/>
  <c r="H572" i="5"/>
  <c r="I572" i="5" s="1"/>
  <c r="N571" i="5"/>
  <c r="O571" i="5"/>
  <c r="P571" i="5" s="1"/>
  <c r="O535" i="10"/>
  <c r="P535" i="10" s="1"/>
  <c r="N535" i="10"/>
  <c r="H536" i="10"/>
  <c r="Q536" i="10" s="1"/>
  <c r="I535" i="10"/>
  <c r="H549" i="9" l="1"/>
  <c r="Q549" i="9" s="1"/>
  <c r="N548" i="9"/>
  <c r="O548" i="9"/>
  <c r="P548" i="9" s="1"/>
  <c r="Q572" i="5"/>
  <c r="I549" i="9"/>
  <c r="O536" i="10"/>
  <c r="P536" i="10" s="1"/>
  <c r="H537" i="10"/>
  <c r="Q537" i="10" s="1"/>
  <c r="N536" i="10"/>
  <c r="I536" i="10"/>
  <c r="H573" i="5" l="1"/>
  <c r="N572" i="5"/>
  <c r="O572" i="5"/>
  <c r="P572" i="5" s="1"/>
  <c r="N549" i="9"/>
  <c r="H550" i="9"/>
  <c r="I550" i="9" s="1"/>
  <c r="O549" i="9"/>
  <c r="P549" i="9" s="1"/>
  <c r="N537" i="10"/>
  <c r="H538" i="10"/>
  <c r="Q538" i="10" s="1"/>
  <c r="O537" i="10"/>
  <c r="P537" i="10" s="1"/>
  <c r="I537" i="10"/>
  <c r="Q550" i="9" l="1"/>
  <c r="Q573" i="5"/>
  <c r="I573" i="5"/>
  <c r="O538" i="10"/>
  <c r="P538" i="10" s="1"/>
  <c r="H539" i="10"/>
  <c r="Q539" i="10" s="1"/>
  <c r="N538" i="10"/>
  <c r="I538" i="10"/>
  <c r="O573" i="5" l="1"/>
  <c r="P573" i="5" s="1"/>
  <c r="N573" i="5"/>
  <c r="H574" i="5"/>
  <c r="I574" i="5" s="1"/>
  <c r="O550" i="9"/>
  <c r="P550" i="9" s="1"/>
  <c r="H551" i="9"/>
  <c r="I551" i="9" s="1"/>
  <c r="N550" i="9"/>
  <c r="N539" i="10"/>
  <c r="H540" i="10"/>
  <c r="Q540" i="10" s="1"/>
  <c r="O539" i="10"/>
  <c r="P539" i="10" s="1"/>
  <c r="I539" i="10"/>
  <c r="Q574" i="5" l="1"/>
  <c r="Q551" i="9"/>
  <c r="N540" i="10"/>
  <c r="H541" i="10"/>
  <c r="Q541" i="10" s="1"/>
  <c r="O540" i="10"/>
  <c r="P540" i="10" s="1"/>
  <c r="I540" i="10"/>
  <c r="O551" i="9" l="1"/>
  <c r="P551" i="9" s="1"/>
  <c r="N551" i="9"/>
  <c r="H552" i="9"/>
  <c r="I552" i="9" s="1"/>
  <c r="Q552" i="9"/>
  <c r="H575" i="5"/>
  <c r="N574" i="5"/>
  <c r="O574" i="5"/>
  <c r="P574" i="5" s="1"/>
  <c r="H542" i="10"/>
  <c r="Q542" i="10" s="1"/>
  <c r="O541" i="10"/>
  <c r="P541" i="10" s="1"/>
  <c r="N541" i="10"/>
  <c r="I541" i="10"/>
  <c r="Q575" i="5" l="1"/>
  <c r="I575" i="5"/>
  <c r="H553" i="9"/>
  <c r="I553" i="9" s="1"/>
  <c r="N552" i="9"/>
  <c r="Q553" i="9"/>
  <c r="O552" i="9"/>
  <c r="P552" i="9" s="1"/>
  <c r="I542" i="10"/>
  <c r="N542" i="10"/>
  <c r="O542" i="10"/>
  <c r="P542" i="10" s="1"/>
  <c r="H543" i="10"/>
  <c r="Q543" i="10" s="1"/>
  <c r="O553" i="9" l="1"/>
  <c r="P553" i="9" s="1"/>
  <c r="N553" i="9"/>
  <c r="H554" i="9"/>
  <c r="I554" i="9" s="1"/>
  <c r="H576" i="5"/>
  <c r="I576" i="5" s="1"/>
  <c r="O575" i="5"/>
  <c r="P575" i="5" s="1"/>
  <c r="N575" i="5"/>
  <c r="H544" i="10"/>
  <c r="N543" i="10"/>
  <c r="O543" i="10"/>
  <c r="P543" i="10" s="1"/>
  <c r="I543" i="10"/>
  <c r="Q576" i="5" l="1"/>
  <c r="Q554" i="9"/>
  <c r="I544" i="10"/>
  <c r="Q544" i="10"/>
  <c r="H555" i="9" l="1"/>
  <c r="I555" i="9" s="1"/>
  <c r="O554" i="9"/>
  <c r="P554" i="9" s="1"/>
  <c r="N554" i="9"/>
  <c r="O576" i="5"/>
  <c r="P576" i="5" s="1"/>
  <c r="N576" i="5"/>
  <c r="H577" i="5"/>
  <c r="N544" i="10"/>
  <c r="H545" i="10"/>
  <c r="I545" i="10" s="1"/>
  <c r="O544" i="10"/>
  <c r="P544" i="10" s="1"/>
  <c r="Q555" i="9" l="1"/>
  <c r="Q577" i="5"/>
  <c r="I577" i="5"/>
  <c r="N555" i="9"/>
  <c r="H556" i="9"/>
  <c r="Q556" i="9" s="1"/>
  <c r="O555" i="9"/>
  <c r="P555" i="9" s="1"/>
  <c r="I556" i="9"/>
  <c r="Q545" i="10"/>
  <c r="N556" i="9" l="1"/>
  <c r="O556" i="9"/>
  <c r="P556" i="9" s="1"/>
  <c r="H557" i="9"/>
  <c r="Q557" i="9" s="1"/>
  <c r="I557" i="9"/>
  <c r="O577" i="5"/>
  <c r="P577" i="5" s="1"/>
  <c r="H578" i="5"/>
  <c r="I578" i="5" s="1"/>
  <c r="N577" i="5"/>
  <c r="N545" i="10"/>
  <c r="H546" i="10"/>
  <c r="I546" i="10" s="1"/>
  <c r="O545" i="10"/>
  <c r="P545" i="10" s="1"/>
  <c r="Q578" i="5" l="1"/>
  <c r="H558" i="9"/>
  <c r="I558" i="9" s="1"/>
  <c r="O557" i="9"/>
  <c r="P557" i="9" s="1"/>
  <c r="N557" i="9"/>
  <c r="Q546" i="10"/>
  <c r="H547" i="10" s="1"/>
  <c r="I547" i="10" s="1"/>
  <c r="Q558" i="9" l="1"/>
  <c r="N558" i="9"/>
  <c r="H559" i="9"/>
  <c r="I559" i="9" s="1"/>
  <c r="O558" i="9"/>
  <c r="P558" i="9" s="1"/>
  <c r="Q559" i="9"/>
  <c r="H579" i="5"/>
  <c r="O578" i="5"/>
  <c r="P578" i="5" s="1"/>
  <c r="N578" i="5"/>
  <c r="N546" i="10"/>
  <c r="Q547" i="10"/>
  <c r="N547" i="10" s="1"/>
  <c r="O546" i="10"/>
  <c r="P546" i="10" s="1"/>
  <c r="Q579" i="5" l="1"/>
  <c r="I579" i="5"/>
  <c r="O559" i="9"/>
  <c r="P559" i="9" s="1"/>
  <c r="N559" i="9"/>
  <c r="H560" i="9"/>
  <c r="I560" i="9" s="1"/>
  <c r="H548" i="10"/>
  <c r="O547" i="10"/>
  <c r="P547" i="10" s="1"/>
  <c r="Q560" i="9" l="1"/>
  <c r="N579" i="5"/>
  <c r="O579" i="5"/>
  <c r="P579" i="5" s="1"/>
  <c r="H580" i="5"/>
  <c r="Q580" i="5" s="1"/>
  <c r="I548" i="10"/>
  <c r="Q548" i="10"/>
  <c r="N580" i="5" l="1"/>
  <c r="O580" i="5"/>
  <c r="P580" i="5" s="1"/>
  <c r="H581" i="5"/>
  <c r="Q581" i="5" s="1"/>
  <c r="I580" i="5"/>
  <c r="I581" i="5" s="1"/>
  <c r="O560" i="9"/>
  <c r="P560" i="9" s="1"/>
  <c r="N560" i="9"/>
  <c r="H561" i="9"/>
  <c r="H549" i="10"/>
  <c r="Q549" i="10" s="1"/>
  <c r="N548" i="10"/>
  <c r="O548" i="10"/>
  <c r="P548" i="10" s="1"/>
  <c r="Q561" i="9" l="1"/>
  <c r="I561" i="9"/>
  <c r="N581" i="5"/>
  <c r="H582" i="5"/>
  <c r="Q582" i="5" s="1"/>
  <c r="O581" i="5"/>
  <c r="P581" i="5" s="1"/>
  <c r="I549" i="10"/>
  <c r="O549" i="10"/>
  <c r="P549" i="10" s="1"/>
  <c r="N549" i="10"/>
  <c r="H550" i="10"/>
  <c r="O582" i="5" l="1"/>
  <c r="P582" i="5" s="1"/>
  <c r="N582" i="5"/>
  <c r="H583" i="5"/>
  <c r="Q583" i="5" s="1"/>
  <c r="O561" i="9"/>
  <c r="P561" i="9" s="1"/>
  <c r="H562" i="9"/>
  <c r="Q562" i="9" s="1"/>
  <c r="N561" i="9"/>
  <c r="I562" i="9"/>
  <c r="I582" i="5"/>
  <c r="I550" i="10"/>
  <c r="Q550" i="10"/>
  <c r="O583" i="5" l="1"/>
  <c r="P583" i="5" s="1"/>
  <c r="H584" i="5"/>
  <c r="Q584" i="5" s="1"/>
  <c r="N583" i="5"/>
  <c r="N562" i="9"/>
  <c r="H563" i="9"/>
  <c r="Q563" i="9" s="1"/>
  <c r="O562" i="9"/>
  <c r="P562" i="9" s="1"/>
  <c r="I583" i="5"/>
  <c r="O550" i="10"/>
  <c r="P550" i="10" s="1"/>
  <c r="N550" i="10"/>
  <c r="H551" i="10"/>
  <c r="I551" i="10" s="1"/>
  <c r="N584" i="5" l="1"/>
  <c r="O584" i="5"/>
  <c r="P584" i="5" s="1"/>
  <c r="H585" i="5"/>
  <c r="Q585" i="5" s="1"/>
  <c r="I563" i="9"/>
  <c r="O563" i="9"/>
  <c r="P563" i="9" s="1"/>
  <c r="H564" i="9"/>
  <c r="Q564" i="9" s="1"/>
  <c r="N563" i="9"/>
  <c r="I584" i="5"/>
  <c r="Q551" i="10"/>
  <c r="N564" i="9" l="1"/>
  <c r="H565" i="9"/>
  <c r="Q565" i="9" s="1"/>
  <c r="O564" i="9"/>
  <c r="P564" i="9" s="1"/>
  <c r="I564" i="9"/>
  <c r="I565" i="9" s="1"/>
  <c r="O585" i="5"/>
  <c r="P585" i="5" s="1"/>
  <c r="N585" i="5"/>
  <c r="H586" i="5"/>
  <c r="I586" i="5" s="1"/>
  <c r="I585" i="5"/>
  <c r="H552" i="10"/>
  <c r="I552" i="10" s="1"/>
  <c r="N551" i="10"/>
  <c r="O551" i="10"/>
  <c r="P551" i="10" s="1"/>
  <c r="Q586" i="5" l="1"/>
  <c r="H566" i="9"/>
  <c r="Q566" i="9" s="1"/>
  <c r="O565" i="9"/>
  <c r="P565" i="9" s="1"/>
  <c r="N565" i="9"/>
  <c r="I566" i="9"/>
  <c r="Q552" i="10"/>
  <c r="N566" i="9" l="1"/>
  <c r="H567" i="9"/>
  <c r="Q567" i="9" s="1"/>
  <c r="O566" i="9"/>
  <c r="P566" i="9" s="1"/>
  <c r="I567" i="9"/>
  <c r="H587" i="5"/>
  <c r="N586" i="5"/>
  <c r="O586" i="5"/>
  <c r="P586" i="5" s="1"/>
  <c r="H553" i="10"/>
  <c r="N552" i="10"/>
  <c r="O552" i="10"/>
  <c r="P552" i="10" s="1"/>
  <c r="Q587" i="5" l="1"/>
  <c r="I587" i="5"/>
  <c r="O567" i="9"/>
  <c r="P567" i="9" s="1"/>
  <c r="H568" i="9"/>
  <c r="Q568" i="9" s="1"/>
  <c r="N567" i="9"/>
  <c r="Q553" i="10"/>
  <c r="I553" i="10"/>
  <c r="N568" i="9" l="1"/>
  <c r="O568" i="9"/>
  <c r="P568" i="9" s="1"/>
  <c r="H569" i="9"/>
  <c r="Q569" i="9" s="1"/>
  <c r="H588" i="5"/>
  <c r="I588" i="5" s="1"/>
  <c r="N587" i="5"/>
  <c r="O587" i="5"/>
  <c r="P587" i="5" s="1"/>
  <c r="I568" i="9"/>
  <c r="N553" i="10"/>
  <c r="O553" i="10"/>
  <c r="P553" i="10" s="1"/>
  <c r="H554" i="10"/>
  <c r="Q554" i="10" s="1"/>
  <c r="O569" i="9" l="1"/>
  <c r="P569" i="9" s="1"/>
  <c r="N569" i="9"/>
  <c r="H570" i="9"/>
  <c r="Q570" i="9" s="1"/>
  <c r="I569" i="9"/>
  <c r="I570" i="9" s="1"/>
  <c r="Q588" i="5"/>
  <c r="I554" i="10"/>
  <c r="H555" i="10"/>
  <c r="O554" i="10"/>
  <c r="P554" i="10" s="1"/>
  <c r="N554" i="10"/>
  <c r="O570" i="9" l="1"/>
  <c r="P570" i="9" s="1"/>
  <c r="H571" i="9"/>
  <c r="Q571" i="9" s="1"/>
  <c r="N570" i="9"/>
  <c r="N588" i="5"/>
  <c r="O588" i="5"/>
  <c r="P588" i="5" s="1"/>
  <c r="H589" i="5"/>
  <c r="I571" i="9"/>
  <c r="I555" i="10"/>
  <c r="Q555" i="10"/>
  <c r="Q589" i="5" l="1"/>
  <c r="I589" i="5"/>
  <c r="N571" i="9"/>
  <c r="O571" i="9"/>
  <c r="P571" i="9" s="1"/>
  <c r="H572" i="9"/>
  <c r="Q572" i="9" s="1"/>
  <c r="N555" i="10"/>
  <c r="H556" i="10"/>
  <c r="I556" i="10" s="1"/>
  <c r="O555" i="10"/>
  <c r="P555" i="10" s="1"/>
  <c r="O589" i="5" l="1"/>
  <c r="P589" i="5" s="1"/>
  <c r="N589" i="5"/>
  <c r="H590" i="5"/>
  <c r="Q590" i="5" s="1"/>
  <c r="O572" i="9"/>
  <c r="P572" i="9" s="1"/>
  <c r="H573" i="9"/>
  <c r="Q573" i="9" s="1"/>
  <c r="N572" i="9"/>
  <c r="I590" i="5"/>
  <c r="I572" i="9"/>
  <c r="Q556" i="10"/>
  <c r="O590" i="5" l="1"/>
  <c r="P590" i="5" s="1"/>
  <c r="H591" i="5"/>
  <c r="Q591" i="5" s="1"/>
  <c r="N590" i="5"/>
  <c r="I591" i="5"/>
  <c r="N573" i="9"/>
  <c r="O573" i="9"/>
  <c r="P573" i="9" s="1"/>
  <c r="H574" i="9"/>
  <c r="Q574" i="9" s="1"/>
  <c r="I573" i="9"/>
  <c r="O556" i="10"/>
  <c r="P556" i="10" s="1"/>
  <c r="H557" i="10"/>
  <c r="I557" i="10" s="1"/>
  <c r="N556" i="10"/>
  <c r="H592" i="5" l="1"/>
  <c r="O591" i="5"/>
  <c r="P591" i="5" s="1"/>
  <c r="N591" i="5"/>
  <c r="Q592" i="5"/>
  <c r="O574" i="9"/>
  <c r="P574" i="9" s="1"/>
  <c r="H575" i="9"/>
  <c r="Q575" i="9" s="1"/>
  <c r="N574" i="9"/>
  <c r="I592" i="5"/>
  <c r="I574" i="9"/>
  <c r="Q557" i="10"/>
  <c r="H576" i="9" l="1"/>
  <c r="Q576" i="9" s="1"/>
  <c r="N575" i="9"/>
  <c r="O575" i="9"/>
  <c r="P575" i="9" s="1"/>
  <c r="H593" i="5"/>
  <c r="I593" i="5" s="1"/>
  <c r="N592" i="5"/>
  <c r="O592" i="5"/>
  <c r="P592" i="5" s="1"/>
  <c r="Q593" i="5"/>
  <c r="I575" i="9"/>
  <c r="H558" i="10"/>
  <c r="I558" i="10" s="1"/>
  <c r="N557" i="10"/>
  <c r="O557" i="10"/>
  <c r="P557" i="10" s="1"/>
  <c r="N576" i="9" l="1"/>
  <c r="O576" i="9"/>
  <c r="P576" i="9" s="1"/>
  <c r="H577" i="9"/>
  <c r="Q577" i="9" s="1"/>
  <c r="H594" i="5"/>
  <c r="I594" i="5" s="1"/>
  <c r="N593" i="5"/>
  <c r="O593" i="5"/>
  <c r="P593" i="5" s="1"/>
  <c r="I576" i="9"/>
  <c r="I577" i="9" s="1"/>
  <c r="Q558" i="10"/>
  <c r="N577" i="9" l="1"/>
  <c r="H578" i="9"/>
  <c r="Q578" i="9" s="1"/>
  <c r="O577" i="9"/>
  <c r="P577" i="9" s="1"/>
  <c r="Q594" i="5"/>
  <c r="H559" i="10"/>
  <c r="I559" i="10" s="1"/>
  <c r="O558" i="10"/>
  <c r="P558" i="10" s="1"/>
  <c r="N558" i="10"/>
  <c r="N594" i="5" l="1"/>
  <c r="H595" i="5"/>
  <c r="I595" i="5" s="1"/>
  <c r="O594" i="5"/>
  <c r="P594" i="5" s="1"/>
  <c r="O578" i="9"/>
  <c r="P578" i="9" s="1"/>
  <c r="H579" i="9"/>
  <c r="Q579" i="9" s="1"/>
  <c r="N578" i="9"/>
  <c r="I578" i="9"/>
  <c r="I579" i="9" s="1"/>
  <c r="Q559" i="10"/>
  <c r="N579" i="9" l="1"/>
  <c r="H580" i="9"/>
  <c r="I580" i="9" s="1"/>
  <c r="O579" i="9"/>
  <c r="P579" i="9" s="1"/>
  <c r="Q595" i="5"/>
  <c r="O559" i="10"/>
  <c r="P559" i="10" s="1"/>
  <c r="N559" i="10"/>
  <c r="H560" i="10"/>
  <c r="I560" i="10" s="1"/>
  <c r="Q580" i="9" l="1"/>
  <c r="H596" i="5"/>
  <c r="O595" i="5"/>
  <c r="P595" i="5" s="1"/>
  <c r="N595" i="5"/>
  <c r="N580" i="9"/>
  <c r="H581" i="9"/>
  <c r="Q581" i="9" s="1"/>
  <c r="O580" i="9"/>
  <c r="P580" i="9" s="1"/>
  <c r="Q560" i="10"/>
  <c r="O581" i="9" l="1"/>
  <c r="P581" i="9" s="1"/>
  <c r="N581" i="9"/>
  <c r="H582" i="9"/>
  <c r="Q582" i="9" s="1"/>
  <c r="Q596" i="5"/>
  <c r="I596" i="5"/>
  <c r="I581" i="9"/>
  <c r="I582" i="9" s="1"/>
  <c r="N560" i="10"/>
  <c r="O560" i="10"/>
  <c r="P560" i="10" s="1"/>
  <c r="H561" i="10"/>
  <c r="I561" i="10" s="1"/>
  <c r="H583" i="9" l="1"/>
  <c r="Q583" i="9" s="1"/>
  <c r="O582" i="9"/>
  <c r="P582" i="9" s="1"/>
  <c r="N582" i="9"/>
  <c r="I583" i="9"/>
  <c r="N596" i="5"/>
  <c r="O596" i="5"/>
  <c r="P596" i="5" s="1"/>
  <c r="H597" i="5"/>
  <c r="Q597" i="5" s="1"/>
  <c r="Q561" i="10"/>
  <c r="I597" i="5" l="1"/>
  <c r="O597" i="5"/>
  <c r="P597" i="5" s="1"/>
  <c r="N597" i="5"/>
  <c r="H598" i="5"/>
  <c r="I598" i="5" s="1"/>
  <c r="Q598" i="5"/>
  <c r="O583" i="9"/>
  <c r="P583" i="9" s="1"/>
  <c r="H584" i="9"/>
  <c r="Q584" i="9" s="1"/>
  <c r="N583" i="9"/>
  <c r="N561" i="10"/>
  <c r="O561" i="10"/>
  <c r="P561" i="10" s="1"/>
  <c r="H562" i="10"/>
  <c r="I562" i="10" s="1"/>
  <c r="H585" i="9" l="1"/>
  <c r="Q585" i="9"/>
  <c r="N584" i="9"/>
  <c r="O584" i="9"/>
  <c r="P584" i="9" s="1"/>
  <c r="O598" i="5"/>
  <c r="P598" i="5" s="1"/>
  <c r="H599" i="5"/>
  <c r="Q599" i="5" s="1"/>
  <c r="N598" i="5"/>
  <c r="I584" i="9"/>
  <c r="I585" i="9" s="1"/>
  <c r="Q562" i="10"/>
  <c r="H600" i="5" l="1"/>
  <c r="O599" i="5"/>
  <c r="P599" i="5" s="1"/>
  <c r="Q600" i="5"/>
  <c r="N599" i="5"/>
  <c r="O585" i="9"/>
  <c r="P585" i="9" s="1"/>
  <c r="N585" i="9"/>
  <c r="H586" i="9"/>
  <c r="Q586" i="9" s="1"/>
  <c r="I599" i="5"/>
  <c r="I600" i="5" s="1"/>
  <c r="O562" i="10"/>
  <c r="P562" i="10" s="1"/>
  <c r="H563" i="10"/>
  <c r="I563" i="10" s="1"/>
  <c r="N562" i="10"/>
  <c r="N586" i="9" l="1"/>
  <c r="H587" i="9"/>
  <c r="Q587" i="9" s="1"/>
  <c r="O586" i="9"/>
  <c r="P586" i="9" s="1"/>
  <c r="H601" i="5"/>
  <c r="Q601" i="5" s="1"/>
  <c r="N600" i="5"/>
  <c r="O600" i="5"/>
  <c r="P600" i="5" s="1"/>
  <c r="I586" i="9"/>
  <c r="Q563" i="10"/>
  <c r="O587" i="9" l="1"/>
  <c r="P587" i="9" s="1"/>
  <c r="H588" i="9"/>
  <c r="Q588" i="9"/>
  <c r="N587" i="9"/>
  <c r="H602" i="5"/>
  <c r="Q602" i="5" s="1"/>
  <c r="O601" i="5"/>
  <c r="P601" i="5" s="1"/>
  <c r="N601" i="5"/>
  <c r="I601" i="5"/>
  <c r="I602" i="5" s="1"/>
  <c r="I587" i="9"/>
  <c r="H564" i="10"/>
  <c r="I564" i="10" s="1"/>
  <c r="O563" i="10"/>
  <c r="P563" i="10" s="1"/>
  <c r="N563" i="10"/>
  <c r="O602" i="5" l="1"/>
  <c r="P602" i="5" s="1"/>
  <c r="N602" i="5"/>
  <c r="H603" i="5"/>
  <c r="Q603" i="5" s="1"/>
  <c r="H589" i="9"/>
  <c r="Q589" i="9" s="1"/>
  <c r="N588" i="9"/>
  <c r="O588" i="9"/>
  <c r="P588" i="9" s="1"/>
  <c r="I588" i="9"/>
  <c r="I589" i="9" s="1"/>
  <c r="Q564" i="10"/>
  <c r="O589" i="9" l="1"/>
  <c r="P589" i="9" s="1"/>
  <c r="N589" i="9"/>
  <c r="H590" i="9"/>
  <c r="Q590" i="9" s="1"/>
  <c r="I590" i="9"/>
  <c r="N603" i="5"/>
  <c r="H604" i="5"/>
  <c r="Q604" i="5" s="1"/>
  <c r="O603" i="5"/>
  <c r="P603" i="5" s="1"/>
  <c r="I603" i="5"/>
  <c r="H565" i="10"/>
  <c r="I565" i="10" s="1"/>
  <c r="N564" i="10"/>
  <c r="O564" i="10"/>
  <c r="P564" i="10" s="1"/>
  <c r="H591" i="9" l="1"/>
  <c r="Q591" i="9" s="1"/>
  <c r="O590" i="9"/>
  <c r="P590" i="9" s="1"/>
  <c r="N590" i="9"/>
  <c r="O604" i="5"/>
  <c r="P604" i="5" s="1"/>
  <c r="N604" i="5"/>
  <c r="I591" i="9"/>
  <c r="I604" i="5"/>
  <c r="Q565" i="10"/>
  <c r="H592" i="9" l="1"/>
  <c r="I592" i="9" s="1"/>
  <c r="O591" i="9"/>
  <c r="P591" i="9" s="1"/>
  <c r="N591" i="9"/>
  <c r="Q592" i="9"/>
  <c r="O565" i="10"/>
  <c r="P565" i="10" s="1"/>
  <c r="H566" i="10"/>
  <c r="I566" i="10" s="1"/>
  <c r="N565" i="10"/>
  <c r="H593" i="9" l="1"/>
  <c r="I593" i="9" s="1"/>
  <c r="N592" i="9"/>
  <c r="Q593" i="9"/>
  <c r="O592" i="9"/>
  <c r="P592" i="9" s="1"/>
  <c r="Q566" i="10"/>
  <c r="H594" i="9" l="1"/>
  <c r="Q594" i="9" s="1"/>
  <c r="O593" i="9"/>
  <c r="P593" i="9" s="1"/>
  <c r="N593" i="9"/>
  <c r="I594" i="9"/>
  <c r="O566" i="10"/>
  <c r="P566" i="10" s="1"/>
  <c r="N566" i="10"/>
  <c r="H567" i="10"/>
  <c r="I567" i="10" s="1"/>
  <c r="N594" i="9" l="1"/>
  <c r="O594" i="9"/>
  <c r="P594" i="9" s="1"/>
  <c r="H595" i="9"/>
  <c r="I595" i="9" s="1"/>
  <c r="Q567" i="10"/>
  <c r="Q595" i="9" l="1"/>
  <c r="O567" i="10"/>
  <c r="P567" i="10" s="1"/>
  <c r="H568" i="10"/>
  <c r="N567" i="10"/>
  <c r="N595" i="9" l="1"/>
  <c r="H596" i="9"/>
  <c r="O595" i="9"/>
  <c r="P595" i="9" s="1"/>
  <c r="Q568" i="10"/>
  <c r="I568" i="10"/>
  <c r="Q596" i="9" l="1"/>
  <c r="I596" i="9"/>
  <c r="O568" i="10"/>
  <c r="P568" i="10" s="1"/>
  <c r="H569" i="10"/>
  <c r="Q569" i="10" s="1"/>
  <c r="N568" i="10"/>
  <c r="O596" i="9" l="1"/>
  <c r="P596" i="9" s="1"/>
  <c r="H597" i="9"/>
  <c r="Q597" i="9" s="1"/>
  <c r="N596" i="9"/>
  <c r="O569" i="10"/>
  <c r="P569" i="10" s="1"/>
  <c r="H570" i="10"/>
  <c r="Q570" i="10" s="1"/>
  <c r="N569" i="10"/>
  <c r="I569" i="10"/>
  <c r="O597" i="9" l="1"/>
  <c r="P597" i="9" s="1"/>
  <c r="H598" i="9"/>
  <c r="Q598" i="9" s="1"/>
  <c r="N597" i="9"/>
  <c r="I597" i="9"/>
  <c r="O570" i="10"/>
  <c r="P570" i="10" s="1"/>
  <c r="N570" i="10"/>
  <c r="H571" i="10"/>
  <c r="Q571" i="10" s="1"/>
  <c r="I570" i="10"/>
  <c r="I598" i="9" l="1"/>
  <c r="O598" i="9"/>
  <c r="P598" i="9" s="1"/>
  <c r="H599" i="9"/>
  <c r="Q599" i="9" s="1"/>
  <c r="N598" i="9"/>
  <c r="N571" i="10"/>
  <c r="H572" i="10"/>
  <c r="Q572" i="10" s="1"/>
  <c r="O571" i="10"/>
  <c r="P571" i="10" s="1"/>
  <c r="I571" i="10"/>
  <c r="I599" i="9" l="1"/>
  <c r="N599" i="9"/>
  <c r="H600" i="9"/>
  <c r="Q600" i="9" s="1"/>
  <c r="O599" i="9"/>
  <c r="P599" i="9" s="1"/>
  <c r="O572" i="10"/>
  <c r="P572" i="10" s="1"/>
  <c r="H573" i="10"/>
  <c r="Q573" i="10" s="1"/>
  <c r="N572" i="10"/>
  <c r="I572" i="10"/>
  <c r="O600" i="9" l="1"/>
  <c r="P600" i="9" s="1"/>
  <c r="H601" i="9"/>
  <c r="N600" i="9"/>
  <c r="I600" i="9"/>
  <c r="N573" i="10"/>
  <c r="O573" i="10"/>
  <c r="P573" i="10" s="1"/>
  <c r="H574" i="10"/>
  <c r="Q574" i="10" s="1"/>
  <c r="I573" i="10"/>
  <c r="I601" i="9" l="1"/>
  <c r="Q601" i="9"/>
  <c r="N574" i="10"/>
  <c r="H575" i="10"/>
  <c r="Q575" i="10" s="1"/>
  <c r="O574" i="10"/>
  <c r="P574" i="10" s="1"/>
  <c r="I574" i="10"/>
  <c r="H602" i="9" l="1"/>
  <c r="Q602" i="9" s="1"/>
  <c r="O601" i="9"/>
  <c r="P601" i="9" s="1"/>
  <c r="N601" i="9"/>
  <c r="I602" i="9"/>
  <c r="H576" i="10"/>
  <c r="Q576" i="10" s="1"/>
  <c r="O575" i="10"/>
  <c r="P575" i="10" s="1"/>
  <c r="N575" i="10"/>
  <c r="I575" i="10"/>
  <c r="H603" i="9" l="1"/>
  <c r="I603" i="9" s="1"/>
  <c r="N602" i="9"/>
  <c r="O602" i="9"/>
  <c r="P602" i="9" s="1"/>
  <c r="N576" i="10"/>
  <c r="H577" i="10"/>
  <c r="Q577" i="10" s="1"/>
  <c r="O576" i="10"/>
  <c r="P576" i="10" s="1"/>
  <c r="I576" i="10"/>
  <c r="Q603" i="9" l="1"/>
  <c r="H578" i="10"/>
  <c r="Q578" i="10" s="1"/>
  <c r="N577" i="10"/>
  <c r="O577" i="10"/>
  <c r="P577" i="10" s="1"/>
  <c r="I577" i="10"/>
  <c r="O603" i="9" l="1"/>
  <c r="P603" i="9" s="1"/>
  <c r="H604" i="9"/>
  <c r="I604" i="9" s="1"/>
  <c r="N603" i="9"/>
  <c r="H579" i="10"/>
  <c r="Q579" i="10" s="1"/>
  <c r="N578" i="10"/>
  <c r="O578" i="10"/>
  <c r="P578" i="10" s="1"/>
  <c r="I578" i="10"/>
  <c r="Q604" i="9" l="1"/>
  <c r="N579" i="10"/>
  <c r="H580" i="10"/>
  <c r="Q580" i="10" s="1"/>
  <c r="O579" i="10"/>
  <c r="P579" i="10" s="1"/>
  <c r="I579" i="10"/>
  <c r="N604" i="9" l="1"/>
  <c r="O604" i="9"/>
  <c r="P604" i="9" s="1"/>
  <c r="O580" i="10"/>
  <c r="P580" i="10" s="1"/>
  <c r="N580" i="10"/>
  <c r="H581" i="10"/>
  <c r="Q581" i="10" s="1"/>
  <c r="I580" i="10"/>
  <c r="O581" i="10" l="1"/>
  <c r="P581" i="10" s="1"/>
  <c r="N581" i="10"/>
  <c r="H582" i="10"/>
  <c r="Q582" i="10" s="1"/>
  <c r="I581" i="10"/>
  <c r="H583" i="10" l="1"/>
  <c r="Q583" i="10" s="1"/>
  <c r="N582" i="10"/>
  <c r="O582" i="10"/>
  <c r="P582" i="10" s="1"/>
  <c r="I582" i="10"/>
  <c r="H584" i="10" l="1"/>
  <c r="Q584" i="10" s="1"/>
  <c r="N583" i="10"/>
  <c r="O583" i="10"/>
  <c r="P583" i="10" s="1"/>
  <c r="I583" i="10"/>
  <c r="O584" i="10" l="1"/>
  <c r="P584" i="10" s="1"/>
  <c r="N584" i="10"/>
  <c r="H585" i="10"/>
  <c r="Q585" i="10" s="1"/>
  <c r="I584" i="10"/>
  <c r="O585" i="10" l="1"/>
  <c r="P585" i="10" s="1"/>
  <c r="N585" i="10"/>
  <c r="H586" i="10"/>
  <c r="Q586" i="10" s="1"/>
  <c r="I585" i="10"/>
  <c r="H587" i="10" l="1"/>
  <c r="Q587" i="10" s="1"/>
  <c r="O586" i="10"/>
  <c r="P586" i="10" s="1"/>
  <c r="N586" i="10"/>
  <c r="I586" i="10"/>
  <c r="H588" i="10" l="1"/>
  <c r="Q588" i="10" s="1"/>
  <c r="N587" i="10"/>
  <c r="O587" i="10"/>
  <c r="P587" i="10" s="1"/>
  <c r="I587" i="10"/>
  <c r="O588" i="10" l="1"/>
  <c r="P588" i="10" s="1"/>
  <c r="N588" i="10"/>
  <c r="H589" i="10"/>
  <c r="Q589" i="10" s="1"/>
  <c r="I588" i="10"/>
  <c r="H590" i="10" l="1"/>
  <c r="Q590" i="10" s="1"/>
  <c r="O589" i="10"/>
  <c r="P589" i="10" s="1"/>
  <c r="N589" i="10"/>
  <c r="I589" i="10"/>
  <c r="H591" i="10" l="1"/>
  <c r="Q591" i="10" s="1"/>
  <c r="O590" i="10"/>
  <c r="P590" i="10" s="1"/>
  <c r="N590" i="10"/>
  <c r="I590" i="10"/>
  <c r="O591" i="10" l="1"/>
  <c r="P591" i="10" s="1"/>
  <c r="N591" i="10"/>
  <c r="H592" i="10"/>
  <c r="Q592" i="10" s="1"/>
  <c r="I591" i="10"/>
  <c r="N592" i="10" l="1"/>
  <c r="O592" i="10"/>
  <c r="P592" i="10" s="1"/>
  <c r="H593" i="10"/>
  <c r="I592" i="10"/>
  <c r="I593" i="10" l="1"/>
  <c r="Q593" i="10"/>
  <c r="N593" i="10" l="1"/>
  <c r="H594" i="10"/>
  <c r="I594" i="10" s="1"/>
  <c r="O593" i="10"/>
  <c r="P593" i="10" s="1"/>
  <c r="Q594" i="10" l="1"/>
  <c r="N594" i="10" l="1"/>
  <c r="H595" i="10"/>
  <c r="I595" i="10" s="1"/>
  <c r="O594" i="10"/>
  <c r="P594" i="10" s="1"/>
  <c r="Q595" i="10" l="1"/>
  <c r="O595" i="10" l="1"/>
  <c r="P595" i="10" s="1"/>
  <c r="N595" i="10"/>
  <c r="H596" i="10"/>
  <c r="I596" i="10" s="1"/>
  <c r="Q596" i="10" l="1"/>
  <c r="O596" i="10" l="1"/>
  <c r="P596" i="10" s="1"/>
  <c r="N596" i="10"/>
  <c r="H597" i="10"/>
  <c r="Q597" i="10" l="1"/>
  <c r="I597" i="10"/>
  <c r="H598" i="10" l="1"/>
  <c r="I598" i="10" s="1"/>
  <c r="O597" i="10"/>
  <c r="P597" i="10" s="1"/>
  <c r="N597" i="10"/>
  <c r="Q598" i="10" l="1"/>
  <c r="N598" i="10" l="1"/>
  <c r="H599" i="10"/>
  <c r="I599" i="10" s="1"/>
  <c r="O598" i="10"/>
  <c r="P598" i="10" s="1"/>
  <c r="Q599" i="10" l="1"/>
  <c r="N599" i="10" l="1"/>
  <c r="O599" i="10"/>
  <c r="P599" i="10" s="1"/>
  <c r="H600" i="10"/>
  <c r="I600" i="10" s="1"/>
  <c r="Q600" i="10" l="1"/>
  <c r="H601" i="10" l="1"/>
  <c r="I601" i="10" s="1"/>
  <c r="N600" i="10"/>
  <c r="O600" i="10"/>
  <c r="P600" i="10" s="1"/>
  <c r="Q601" i="10" l="1"/>
  <c r="N601" i="10" l="1"/>
  <c r="H602" i="10"/>
  <c r="O601" i="10"/>
  <c r="P601" i="10" s="1"/>
  <c r="Q602" i="10" l="1"/>
  <c r="I602" i="10"/>
  <c r="N602" i="10" l="1"/>
  <c r="O602" i="10"/>
  <c r="P602" i="10" s="1"/>
  <c r="H603" i="10"/>
  <c r="Q603" i="10" s="1"/>
  <c r="H604" i="10" l="1"/>
  <c r="Q604" i="10" s="1"/>
  <c r="N603" i="10"/>
  <c r="O603" i="10"/>
  <c r="P603" i="10" s="1"/>
  <c r="I603" i="10"/>
  <c r="I604" i="10" l="1"/>
  <c r="O604" i="10"/>
  <c r="P604" i="10" s="1"/>
  <c r="N604" i="10"/>
</calcChain>
</file>

<file path=xl/sharedStrings.xml><?xml version="1.0" encoding="utf-8"?>
<sst xmlns="http://schemas.openxmlformats.org/spreadsheetml/2006/main" count="436" uniqueCount="167">
  <si>
    <t>Capital Inicial</t>
  </si>
  <si>
    <t>Inflação</t>
  </si>
  <si>
    <t>Anos</t>
  </si>
  <si>
    <t>Não</t>
  </si>
  <si>
    <t>Mês</t>
  </si>
  <si>
    <t>Ano</t>
  </si>
  <si>
    <t>Depósito</t>
  </si>
  <si>
    <t>Acumulado</t>
  </si>
  <si>
    <t>Juros</t>
  </si>
  <si>
    <t>Valor Total</t>
  </si>
  <si>
    <t>Valor Presente</t>
  </si>
  <si>
    <t>Gráfico Patrimônio</t>
  </si>
  <si>
    <t>Taxa da Aplicação</t>
  </si>
  <si>
    <t>Período de Aplicação</t>
  </si>
  <si>
    <t>Crescimento Salário</t>
  </si>
  <si>
    <t>Planejamento Financeiro</t>
  </si>
  <si>
    <t>Sim</t>
  </si>
  <si>
    <t>Corrigir Aportes pela inflação?</t>
  </si>
  <si>
    <t>Corrigir Patrimônio pela inflação?</t>
  </si>
  <si>
    <t>Anual</t>
  </si>
  <si>
    <t>Mensal</t>
  </si>
  <si>
    <t>Meses</t>
  </si>
  <si>
    <t>Começar planejamento</t>
  </si>
  <si>
    <t>Este mês</t>
  </si>
  <si>
    <t>Próximo Mês</t>
  </si>
  <si>
    <t>Mês Atual</t>
  </si>
  <si>
    <t>Incluir Imposto de Renda?</t>
  </si>
  <si>
    <t>Dados Gráfico</t>
  </si>
  <si>
    <t>Name Manager</t>
  </si>
  <si>
    <t xml:space="preserve"> ='HC Investimentos - Planejador Financeiro.xlsx'!total</t>
  </si>
  <si>
    <t>A %</t>
  </si>
  <si>
    <t>J %</t>
  </si>
  <si>
    <t>I %</t>
  </si>
  <si>
    <t>Aportes</t>
  </si>
  <si>
    <t>Quanto você possui hoje que será destinado para aplicações?</t>
  </si>
  <si>
    <t>Faça com que seus aportes crescam na mesma medida da inflação esperada</t>
  </si>
  <si>
    <t>%J = %A</t>
  </si>
  <si>
    <t>J = A</t>
  </si>
  <si>
    <t>Patrimônio</t>
  </si>
  <si>
    <t>Juros R</t>
  </si>
  <si>
    <t>Acumulado R</t>
  </si>
  <si>
    <t>JR %</t>
  </si>
  <si>
    <t>% Aportes</t>
  </si>
  <si>
    <t>Juros %</t>
  </si>
  <si>
    <t>% A</t>
  </si>
  <si>
    <t>% J</t>
  </si>
  <si>
    <t>Valor</t>
  </si>
  <si>
    <t>Auxiliar - Dados de 5 em 5 anos</t>
  </si>
  <si>
    <t>Auxiliar - Dados Principais de Análise</t>
  </si>
  <si>
    <t>Valor Nominal</t>
  </si>
  <si>
    <t>Capital Inicial + Aportes</t>
  </si>
  <si>
    <t>Juros Acumulados Nominal</t>
  </si>
  <si>
    <t>Juros Acumulados Real</t>
  </si>
  <si>
    <t>1 Milhão em</t>
  </si>
  <si>
    <t>Auxiliar - Quando irá alcançar?</t>
  </si>
  <si>
    <t>Auxiliar - Valores no final do planejamento</t>
  </si>
  <si>
    <t xml:space="preserve"> ='HC Investimentos - Planejador Financeiro.xlsx'!Total</t>
  </si>
  <si>
    <t xml:space="preserve"> ='HC Investimentos - Planejador Financeiro.xlsx'!Presente</t>
  </si>
  <si>
    <t xml:space="preserve"> =Calc!$R$5:OFFSET(Calc!$R$5;Calc!$AB$5;0)</t>
  </si>
  <si>
    <t xml:space="preserve"> =Calc!$Q$5:OFFSET(Calc!$Q$5;Calc!$AB$5;0)</t>
  </si>
  <si>
    <t>Nome planilha</t>
  </si>
  <si>
    <t>Match</t>
  </si>
  <si>
    <t>Auxiliar - Dados para Auxiliar 5 em 5 anos</t>
  </si>
  <si>
    <t>Offset Mês</t>
  </si>
  <si>
    <t>Offset ano</t>
  </si>
  <si>
    <t xml:space="preserve"> ='HC Investimentos - Planejador Financeiro.xlsx'!Data</t>
  </si>
  <si>
    <t xml:space="preserve"> =Calc!$U$5:OFFSET(Calc!$U$5;Calc!$AC$4;0)</t>
  </si>
  <si>
    <t>Data_Anual</t>
  </si>
  <si>
    <t>Data_Mensal</t>
  </si>
  <si>
    <t>Valor_Total</t>
  </si>
  <si>
    <t>Valor_Presente</t>
  </si>
  <si>
    <t xml:space="preserve"> =Calc!$V$5:OFFSET(Calc!$V$5;Calc!$AC$6;0)</t>
  </si>
  <si>
    <t>Patrimônio_Anual</t>
  </si>
  <si>
    <t xml:space="preserve"> =Calc!$X$5:OFFSET(Calc!$X$5;Calc!$AC$6;0)</t>
  </si>
  <si>
    <t xml:space="preserve"> ='HC Investimentos - Planejador Financeiro.xlsx'!Data_Anual</t>
  </si>
  <si>
    <t xml:space="preserve"> ='HC Investimentos - Planejador Financeiro.xlsx'!Patrimônio_Anual</t>
  </si>
  <si>
    <r>
      <rPr>
        <b/>
        <sz val="12"/>
        <color indexed="62"/>
        <rFont val="Calibri"/>
        <family val="2"/>
      </rPr>
      <t>% Aportes</t>
    </r>
    <r>
      <rPr>
        <b/>
        <sz val="12"/>
        <color indexed="59"/>
        <rFont val="Calibri"/>
        <family val="2"/>
      </rPr>
      <t xml:space="preserve"> </t>
    </r>
    <r>
      <rPr>
        <sz val="12"/>
        <color indexed="23"/>
        <rFont val="Calibri"/>
        <family val="2"/>
      </rPr>
      <t>|</t>
    </r>
    <r>
      <rPr>
        <b/>
        <sz val="12"/>
        <color indexed="59"/>
        <rFont val="Calibri"/>
        <family val="2"/>
      </rPr>
      <t xml:space="preserve"> </t>
    </r>
    <r>
      <rPr>
        <b/>
        <sz val="12"/>
        <color indexed="57"/>
        <rFont val="Calibri"/>
        <family val="2"/>
      </rPr>
      <t>Juros %</t>
    </r>
  </si>
  <si>
    <t>% de juros sobre o total</t>
  </si>
  <si>
    <t>% de capital próprio sobre o total</t>
  </si>
  <si>
    <t>Capital Inicial + Aportes:</t>
  </si>
  <si>
    <t>Valor ganho em Juros:</t>
  </si>
  <si>
    <t>Distribuição % Aportes e % Juros no Patrimônio</t>
  </si>
  <si>
    <t>Aportes têm maior imporância no início do que no final</t>
  </si>
  <si>
    <t>Valores tomam a forma de uma exponencial ao longo do tempo</t>
  </si>
  <si>
    <t>Evolução do Patrimônio</t>
  </si>
  <si>
    <t>Alcançará R$ 1 Milhão em:</t>
  </si>
  <si>
    <t>Auxiliar - Variáveis</t>
  </si>
  <si>
    <t>Patrimônio Real</t>
  </si>
  <si>
    <t>Patrimônio Nominal</t>
  </si>
  <si>
    <t>Com IR</t>
  </si>
  <si>
    <t>Sem IR</t>
  </si>
  <si>
    <t>Com Crescimento Salárial</t>
  </si>
  <si>
    <t>Sem Crescimento Salárial</t>
  </si>
  <si>
    <t>Todas Variáveis</t>
  </si>
  <si>
    <r>
      <t xml:space="preserve">Variáveis Utilizadas </t>
    </r>
    <r>
      <rPr>
        <sz val="8"/>
        <color indexed="44"/>
        <rFont val="Calibri"/>
        <family val="2"/>
      </rPr>
      <t>↓</t>
    </r>
  </si>
  <si>
    <t>Evolução do Patrimônio de 5 em 5 anos</t>
  </si>
  <si>
    <t>Dashboard - Análise dos itens mais importantes</t>
  </si>
  <si>
    <t>Dados Iniciais</t>
  </si>
  <si>
    <t>Nova Simulação</t>
  </si>
  <si>
    <t>R$ 1 Milhão em:</t>
  </si>
  <si>
    <r>
      <t xml:space="preserve">Dados Iniciais </t>
    </r>
    <r>
      <rPr>
        <b/>
        <sz val="11"/>
        <color indexed="60"/>
        <rFont val="Calibri"/>
        <family val="2"/>
      </rPr>
      <t>↓</t>
    </r>
  </si>
  <si>
    <r>
      <t>Nova Simulação</t>
    </r>
    <r>
      <rPr>
        <b/>
        <sz val="11"/>
        <color indexed="30"/>
        <rFont val="Calibri"/>
        <family val="2"/>
      </rPr>
      <t>↓</t>
    </r>
  </si>
  <si>
    <r>
      <t xml:space="preserve">Variação </t>
    </r>
    <r>
      <rPr>
        <b/>
        <sz val="11"/>
        <color indexed="63"/>
        <rFont val="Calibri"/>
        <family val="2"/>
      </rPr>
      <t>↓</t>
    </r>
  </si>
  <si>
    <t xml:space="preserve"> ='Calc (2)'!$X$5:OFFSET('Calc (2)'!$X$5;'Calc (2)'!$AC$6;0)</t>
  </si>
  <si>
    <t xml:space="preserve"> ='Calc (2)'!$V$5:OFFSET('Calc (2)'!$V$5;'Calc (2)'!$AC$6;0)</t>
  </si>
  <si>
    <t xml:space="preserve"> ='HC Investimentos - Planejador Financeiro.xlsx'!Data_Anual2</t>
  </si>
  <si>
    <t xml:space="preserve"> ='HC Investimentos - Planejador Financeiro.xlsx'!Patrimônio_Anual2</t>
  </si>
  <si>
    <t>Distribuição % Aportes e % Juros no Patrimônio (Nova Simulação)</t>
  </si>
  <si>
    <r>
      <t xml:space="preserve">Indicadores </t>
    </r>
    <r>
      <rPr>
        <b/>
        <sz val="11"/>
        <color indexed="63"/>
        <rFont val="Calibri"/>
        <family val="2"/>
      </rPr>
      <t>↓</t>
    </r>
  </si>
  <si>
    <t>Patrimônio Acumulado:</t>
  </si>
  <si>
    <r>
      <t xml:space="preserve">% de juros sobre o total </t>
    </r>
    <r>
      <rPr>
        <sz val="10"/>
        <color indexed="55"/>
        <rFont val="Calibri"/>
        <family val="2"/>
      </rPr>
      <t>→</t>
    </r>
  </si>
  <si>
    <r>
      <t xml:space="preserve">% de capital próprio sobre total </t>
    </r>
    <r>
      <rPr>
        <sz val="9"/>
        <color indexed="55"/>
        <rFont val="Calibri"/>
        <family val="2"/>
      </rPr>
      <t>→</t>
    </r>
  </si>
  <si>
    <t>Auxiliar</t>
  </si>
  <si>
    <t>Referências para name manager e gráficos</t>
  </si>
  <si>
    <t>Comparação de Resultados</t>
  </si>
  <si>
    <r>
      <t xml:space="preserve">Ajuda </t>
    </r>
    <r>
      <rPr>
        <sz val="10"/>
        <color indexed="30"/>
        <rFont val="Calibri"/>
        <family val="2"/>
      </rPr>
      <t>→</t>
    </r>
  </si>
  <si>
    <r>
      <t xml:space="preserve">Preencha somente as células com fundo </t>
    </r>
    <r>
      <rPr>
        <b/>
        <sz val="11"/>
        <color indexed="23"/>
        <rFont val="Calibri"/>
        <family val="2"/>
      </rPr>
      <t>cinza</t>
    </r>
    <r>
      <rPr>
        <sz val="11"/>
        <color indexed="23"/>
        <rFont val="Calibri"/>
        <family val="2"/>
      </rPr>
      <t xml:space="preserve"> e texto com cor </t>
    </r>
    <r>
      <rPr>
        <b/>
        <sz val="11"/>
        <color indexed="30"/>
        <rFont val="Calibri"/>
        <family val="2"/>
      </rPr>
      <t>azul</t>
    </r>
    <r>
      <rPr>
        <sz val="11"/>
        <color indexed="23"/>
        <rFont val="Calibri"/>
        <family val="2"/>
      </rPr>
      <t>.</t>
    </r>
  </si>
  <si>
    <r>
      <t xml:space="preserve">Clique no </t>
    </r>
    <r>
      <rPr>
        <sz val="16"/>
        <color indexed="23"/>
        <rFont val="Calibri"/>
        <family val="2"/>
      </rPr>
      <t>□</t>
    </r>
    <r>
      <rPr>
        <sz val="11"/>
        <color indexed="23"/>
        <rFont val="Calibri"/>
        <family val="2"/>
      </rPr>
      <t xml:space="preserve"> </t>
    </r>
    <r>
      <rPr>
        <sz val="11"/>
        <color indexed="23"/>
        <rFont val="Calibri"/>
        <family val="2"/>
      </rPr>
      <t>para ativar ajuda</t>
    </r>
  </si>
  <si>
    <t>Defina o tempo de aplicação de seus investimentos. Prazo máximo = 50 anos.</t>
  </si>
  <si>
    <t>Estime a inflação para a simulação - Meta do Banco Central = 4,5% a.a.</t>
  </si>
  <si>
    <t>Quanto você consegue juntar para adicionar ao seu planejamento?</t>
  </si>
  <si>
    <t>Defina a rentabilidade média esperada de seus investimentos. Valores razoáveis entre 6% e 20% a.a.</t>
  </si>
  <si>
    <t>Defina se começará suas aplicações neste mês ou somente no próximo.</t>
  </si>
  <si>
    <t>Inclua o efeito da inflação nos seu planejamento - Adequado para resultados reais</t>
  </si>
  <si>
    <t>Utilizar crescimento dos aportes?</t>
  </si>
  <si>
    <r>
      <t xml:space="preserve">Taxa de crescimento </t>
    </r>
    <r>
      <rPr>
        <u/>
        <sz val="11"/>
        <color indexed="55"/>
        <rFont val="Calibri"/>
        <family val="2"/>
      </rPr>
      <t>anual</t>
    </r>
    <r>
      <rPr>
        <sz val="11"/>
        <color indexed="55"/>
        <rFont val="Calibri"/>
        <family val="2"/>
      </rPr>
      <t xml:space="preserve"> dos aportes para seguir crescimento salarial. Padrão = 5%</t>
    </r>
  </si>
  <si>
    <t>Considere o IR como custo de transação. 15% é adequado para o longo prazo</t>
  </si>
  <si>
    <t>k = Mil  |  1.000 k = 1 milhão</t>
  </si>
  <si>
    <t>Resultados Planejamento</t>
  </si>
  <si>
    <t xml:space="preserve"> ='Calc (3)'!$X$5:OFFSET('Calc (3)'!$X$5;'Calc (3)'!$AC$6;0)</t>
  </si>
  <si>
    <t xml:space="preserve"> ='Calc (3)'!$v$5:OFFSET('Calc (3)'!$v$5;'Calc (3)'!$AC$6;0)</t>
  </si>
  <si>
    <t xml:space="preserve"> ='HC Investimentos - Planejador Financeiro.xlsx'!Data_Anual3</t>
  </si>
  <si>
    <t xml:space="preserve"> ='HC Investimentos - Planejador Financeiro.xlsx'!Patrimônio_Anual3</t>
  </si>
  <si>
    <t>Data_Anual_2</t>
  </si>
  <si>
    <t>Patrimônio_Anual_2</t>
  </si>
  <si>
    <t>Data_Anual_3</t>
  </si>
  <si>
    <t>Patrimônio_Anual_3</t>
  </si>
  <si>
    <r>
      <t xml:space="preserve">Altere apenas os dados em </t>
    </r>
    <r>
      <rPr>
        <sz val="10"/>
        <color indexed="60"/>
        <rFont val="Calibri"/>
        <family val="2"/>
      </rPr>
      <t>vermelho</t>
    </r>
    <r>
      <rPr>
        <sz val="10"/>
        <color indexed="63"/>
        <rFont val="Calibri"/>
        <family val="2"/>
      </rPr>
      <t xml:space="preserve"> e </t>
    </r>
    <r>
      <rPr>
        <sz val="10"/>
        <color indexed="30"/>
        <rFont val="Calibri"/>
        <family val="2"/>
      </rPr>
      <t>azul</t>
    </r>
  </si>
  <si>
    <t>Patrimônio Efetivo</t>
  </si>
  <si>
    <t>Juros Efetivos</t>
  </si>
  <si>
    <t>Check Box</t>
  </si>
  <si>
    <t>Explorar Recursos Avançados</t>
  </si>
  <si>
    <t>Personalize seu planejamento financeiro</t>
  </si>
  <si>
    <t>Este Mês</t>
  </si>
  <si>
    <t>k = Mil</t>
  </si>
  <si>
    <t>=Calc!$AF$27</t>
  </si>
  <si>
    <t>Capital_Inicial</t>
  </si>
  <si>
    <t>=Calc!$AD$26</t>
  </si>
  <si>
    <t>Crescimento_Salário</t>
  </si>
  <si>
    <t>=Calc!$AF$35</t>
  </si>
  <si>
    <t>=Calc!$X$5:OFFSET(Calc!$X$5;Calc!$AC$6;0)</t>
  </si>
  <si>
    <t>='Calc (2)'!$X$5:OFFSET('Calc (2)'!$X$5;'Calc (2)'!$AC$6;0)</t>
  </si>
  <si>
    <t>='Calc (3)'!$X$5:OFFSET('Calc (3)'!$X$5;'Calc (3)'!$AC$6;0)</t>
  </si>
  <si>
    <t>=Calc!$U$5:OFFSET(Calc!$U$5;Calc!$AC$4;0)</t>
  </si>
  <si>
    <t>=Calc!$AF$30</t>
  </si>
  <si>
    <t>Mês_Atual</t>
  </si>
  <si>
    <t>=Calc!$AF$4</t>
  </si>
  <si>
    <t>=Calc!$V$5:OFFSET(Calc!$V$5;Calc!$AC$6;0)</t>
  </si>
  <si>
    <t>='Calc (2)'!$V$5:OFFSET('Calc (2)'!$V$5;'Calc (2)'!$AC$6;0)</t>
  </si>
  <si>
    <t>='Calc (3)'!$V$5:OFFSET('Calc (3)'!$V$5;'Calc (3)'!$AC$6;0)</t>
  </si>
  <si>
    <t>Período</t>
  </si>
  <si>
    <t>=Calc!$AF$29</t>
  </si>
  <si>
    <t>Taxa</t>
  </si>
  <si>
    <t>=Calc!$AF$28</t>
  </si>
  <si>
    <t>=Calc!$R$5:OFFSET(Calc!$R$5;Calc!$AC$4;0)</t>
  </si>
  <si>
    <t>=Calc!$Q$5:OFFSET(Calc!$Q$5;Calc!$AC$4;0)</t>
  </si>
  <si>
    <t>Name Manager (Apertando F3)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</si>
</sst>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_(* #,##0.00_);_(* \(#,##0.00\);_(* &quot;-&quot;??_);_(@_)"/>
    <numFmt numFmtId="165" formatCode="_([$€]* #,##0.00_);_([$€]* \(#,##0.00\);_([$€]* &quot;-&quot;??_);_(@_)"/>
    <numFmt numFmtId="166" formatCode="[$-416]mmm\-yy;@"/>
    <numFmt numFmtId="167" formatCode="&quot;R$ &quot;#,##0"/>
    <numFmt numFmtId="168" formatCode="&quot;R$ &quot;#,##0.00"/>
    <numFmt numFmtId="169" formatCode="mmmm/yyyy"/>
    <numFmt numFmtId="170" formatCode="yyyy"/>
    <numFmt numFmtId="171" formatCode="dd/mm/yy;@"/>
  </numFmts>
  <fonts count="98" x14ac:knownFonts="1">
    <font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color indexed="62"/>
      <name val="Cambria"/>
      <family val="2"/>
    </font>
    <font>
      <sz val="10"/>
      <color indexed="63"/>
      <name val="Calibri"/>
      <family val="2"/>
    </font>
    <font>
      <sz val="10"/>
      <color indexed="30"/>
      <name val="Calibri"/>
      <family val="2"/>
    </font>
    <font>
      <sz val="11"/>
      <color indexed="55"/>
      <name val="Calibri"/>
      <family val="2"/>
    </font>
    <font>
      <b/>
      <sz val="12"/>
      <color indexed="59"/>
      <name val="Calibri"/>
      <family val="2"/>
    </font>
    <font>
      <b/>
      <sz val="12"/>
      <color indexed="57"/>
      <name val="Calibri"/>
      <family val="2"/>
    </font>
    <font>
      <sz val="12"/>
      <color indexed="23"/>
      <name val="Calibri"/>
      <family val="2"/>
    </font>
    <font>
      <b/>
      <sz val="12"/>
      <color indexed="62"/>
      <name val="Calibri"/>
      <family val="2"/>
    </font>
    <font>
      <b/>
      <sz val="11"/>
      <color indexed="30"/>
      <name val="Calibri"/>
      <family val="2"/>
    </font>
    <font>
      <sz val="8"/>
      <color indexed="44"/>
      <name val="Calibri"/>
      <family val="2"/>
    </font>
    <font>
      <b/>
      <sz val="11"/>
      <color indexed="60"/>
      <name val="Calibri"/>
      <family val="2"/>
    </font>
    <font>
      <sz val="10"/>
      <color indexed="60"/>
      <name val="Calibri"/>
      <family val="2"/>
    </font>
    <font>
      <sz val="10"/>
      <color indexed="55"/>
      <name val="Calibri"/>
      <family val="2"/>
    </font>
    <font>
      <sz val="9"/>
      <color indexed="55"/>
      <name val="Calibri"/>
      <family val="2"/>
    </font>
    <font>
      <sz val="11"/>
      <color indexed="23"/>
      <name val="Calibri"/>
      <family val="2"/>
    </font>
    <font>
      <sz val="16"/>
      <color indexed="23"/>
      <name val="Calibri"/>
      <family val="2"/>
    </font>
    <font>
      <b/>
      <sz val="11"/>
      <color indexed="23"/>
      <name val="Calibri"/>
      <family val="2"/>
    </font>
    <font>
      <u/>
      <sz val="11"/>
      <color indexed="55"/>
      <name val="Calibri"/>
      <family val="2"/>
    </font>
    <font>
      <u/>
      <sz val="10"/>
      <color indexed="63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4"/>
      <color rgb="FF0070C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70C0"/>
      <name val="Calibri"/>
      <family val="2"/>
      <scheme val="minor"/>
    </font>
    <font>
      <sz val="10"/>
      <color indexed="8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0"/>
      <color theme="1" tint="0.249977111117893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theme="1" tint="0.499984740745262"/>
      <name val="Arial"/>
      <family val="2"/>
    </font>
    <font>
      <i/>
      <sz val="11"/>
      <color theme="1" tint="0.499984740745262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3"/>
      <color theme="1"/>
      <name val="Calibri"/>
      <family val="2"/>
      <scheme val="minor"/>
    </font>
    <font>
      <sz val="13"/>
      <color theme="1" tint="0.499984740745262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6"/>
      <color theme="1" tint="0.249977111117893"/>
      <name val="Calibri"/>
      <family val="2"/>
      <scheme val="minor"/>
    </font>
    <font>
      <b/>
      <sz val="13"/>
      <color rgb="FF0070C0"/>
      <name val="Calibri"/>
      <family val="2"/>
      <scheme val="minor"/>
    </font>
    <font>
      <b/>
      <sz val="18"/>
      <color rgb="FF0070C0"/>
      <name val="Calibri"/>
      <family val="2"/>
      <scheme val="minor"/>
    </font>
    <font>
      <b/>
      <sz val="10"/>
      <color theme="6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8" tint="-0.249977111117893"/>
      <name val="Calibri"/>
      <family val="2"/>
      <scheme val="minor"/>
    </font>
    <font>
      <b/>
      <sz val="10"/>
      <color rgb="FF7030A0"/>
      <name val="Calibri"/>
      <family val="2"/>
      <scheme val="minor"/>
    </font>
    <font>
      <b/>
      <sz val="10"/>
      <color theme="1" tint="0.249977111117893"/>
      <name val="Calibri"/>
      <family val="2"/>
      <scheme val="minor"/>
    </font>
    <font>
      <b/>
      <sz val="10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2"/>
      <color rgb="FF283214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b/>
      <sz val="16"/>
      <color rgb="FFC00000"/>
      <name val="Calibri"/>
      <family val="2"/>
      <scheme val="minor"/>
    </font>
    <font>
      <b/>
      <sz val="12"/>
      <color rgb="FFC00000"/>
      <name val="Calibri"/>
      <family val="2"/>
      <scheme val="minor"/>
    </font>
    <font>
      <sz val="12"/>
      <color rgb="FFC00000"/>
      <name val="Calibri"/>
      <family val="2"/>
      <scheme val="minor"/>
    </font>
    <font>
      <b/>
      <sz val="13"/>
      <color rgb="FFC0000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sz val="10"/>
      <color rgb="FFC0000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4"/>
      <color theme="1" tint="0.249977111117893"/>
      <name val="Calibri"/>
      <family val="2"/>
      <scheme val="minor"/>
    </font>
    <font>
      <sz val="12"/>
      <color rgb="FF0070C0"/>
      <name val="Calibri"/>
      <family val="2"/>
      <scheme val="minor"/>
    </font>
    <font>
      <sz val="10"/>
      <color theme="4" tint="0.39997558519241921"/>
      <name val="Calibri"/>
      <family val="2"/>
      <scheme val="minor"/>
    </font>
    <font>
      <b/>
      <sz val="18"/>
      <color theme="8"/>
      <name val="Calibri"/>
      <family val="2"/>
      <scheme val="minor"/>
    </font>
    <font>
      <sz val="8"/>
      <color theme="4" tint="0.59999389629810485"/>
      <name val="Calibri"/>
      <family val="2"/>
      <scheme val="minor"/>
    </font>
    <font>
      <b/>
      <sz val="16"/>
      <color rgb="FF0070C0"/>
      <name val="Calibri"/>
      <family val="2"/>
      <scheme val="minor"/>
    </font>
    <font>
      <b/>
      <sz val="12"/>
      <color theme="1" tint="0.499984740745262"/>
      <name val="Calibri"/>
      <family val="2"/>
      <scheme val="minor"/>
    </font>
    <font>
      <b/>
      <sz val="13"/>
      <color theme="1" tint="0.249977111117893"/>
      <name val="Calibri"/>
      <family val="2"/>
      <scheme val="minor"/>
    </font>
    <font>
      <sz val="9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3"/>
      <color rgb="FFC0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4"/>
      <color theme="3" tint="0.39997558519241921"/>
      <name val="Calibri"/>
      <family val="2"/>
      <scheme val="minor"/>
    </font>
    <font>
      <sz val="12"/>
      <name val="Calibri"/>
      <family val="2"/>
      <scheme val="minor"/>
    </font>
    <font>
      <sz val="11"/>
      <color theme="1" tint="0.34998626667073579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51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30"/>
      </patternFill>
    </fill>
    <fill>
      <patternFill patternType="solid">
        <fgColor indexed="22"/>
      </patternFill>
    </fill>
    <fill>
      <patternFill patternType="solid">
        <fgColor indexed="49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55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4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23"/>
      </top>
      <bottom style="thin">
        <color indexed="23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23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/>
      <top/>
      <bottom style="medium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/>
      <right style="thin">
        <color theme="0" tint="-0.14999847407452621"/>
      </right>
      <top/>
      <bottom/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2"/>
      </bottom>
      <diagonal/>
    </border>
    <border>
      <left/>
      <right/>
      <top style="thin">
        <color theme="2"/>
      </top>
      <bottom style="thin">
        <color theme="2"/>
      </bottom>
      <diagonal/>
    </border>
    <border>
      <left style="thin">
        <color theme="0" tint="-0.14999847407452621"/>
      </left>
      <right style="thin">
        <color theme="2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2"/>
      </right>
      <top style="thin">
        <color theme="0" tint="-0.14999847407452621"/>
      </top>
      <bottom style="thin">
        <color theme="2"/>
      </bottom>
      <diagonal/>
    </border>
    <border>
      <left style="thin">
        <color theme="0" tint="-0.14999847407452621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0" tint="-0.14999847407452621"/>
      </left>
      <right style="thin">
        <color theme="2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2"/>
      </bottom>
      <diagonal/>
    </border>
    <border>
      <left/>
      <right style="thin">
        <color theme="0" tint="-0.14999847407452621"/>
      </right>
      <top style="thin">
        <color theme="2"/>
      </top>
      <bottom style="thin">
        <color theme="2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2"/>
      </bottom>
      <diagonal/>
    </border>
    <border>
      <left style="thin">
        <color theme="0" tint="-0.14999847407452621"/>
      </left>
      <right/>
      <top style="thin">
        <color theme="2"/>
      </top>
      <bottom style="thin">
        <color theme="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2"/>
      </top>
      <bottom style="thin">
        <color theme="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/>
      <right/>
      <top style="thin">
        <color theme="0" tint="-0.14999847407452621"/>
      </top>
      <bottom/>
      <diagonal/>
    </border>
    <border>
      <left/>
      <right/>
      <top/>
      <bottom style="thin">
        <color theme="2"/>
      </bottom>
      <diagonal/>
    </border>
    <border>
      <left style="medium">
        <color theme="0" tint="-0.14999847407452621"/>
      </left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2"/>
      </bottom>
      <diagonal/>
    </border>
    <border>
      <left/>
      <right/>
      <top style="thin">
        <color theme="2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</borders>
  <cellStyleXfs count="54">
    <xf numFmtId="0" fontId="0" fillId="0" borderId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2" borderId="0" applyNumberFormat="0" applyBorder="0" applyAlignment="0" applyProtection="0"/>
    <xf numFmtId="0" fontId="3" fillId="8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6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4" fillId="12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16" borderId="0" applyNumberFormat="0" applyBorder="0" applyAlignment="0" applyProtection="0"/>
    <xf numFmtId="0" fontId="5" fillId="5" borderId="0" applyNumberFormat="0" applyBorder="0" applyAlignment="0" applyProtection="0"/>
    <xf numFmtId="0" fontId="6" fillId="13" borderId="1" applyNumberFormat="0" applyAlignment="0" applyProtection="0"/>
    <xf numFmtId="0" fontId="7" fillId="18" borderId="2" applyNumberFormat="0" applyAlignment="0" applyProtection="0"/>
    <xf numFmtId="0" fontId="8" fillId="0" borderId="3" applyNumberFormat="0" applyFill="0" applyAlignment="0" applyProtection="0"/>
    <xf numFmtId="164" fontId="2" fillId="0" borderId="0" applyFont="0" applyFill="0" applyBorder="0" applyAlignment="0" applyProtection="0"/>
    <xf numFmtId="0" fontId="4" fillId="17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9" fillId="2" borderId="1" applyNumberFormat="0" applyAlignment="0" applyProtection="0"/>
    <xf numFmtId="165" fontId="2" fillId="0" borderId="0" applyFont="0" applyFill="0" applyBorder="0" applyAlignment="0" applyProtection="0"/>
    <xf numFmtId="0" fontId="37" fillId="0" borderId="0" applyNumberFormat="0" applyFill="0" applyBorder="0" applyAlignment="0" applyProtection="0">
      <alignment vertical="top"/>
      <protection locked="0"/>
    </xf>
    <xf numFmtId="0" fontId="10" fillId="4" borderId="0" applyNumberFormat="0" applyBorder="0" applyAlignment="0" applyProtection="0"/>
    <xf numFmtId="0" fontId="11" fillId="22" borderId="0" applyNumberFormat="0" applyBorder="0" applyAlignment="0" applyProtection="0"/>
    <xf numFmtId="0" fontId="2" fillId="0" borderId="0"/>
    <xf numFmtId="0" fontId="38" fillId="0" borderId="0"/>
    <xf numFmtId="0" fontId="2" fillId="0" borderId="0"/>
    <xf numFmtId="0" fontId="40" fillId="0" borderId="0"/>
    <xf numFmtId="0" fontId="1" fillId="0" borderId="0"/>
    <xf numFmtId="0" fontId="3" fillId="23" borderId="7" applyNumberFormat="0" applyFont="0" applyAlignment="0" applyProtection="0"/>
    <xf numFmtId="0" fontId="3" fillId="25" borderId="10" applyNumberFormat="0" applyFont="0" applyAlignment="0" applyProtection="0"/>
    <xf numFmtId="9" fontId="38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2" fillId="13" borderId="8" applyNumberFormat="0" applyAlignment="0" applyProtection="0"/>
    <xf numFmtId="40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5" applyNumberFormat="0" applyFill="0" applyAlignment="0" applyProtection="0"/>
    <xf numFmtId="0" fontId="18" fillId="0" borderId="6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272">
    <xf numFmtId="0" fontId="0" fillId="0" borderId="0" xfId="0"/>
    <xf numFmtId="0" fontId="41" fillId="0" borderId="0" xfId="0" applyFont="1"/>
    <xf numFmtId="0" fontId="42" fillId="0" borderId="0" xfId="0" applyFont="1"/>
    <xf numFmtId="0" fontId="43" fillId="0" borderId="0" xfId="0" applyFont="1"/>
    <xf numFmtId="40" fontId="44" fillId="26" borderId="9" xfId="45" applyFont="1" applyFill="1" applyBorder="1" applyAlignment="1" applyProtection="1">
      <alignment horizontal="center" vertical="center"/>
    </xf>
    <xf numFmtId="0" fontId="45" fillId="0" borderId="0" xfId="0" applyFont="1" applyAlignment="1">
      <alignment horizontal="center"/>
    </xf>
    <xf numFmtId="40" fontId="46" fillId="24" borderId="11" xfId="45" applyFont="1" applyFill="1" applyBorder="1" applyProtection="1"/>
    <xf numFmtId="40" fontId="46" fillId="24" borderId="12" xfId="45" applyFont="1" applyFill="1" applyBorder="1" applyProtection="1"/>
    <xf numFmtId="0" fontId="47" fillId="24" borderId="11" xfId="39" applyFont="1" applyFill="1" applyBorder="1" applyAlignment="1">
      <alignment horizontal="center"/>
    </xf>
    <xf numFmtId="0" fontId="47" fillId="24" borderId="12" xfId="39" applyFont="1" applyFill="1" applyBorder="1" applyAlignment="1">
      <alignment horizontal="center"/>
    </xf>
    <xf numFmtId="40" fontId="48" fillId="24" borderId="11" xfId="45" applyFont="1" applyFill="1" applyBorder="1" applyProtection="1"/>
    <xf numFmtId="40" fontId="48" fillId="24" borderId="11" xfId="45" applyFont="1" applyFill="1" applyBorder="1" applyAlignment="1" applyProtection="1">
      <alignment horizontal="center"/>
    </xf>
    <xf numFmtId="9" fontId="48" fillId="24" borderId="11" xfId="43" applyFont="1" applyFill="1" applyBorder="1" applyAlignment="1" applyProtection="1">
      <alignment horizontal="center"/>
    </xf>
    <xf numFmtId="40" fontId="48" fillId="24" borderId="12" xfId="45" applyFont="1" applyFill="1" applyBorder="1" applyProtection="1"/>
    <xf numFmtId="40" fontId="48" fillId="24" borderId="12" xfId="45" applyFont="1" applyFill="1" applyBorder="1" applyAlignment="1" applyProtection="1">
      <alignment horizontal="center"/>
    </xf>
    <xf numFmtId="9" fontId="48" fillId="24" borderId="12" xfId="43" applyFont="1" applyFill="1" applyBorder="1" applyAlignment="1" applyProtection="1">
      <alignment horizontal="center"/>
    </xf>
    <xf numFmtId="166" fontId="49" fillId="0" borderId="11" xfId="0" applyNumberFormat="1" applyFont="1" applyBorder="1" applyAlignment="1">
      <alignment horizontal="center"/>
    </xf>
    <xf numFmtId="166" fontId="49" fillId="0" borderId="12" xfId="0" applyNumberFormat="1" applyFont="1" applyBorder="1" applyAlignment="1">
      <alignment horizontal="center"/>
    </xf>
    <xf numFmtId="166" fontId="50" fillId="0" borderId="13" xfId="0" applyNumberFormat="1" applyFont="1" applyBorder="1" applyAlignment="1">
      <alignment horizontal="center"/>
    </xf>
    <xf numFmtId="0" fontId="49" fillId="0" borderId="13" xfId="0" applyFont="1" applyBorder="1" applyAlignment="1">
      <alignment horizontal="center"/>
    </xf>
    <xf numFmtId="10" fontId="45" fillId="0" borderId="0" xfId="0" applyNumberFormat="1" applyFont="1" applyAlignment="1">
      <alignment horizontal="center"/>
    </xf>
    <xf numFmtId="0" fontId="51" fillId="27" borderId="0" xfId="0" applyFont="1" applyFill="1"/>
    <xf numFmtId="166" fontId="49" fillId="0" borderId="0" xfId="0" applyNumberFormat="1" applyFont="1" applyAlignment="1">
      <alignment horizontal="center"/>
    </xf>
    <xf numFmtId="166" fontId="49" fillId="0" borderId="13" xfId="0" applyNumberFormat="1" applyFont="1" applyBorder="1" applyAlignment="1">
      <alignment horizontal="center"/>
    </xf>
    <xf numFmtId="0" fontId="49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0" fontId="42" fillId="0" borderId="0" xfId="0" applyFont="1" applyAlignment="1">
      <alignment horizontal="left" vertical="center" indent="1"/>
    </xf>
    <xf numFmtId="0" fontId="0" fillId="0" borderId="0" xfId="0" applyAlignment="1">
      <alignment horizontal="center"/>
    </xf>
    <xf numFmtId="0" fontId="0" fillId="0" borderId="13" xfId="0" applyBorder="1"/>
    <xf numFmtId="0" fontId="42" fillId="0" borderId="13" xfId="0" applyFont="1" applyBorder="1" applyAlignment="1">
      <alignment horizontal="left" vertical="center" indent="1"/>
    </xf>
    <xf numFmtId="0" fontId="52" fillId="0" borderId="0" xfId="0" applyFont="1" applyAlignment="1">
      <alignment horizontal="left" indent="1"/>
    </xf>
    <xf numFmtId="0" fontId="0" fillId="0" borderId="13" xfId="0" applyBorder="1" applyAlignment="1">
      <alignment horizontal="left" indent="1"/>
    </xf>
    <xf numFmtId="0" fontId="53" fillId="0" borderId="0" xfId="0" applyFont="1" applyAlignment="1">
      <alignment horizontal="center" vertical="center"/>
    </xf>
    <xf numFmtId="0" fontId="0" fillId="0" borderId="13" xfId="0" applyBorder="1" applyAlignment="1">
      <alignment horizontal="center"/>
    </xf>
    <xf numFmtId="0" fontId="54" fillId="0" borderId="13" xfId="0" applyFont="1" applyBorder="1"/>
    <xf numFmtId="0" fontId="54" fillId="0" borderId="0" xfId="0" applyFont="1"/>
    <xf numFmtId="0" fontId="55" fillId="0" borderId="0" xfId="0" applyFont="1" applyAlignment="1">
      <alignment horizontal="left" indent="1"/>
    </xf>
    <xf numFmtId="0" fontId="56" fillId="0" borderId="0" xfId="0" applyFont="1" applyAlignment="1">
      <alignment vertical="center"/>
    </xf>
    <xf numFmtId="0" fontId="56" fillId="0" borderId="13" xfId="0" applyFont="1" applyBorder="1" applyAlignment="1">
      <alignment vertical="center"/>
    </xf>
    <xf numFmtId="0" fontId="0" fillId="0" borderId="14" xfId="0" applyBorder="1"/>
    <xf numFmtId="0" fontId="57" fillId="0" borderId="13" xfId="0" applyFont="1" applyBorder="1" applyAlignment="1">
      <alignment vertical="center"/>
    </xf>
    <xf numFmtId="3" fontId="58" fillId="28" borderId="15" xfId="0" applyNumberFormat="1" applyFont="1" applyFill="1" applyBorder="1" applyAlignment="1">
      <alignment horizontal="center" vertical="center"/>
    </xf>
    <xf numFmtId="10" fontId="58" fillId="28" borderId="15" xfId="42" applyNumberFormat="1" applyFont="1" applyFill="1" applyBorder="1" applyAlignment="1">
      <alignment horizontal="center" vertical="center"/>
    </xf>
    <xf numFmtId="167" fontId="58" fillId="28" borderId="15" xfId="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/>
    </xf>
    <xf numFmtId="0" fontId="46" fillId="27" borderId="0" xfId="39" applyFont="1" applyFill="1" applyAlignment="1">
      <alignment horizontal="center"/>
    </xf>
    <xf numFmtId="38" fontId="46" fillId="27" borderId="0" xfId="39" applyNumberFormat="1" applyFont="1" applyFill="1"/>
    <xf numFmtId="0" fontId="59" fillId="0" borderId="0" xfId="0" applyFont="1"/>
    <xf numFmtId="0" fontId="60" fillId="28" borderId="16" xfId="0" applyFont="1" applyFill="1" applyBorder="1" applyAlignment="1">
      <alignment horizontal="right" vertical="top"/>
    </xf>
    <xf numFmtId="0" fontId="60" fillId="28" borderId="17" xfId="0" applyFont="1" applyFill="1" applyBorder="1" applyAlignment="1">
      <alignment horizontal="right" vertical="top"/>
    </xf>
    <xf numFmtId="0" fontId="60" fillId="28" borderId="18" xfId="0" applyFont="1" applyFill="1" applyBorder="1" applyAlignment="1">
      <alignment horizontal="right" vertical="top"/>
    </xf>
    <xf numFmtId="0" fontId="48" fillId="0" borderId="0" xfId="0" applyFont="1" applyAlignment="1">
      <alignment vertical="center"/>
    </xf>
    <xf numFmtId="0" fontId="61" fillId="0" borderId="0" xfId="0" applyFont="1"/>
    <xf numFmtId="0" fontId="49" fillId="0" borderId="0" xfId="0" applyFont="1" applyAlignment="1">
      <alignment horizontal="left" vertical="center" indent="1"/>
    </xf>
    <xf numFmtId="0" fontId="62" fillId="27" borderId="0" xfId="39" applyFont="1" applyFill="1"/>
    <xf numFmtId="0" fontId="63" fillId="0" borderId="0" xfId="0" applyFont="1" applyAlignment="1">
      <alignment horizontal="left"/>
    </xf>
    <xf numFmtId="0" fontId="42" fillId="28" borderId="12" xfId="0" applyFont="1" applyFill="1" applyBorder="1" applyAlignment="1">
      <alignment horizontal="center"/>
    </xf>
    <xf numFmtId="0" fontId="42" fillId="28" borderId="19" xfId="0" applyFont="1" applyFill="1" applyBorder="1" applyAlignment="1">
      <alignment horizontal="center"/>
    </xf>
    <xf numFmtId="40" fontId="64" fillId="27" borderId="13" xfId="45" applyFont="1" applyFill="1" applyBorder="1" applyAlignment="1" applyProtection="1">
      <alignment horizontal="center"/>
    </xf>
    <xf numFmtId="10" fontId="64" fillId="0" borderId="13" xfId="0" applyNumberFormat="1" applyFont="1" applyBorder="1" applyAlignment="1">
      <alignment horizontal="center"/>
    </xf>
    <xf numFmtId="0" fontId="49" fillId="0" borderId="13" xfId="0" applyFont="1" applyBorder="1"/>
    <xf numFmtId="10" fontId="64" fillId="27" borderId="13" xfId="43" applyNumberFormat="1" applyFont="1" applyFill="1" applyBorder="1" applyAlignment="1" applyProtection="1">
      <alignment horizontal="right"/>
    </xf>
    <xf numFmtId="3" fontId="49" fillId="0" borderId="13" xfId="0" applyNumberFormat="1" applyFont="1" applyBorder="1" applyAlignment="1">
      <alignment horizontal="left" indent="1"/>
    </xf>
    <xf numFmtId="10" fontId="65" fillId="27" borderId="13" xfId="43" applyNumberFormat="1" applyFont="1" applyFill="1" applyBorder="1" applyAlignment="1" applyProtection="1">
      <alignment horizontal="center"/>
    </xf>
    <xf numFmtId="0" fontId="49" fillId="0" borderId="18" xfId="0" applyFont="1" applyBorder="1"/>
    <xf numFmtId="0" fontId="42" fillId="0" borderId="18" xfId="0" applyFont="1" applyBorder="1"/>
    <xf numFmtId="0" fontId="42" fillId="28" borderId="20" xfId="0" applyFont="1" applyFill="1" applyBorder="1" applyAlignment="1">
      <alignment horizontal="center"/>
    </xf>
    <xf numFmtId="3" fontId="47" fillId="24" borderId="11" xfId="39" applyNumberFormat="1" applyFont="1" applyFill="1" applyBorder="1" applyAlignment="1">
      <alignment horizontal="center"/>
    </xf>
    <xf numFmtId="3" fontId="47" fillId="24" borderId="12" xfId="39" applyNumberFormat="1" applyFont="1" applyFill="1" applyBorder="1" applyAlignment="1">
      <alignment horizontal="center"/>
    </xf>
    <xf numFmtId="0" fontId="49" fillId="0" borderId="21" xfId="0" applyFont="1" applyBorder="1" applyAlignment="1">
      <alignment horizontal="center"/>
    </xf>
    <xf numFmtId="166" fontId="49" fillId="0" borderId="21" xfId="0" applyNumberFormat="1" applyFont="1" applyBorder="1" applyAlignment="1">
      <alignment horizontal="center"/>
    </xf>
    <xf numFmtId="0" fontId="49" fillId="0" borderId="22" xfId="0" applyFont="1" applyBorder="1" applyAlignment="1">
      <alignment horizontal="center"/>
    </xf>
    <xf numFmtId="166" fontId="49" fillId="0" borderId="22" xfId="0" applyNumberFormat="1" applyFont="1" applyBorder="1" applyAlignment="1">
      <alignment horizontal="center"/>
    </xf>
    <xf numFmtId="0" fontId="42" fillId="28" borderId="23" xfId="0" applyFont="1" applyFill="1" applyBorder="1" applyAlignment="1">
      <alignment horizontal="center"/>
    </xf>
    <xf numFmtId="0" fontId="49" fillId="0" borderId="24" xfId="0" applyFont="1" applyBorder="1" applyAlignment="1">
      <alignment horizontal="center"/>
    </xf>
    <xf numFmtId="0" fontId="49" fillId="0" borderId="25" xfId="0" applyFont="1" applyBorder="1" applyAlignment="1">
      <alignment horizontal="center"/>
    </xf>
    <xf numFmtId="0" fontId="49" fillId="0" borderId="26" xfId="0" applyFont="1" applyBorder="1" applyAlignment="1">
      <alignment horizontal="center"/>
    </xf>
    <xf numFmtId="167" fontId="48" fillId="0" borderId="21" xfId="0" applyNumberFormat="1" applyFont="1" applyBorder="1" applyAlignment="1">
      <alignment horizontal="center"/>
    </xf>
    <xf numFmtId="167" fontId="48" fillId="0" borderId="22" xfId="0" applyNumberFormat="1" applyFont="1" applyBorder="1" applyAlignment="1">
      <alignment horizontal="center"/>
    </xf>
    <xf numFmtId="167" fontId="48" fillId="0" borderId="13" xfId="0" applyNumberFormat="1" applyFont="1" applyBorder="1" applyAlignment="1">
      <alignment horizontal="center"/>
    </xf>
    <xf numFmtId="10" fontId="48" fillId="0" borderId="21" xfId="42" applyNumberFormat="1" applyFont="1" applyBorder="1" applyAlignment="1">
      <alignment horizontal="center"/>
    </xf>
    <xf numFmtId="10" fontId="48" fillId="0" borderId="27" xfId="42" applyNumberFormat="1" applyFont="1" applyBorder="1" applyAlignment="1">
      <alignment horizontal="center"/>
    </xf>
    <xf numFmtId="10" fontId="48" fillId="0" borderId="22" xfId="42" applyNumberFormat="1" applyFont="1" applyBorder="1" applyAlignment="1">
      <alignment horizontal="center"/>
    </xf>
    <xf numFmtId="10" fontId="48" fillId="0" borderId="28" xfId="42" applyNumberFormat="1" applyFont="1" applyBorder="1" applyAlignment="1">
      <alignment horizontal="center"/>
    </xf>
    <xf numFmtId="10" fontId="48" fillId="0" borderId="13" xfId="42" applyNumberFormat="1" applyFont="1" applyBorder="1" applyAlignment="1">
      <alignment horizontal="center"/>
    </xf>
    <xf numFmtId="10" fontId="48" fillId="0" borderId="18" xfId="42" applyNumberFormat="1" applyFont="1" applyBorder="1" applyAlignment="1">
      <alignment horizontal="center"/>
    </xf>
    <xf numFmtId="0" fontId="48" fillId="28" borderId="18" xfId="0" applyFont="1" applyFill="1" applyBorder="1" applyAlignment="1">
      <alignment horizontal="right"/>
    </xf>
    <xf numFmtId="167" fontId="48" fillId="0" borderId="18" xfId="0" applyNumberFormat="1" applyFont="1" applyBorder="1"/>
    <xf numFmtId="0" fontId="48" fillId="28" borderId="13" xfId="0" applyFont="1" applyFill="1" applyBorder="1" applyAlignment="1">
      <alignment horizontal="center"/>
    </xf>
    <xf numFmtId="2" fontId="49" fillId="0" borderId="13" xfId="0" applyNumberFormat="1" applyFont="1" applyBorder="1"/>
    <xf numFmtId="0" fontId="42" fillId="0" borderId="13" xfId="0" applyFont="1" applyBorder="1"/>
    <xf numFmtId="0" fontId="49" fillId="28" borderId="29" xfId="0" applyFont="1" applyFill="1" applyBorder="1" applyAlignment="1">
      <alignment horizontal="right"/>
    </xf>
    <xf numFmtId="0" fontId="42" fillId="28" borderId="30" xfId="0" applyFont="1" applyFill="1" applyBorder="1" applyAlignment="1">
      <alignment horizontal="center"/>
    </xf>
    <xf numFmtId="0" fontId="48" fillId="28" borderId="21" xfId="0" applyFont="1" applyFill="1" applyBorder="1" applyAlignment="1">
      <alignment horizontal="center"/>
    </xf>
    <xf numFmtId="0" fontId="48" fillId="28" borderId="27" xfId="0" applyFont="1" applyFill="1" applyBorder="1" applyAlignment="1">
      <alignment horizontal="right"/>
    </xf>
    <xf numFmtId="40" fontId="64" fillId="27" borderId="21" xfId="45" applyFont="1" applyFill="1" applyBorder="1" applyAlignment="1" applyProtection="1">
      <alignment horizontal="right"/>
    </xf>
    <xf numFmtId="0" fontId="42" fillId="0" borderId="21" xfId="0" applyFont="1" applyBorder="1"/>
    <xf numFmtId="0" fontId="42" fillId="0" borderId="27" xfId="0" applyFont="1" applyBorder="1"/>
    <xf numFmtId="0" fontId="42" fillId="28" borderId="31" xfId="0" applyFont="1" applyFill="1" applyBorder="1" applyAlignment="1">
      <alignment horizontal="center"/>
    </xf>
    <xf numFmtId="0" fontId="48" fillId="28" borderId="22" xfId="0" applyFont="1" applyFill="1" applyBorder="1" applyAlignment="1">
      <alignment horizontal="center"/>
    </xf>
    <xf numFmtId="0" fontId="48" fillId="28" borderId="28" xfId="0" applyFont="1" applyFill="1" applyBorder="1" applyAlignment="1">
      <alignment horizontal="right"/>
    </xf>
    <xf numFmtId="40" fontId="64" fillId="27" borderId="22" xfId="45" applyFont="1" applyFill="1" applyBorder="1" applyAlignment="1" applyProtection="1">
      <alignment horizontal="right"/>
    </xf>
    <xf numFmtId="3" fontId="49" fillId="0" borderId="22" xfId="0" applyNumberFormat="1" applyFont="1" applyBorder="1" applyAlignment="1">
      <alignment horizontal="left" indent="1"/>
    </xf>
    <xf numFmtId="40" fontId="65" fillId="27" borderId="22" xfId="45" applyFont="1" applyFill="1" applyBorder="1" applyAlignment="1" applyProtection="1">
      <alignment horizontal="center"/>
    </xf>
    <xf numFmtId="0" fontId="49" fillId="0" borderId="28" xfId="0" applyFont="1" applyBorder="1"/>
    <xf numFmtId="10" fontId="64" fillId="27" borderId="22" xfId="43" applyNumberFormat="1" applyFont="1" applyFill="1" applyBorder="1" applyAlignment="1" applyProtection="1">
      <alignment horizontal="right"/>
    </xf>
    <xf numFmtId="10" fontId="65" fillId="27" borderId="22" xfId="43" applyNumberFormat="1" applyFont="1" applyFill="1" applyBorder="1" applyAlignment="1" applyProtection="1">
      <alignment horizontal="center"/>
    </xf>
    <xf numFmtId="38" fontId="64" fillId="27" borderId="22" xfId="45" applyNumberFormat="1" applyFont="1" applyFill="1" applyBorder="1" applyAlignment="1" applyProtection="1">
      <alignment horizontal="right"/>
    </xf>
    <xf numFmtId="38" fontId="65" fillId="27" borderId="22" xfId="45" applyNumberFormat="1" applyFont="1" applyFill="1" applyBorder="1" applyAlignment="1" applyProtection="1">
      <alignment horizontal="center"/>
    </xf>
    <xf numFmtId="38" fontId="64" fillId="27" borderId="21" xfId="45" applyNumberFormat="1" applyFont="1" applyFill="1" applyBorder="1" applyAlignment="1" applyProtection="1">
      <alignment horizontal="right"/>
    </xf>
    <xf numFmtId="38" fontId="66" fillId="27" borderId="21" xfId="45" applyNumberFormat="1" applyFont="1" applyFill="1" applyBorder="1" applyAlignment="1" applyProtection="1">
      <alignment horizontal="center"/>
    </xf>
    <xf numFmtId="40" fontId="64" fillId="27" borderId="22" xfId="45" applyFont="1" applyFill="1" applyBorder="1" applyAlignment="1" applyProtection="1">
      <alignment horizontal="center"/>
    </xf>
    <xf numFmtId="0" fontId="49" fillId="0" borderId="22" xfId="0" applyFont="1" applyBorder="1"/>
    <xf numFmtId="38" fontId="64" fillId="27" borderId="22" xfId="45" applyNumberFormat="1" applyFont="1" applyFill="1" applyBorder="1" applyAlignment="1" applyProtection="1">
      <alignment horizontal="center"/>
    </xf>
    <xf numFmtId="0" fontId="42" fillId="0" borderId="28" xfId="0" applyFont="1" applyBorder="1"/>
    <xf numFmtId="0" fontId="42" fillId="0" borderId="22" xfId="0" applyFont="1" applyBorder="1"/>
    <xf numFmtId="0" fontId="49" fillId="0" borderId="22" xfId="0" applyFont="1" applyBorder="1" applyAlignment="1">
      <alignment horizontal="left" indent="1"/>
    </xf>
    <xf numFmtId="0" fontId="49" fillId="28" borderId="32" xfId="0" applyFont="1" applyFill="1" applyBorder="1" applyAlignment="1">
      <alignment horizontal="right"/>
    </xf>
    <xf numFmtId="0" fontId="49" fillId="0" borderId="21" xfId="0" applyFont="1" applyBorder="1"/>
    <xf numFmtId="0" fontId="49" fillId="28" borderId="33" xfId="0" applyFont="1" applyFill="1" applyBorder="1" applyAlignment="1">
      <alignment horizontal="right"/>
    </xf>
    <xf numFmtId="2" fontId="49" fillId="0" borderId="22" xfId="0" applyNumberFormat="1" applyFont="1" applyBorder="1"/>
    <xf numFmtId="167" fontId="48" fillId="0" borderId="27" xfId="0" applyNumberFormat="1" applyFont="1" applyBorder="1"/>
    <xf numFmtId="167" fontId="48" fillId="0" borderId="28" xfId="0" applyNumberFormat="1" applyFont="1" applyBorder="1"/>
    <xf numFmtId="40" fontId="49" fillId="24" borderId="11" xfId="45" applyFont="1" applyFill="1" applyBorder="1" applyProtection="1"/>
    <xf numFmtId="40" fontId="49" fillId="24" borderId="12" xfId="45" applyFont="1" applyFill="1" applyBorder="1" applyProtection="1"/>
    <xf numFmtId="170" fontId="49" fillId="0" borderId="12" xfId="0" applyNumberFormat="1" applyFont="1" applyBorder="1" applyAlignment="1">
      <alignment horizontal="center"/>
    </xf>
    <xf numFmtId="166" fontId="49" fillId="0" borderId="19" xfId="0" applyNumberFormat="1" applyFont="1" applyBorder="1" applyAlignment="1">
      <alignment horizontal="center"/>
    </xf>
    <xf numFmtId="170" fontId="49" fillId="0" borderId="19" xfId="0" applyNumberFormat="1" applyFont="1" applyBorder="1" applyAlignment="1">
      <alignment horizontal="center"/>
    </xf>
    <xf numFmtId="0" fontId="48" fillId="28" borderId="15" xfId="0" applyFont="1" applyFill="1" applyBorder="1" applyAlignment="1">
      <alignment horizontal="center"/>
    </xf>
    <xf numFmtId="0" fontId="48" fillId="0" borderId="19" xfId="0" applyFont="1" applyBorder="1" applyAlignment="1">
      <alignment horizontal="center"/>
    </xf>
    <xf numFmtId="38" fontId="48" fillId="0" borderId="19" xfId="0" applyNumberFormat="1" applyFont="1" applyBorder="1" applyAlignment="1">
      <alignment horizontal="center"/>
    </xf>
    <xf numFmtId="170" fontId="49" fillId="0" borderId="11" xfId="0" applyNumberFormat="1" applyFont="1" applyBorder="1" applyAlignment="1">
      <alignment horizontal="center"/>
    </xf>
    <xf numFmtId="0" fontId="0" fillId="0" borderId="17" xfId="0" applyBorder="1"/>
    <xf numFmtId="0" fontId="0" fillId="27" borderId="0" xfId="0" applyFill="1"/>
    <xf numFmtId="0" fontId="48" fillId="27" borderId="0" xfId="0" applyFont="1" applyFill="1" applyAlignment="1">
      <alignment vertical="center"/>
    </xf>
    <xf numFmtId="0" fontId="60" fillId="27" borderId="0" xfId="0" applyFont="1" applyFill="1" applyAlignment="1">
      <alignment horizontal="right" vertical="top"/>
    </xf>
    <xf numFmtId="168" fontId="41" fillId="0" borderId="0" xfId="0" applyNumberFormat="1" applyFont="1" applyAlignment="1">
      <alignment vertical="center"/>
    </xf>
    <xf numFmtId="0" fontId="67" fillId="29" borderId="19" xfId="0" applyFont="1" applyFill="1" applyBorder="1" applyAlignment="1">
      <alignment horizontal="center" vertical="center"/>
    </xf>
    <xf numFmtId="3" fontId="48" fillId="0" borderId="34" xfId="0" applyNumberFormat="1" applyFont="1" applyBorder="1" applyAlignment="1">
      <alignment horizontal="center"/>
    </xf>
    <xf numFmtId="10" fontId="48" fillId="26" borderId="35" xfId="0" applyNumberFormat="1" applyFont="1" applyFill="1" applyBorder="1" applyAlignment="1">
      <alignment horizontal="center" vertical="center"/>
    </xf>
    <xf numFmtId="3" fontId="48" fillId="0" borderId="35" xfId="0" applyNumberFormat="1" applyFont="1" applyBorder="1" applyAlignment="1">
      <alignment horizontal="center"/>
    </xf>
    <xf numFmtId="3" fontId="48" fillId="0" borderId="29" xfId="0" applyNumberFormat="1" applyFont="1" applyBorder="1" applyAlignment="1">
      <alignment horizontal="center"/>
    </xf>
    <xf numFmtId="10" fontId="48" fillId="26" borderId="29" xfId="0" applyNumberFormat="1" applyFont="1" applyFill="1" applyBorder="1" applyAlignment="1">
      <alignment horizontal="center" vertical="center"/>
    </xf>
    <xf numFmtId="10" fontId="48" fillId="30" borderId="17" xfId="0" applyNumberFormat="1" applyFont="1" applyFill="1" applyBorder="1" applyAlignment="1">
      <alignment horizontal="center" vertical="center"/>
    </xf>
    <xf numFmtId="10" fontId="48" fillId="30" borderId="18" xfId="0" applyNumberFormat="1" applyFont="1" applyFill="1" applyBorder="1" applyAlignment="1">
      <alignment horizontal="center" vertical="center"/>
    </xf>
    <xf numFmtId="167" fontId="48" fillId="27" borderId="36" xfId="39" applyNumberFormat="1" applyFont="1" applyFill="1" applyBorder="1" applyAlignment="1">
      <alignment horizontal="center"/>
    </xf>
    <xf numFmtId="167" fontId="48" fillId="27" borderId="37" xfId="39" applyNumberFormat="1" applyFont="1" applyFill="1" applyBorder="1" applyAlignment="1">
      <alignment horizontal="center"/>
    </xf>
    <xf numFmtId="167" fontId="48" fillId="27" borderId="20" xfId="39" applyNumberFormat="1" applyFont="1" applyFill="1" applyBorder="1" applyAlignment="1">
      <alignment horizontal="center"/>
    </xf>
    <xf numFmtId="0" fontId="68" fillId="27" borderId="37" xfId="0" applyFont="1" applyFill="1" applyBorder="1" applyAlignment="1">
      <alignment vertical="center"/>
    </xf>
    <xf numFmtId="0" fontId="68" fillId="27" borderId="0" xfId="0" applyFont="1" applyFill="1" applyAlignment="1">
      <alignment vertical="center"/>
    </xf>
    <xf numFmtId="0" fontId="0" fillId="0" borderId="38" xfId="0" applyBorder="1"/>
    <xf numFmtId="0" fontId="49" fillId="0" borderId="0" xfId="0" applyFont="1"/>
    <xf numFmtId="0" fontId="47" fillId="0" borderId="0" xfId="0" applyFont="1"/>
    <xf numFmtId="0" fontId="49" fillId="0" borderId="0" xfId="0" applyFont="1" applyAlignment="1">
      <alignment horizontal="left" vertical="center"/>
    </xf>
    <xf numFmtId="0" fontId="48" fillId="28" borderId="27" xfId="0" applyFont="1" applyFill="1" applyBorder="1" applyAlignment="1">
      <alignment horizontal="left"/>
    </xf>
    <xf numFmtId="0" fontId="48" fillId="28" borderId="28" xfId="0" applyFont="1" applyFill="1" applyBorder="1" applyAlignment="1">
      <alignment horizontal="left"/>
    </xf>
    <xf numFmtId="0" fontId="48" fillId="28" borderId="18" xfId="0" applyFont="1" applyFill="1" applyBorder="1" applyAlignment="1">
      <alignment horizontal="left"/>
    </xf>
    <xf numFmtId="0" fontId="48" fillId="28" borderId="30" xfId="0" applyFont="1" applyFill="1" applyBorder="1" applyAlignment="1">
      <alignment horizontal="left"/>
    </xf>
    <xf numFmtId="0" fontId="48" fillId="28" borderId="31" xfId="0" applyFont="1" applyFill="1" applyBorder="1" applyAlignment="1">
      <alignment horizontal="left"/>
    </xf>
    <xf numFmtId="0" fontId="48" fillId="28" borderId="20" xfId="0" applyFont="1" applyFill="1" applyBorder="1" applyAlignment="1">
      <alignment horizontal="left"/>
    </xf>
    <xf numFmtId="0" fontId="45" fillId="0" borderId="0" xfId="0" applyFont="1"/>
    <xf numFmtId="0" fontId="0" fillId="0" borderId="39" xfId="0" applyBorder="1"/>
    <xf numFmtId="0" fontId="0" fillId="0" borderId="21" xfId="0" applyBorder="1"/>
    <xf numFmtId="0" fontId="56" fillId="0" borderId="0" xfId="0" applyFont="1" applyAlignment="1">
      <alignment horizontal="left" indent="3"/>
    </xf>
    <xf numFmtId="0" fontId="54" fillId="0" borderId="17" xfId="0" applyFont="1" applyBorder="1"/>
    <xf numFmtId="0" fontId="69" fillId="0" borderId="0" xfId="0" applyFont="1"/>
    <xf numFmtId="0" fontId="6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9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70" fillId="0" borderId="13" xfId="0" applyFont="1" applyBorder="1"/>
    <xf numFmtId="167" fontId="71" fillId="28" borderId="15" xfId="0" applyNumberFormat="1" applyFont="1" applyFill="1" applyBorder="1" applyAlignment="1">
      <alignment horizontal="center" vertical="center"/>
    </xf>
    <xf numFmtId="10" fontId="71" fillId="28" borderId="15" xfId="42" applyNumberFormat="1" applyFont="1" applyFill="1" applyBorder="1" applyAlignment="1">
      <alignment horizontal="center" vertical="center"/>
    </xf>
    <xf numFmtId="0" fontId="72" fillId="0" borderId="0" xfId="0" applyFont="1"/>
    <xf numFmtId="3" fontId="71" fillId="28" borderId="15" xfId="0" applyNumberFormat="1" applyFont="1" applyFill="1" applyBorder="1" applyAlignment="1">
      <alignment horizontal="center" vertical="center"/>
    </xf>
    <xf numFmtId="0" fontId="73" fillId="0" borderId="0" xfId="0" applyFont="1"/>
    <xf numFmtId="0" fontId="74" fillId="0" borderId="0" xfId="0" applyFont="1"/>
    <xf numFmtId="167" fontId="48" fillId="0" borderId="0" xfId="0" applyNumberFormat="1" applyFont="1"/>
    <xf numFmtId="0" fontId="75" fillId="0" borderId="13" xfId="0" applyFont="1" applyBorder="1" applyAlignment="1">
      <alignment horizontal="center" vertical="center"/>
    </xf>
    <xf numFmtId="0" fontId="76" fillId="0" borderId="13" xfId="0" applyFont="1" applyBorder="1" applyAlignment="1">
      <alignment horizontal="center" vertical="center"/>
    </xf>
    <xf numFmtId="0" fontId="77" fillId="0" borderId="13" xfId="0" applyFont="1" applyBorder="1" applyAlignment="1">
      <alignment horizontal="center" vertical="center"/>
    </xf>
    <xf numFmtId="3" fontId="48" fillId="0" borderId="35" xfId="0" applyNumberFormat="1" applyFont="1" applyBorder="1" applyAlignment="1">
      <alignment horizontal="center" vertical="center"/>
    </xf>
    <xf numFmtId="3" fontId="48" fillId="0" borderId="29" xfId="0" applyNumberFormat="1" applyFont="1" applyBorder="1" applyAlignment="1">
      <alignment horizontal="center" vertical="center"/>
    </xf>
    <xf numFmtId="0" fontId="60" fillId="28" borderId="0" xfId="0" applyFont="1" applyFill="1" applyAlignment="1">
      <alignment horizontal="right" vertical="center"/>
    </xf>
    <xf numFmtId="0" fontId="0" fillId="28" borderId="0" xfId="0" applyFill="1" applyAlignment="1">
      <alignment vertical="center"/>
    </xf>
    <xf numFmtId="0" fontId="60" fillId="28" borderId="13" xfId="0" applyFont="1" applyFill="1" applyBorder="1" applyAlignment="1">
      <alignment horizontal="right" vertical="center"/>
    </xf>
    <xf numFmtId="0" fontId="0" fillId="28" borderId="13" xfId="0" applyFill="1" applyBorder="1" applyAlignment="1">
      <alignment vertical="center"/>
    </xf>
    <xf numFmtId="10" fontId="48" fillId="30" borderId="34" xfId="0" applyNumberFormat="1" applyFont="1" applyFill="1" applyBorder="1" applyAlignment="1">
      <alignment horizontal="center" vertical="center"/>
    </xf>
    <xf numFmtId="10" fontId="48" fillId="30" borderId="35" xfId="0" applyNumberFormat="1" applyFont="1" applyFill="1" applyBorder="1" applyAlignment="1">
      <alignment horizontal="center" vertical="center"/>
    </xf>
    <xf numFmtId="10" fontId="48" fillId="30" borderId="29" xfId="0" applyNumberFormat="1" applyFont="1" applyFill="1" applyBorder="1" applyAlignment="1">
      <alignment horizontal="center" vertical="center"/>
    </xf>
    <xf numFmtId="0" fontId="67" fillId="31" borderId="15" xfId="0" applyFont="1" applyFill="1" applyBorder="1" applyAlignment="1">
      <alignment horizontal="center" vertical="center"/>
    </xf>
    <xf numFmtId="0" fontId="68" fillId="28" borderId="15" xfId="0" applyFont="1" applyFill="1" applyBorder="1" applyAlignment="1">
      <alignment horizontal="center" vertical="center"/>
    </xf>
    <xf numFmtId="10" fontId="78" fillId="0" borderId="0" xfId="42" applyNumberFormat="1" applyFont="1" applyAlignment="1">
      <alignment horizontal="center" vertical="center"/>
    </xf>
    <xf numFmtId="167" fontId="79" fillId="0" borderId="0" xfId="0" applyNumberFormat="1" applyFont="1" applyAlignment="1">
      <alignment vertical="center"/>
    </xf>
    <xf numFmtId="167" fontId="80" fillId="0" borderId="0" xfId="0" applyNumberFormat="1" applyFont="1" applyAlignment="1">
      <alignment vertical="center"/>
    </xf>
    <xf numFmtId="169" fontId="80" fillId="0" borderId="0" xfId="0" applyNumberFormat="1" applyFont="1" applyAlignment="1">
      <alignment horizontal="right" vertical="center"/>
    </xf>
    <xf numFmtId="169" fontId="81" fillId="0" borderId="0" xfId="0" applyNumberFormat="1" applyFont="1" applyAlignment="1">
      <alignment horizontal="right" vertical="center"/>
    </xf>
    <xf numFmtId="0" fontId="0" fillId="0" borderId="18" xfId="0" applyBorder="1"/>
    <xf numFmtId="0" fontId="77" fillId="28" borderId="12" xfId="0" applyFont="1" applyFill="1" applyBorder="1" applyAlignment="1">
      <alignment horizontal="center" vertical="center"/>
    </xf>
    <xf numFmtId="0" fontId="77" fillId="28" borderId="13" xfId="0" applyFont="1" applyFill="1" applyBorder="1" applyAlignment="1">
      <alignment horizontal="center" vertical="center"/>
    </xf>
    <xf numFmtId="0" fontId="82" fillId="0" borderId="0" xfId="0" applyFont="1"/>
    <xf numFmtId="0" fontId="83" fillId="0" borderId="13" xfId="0" applyFont="1" applyBorder="1" applyAlignment="1">
      <alignment horizontal="left" vertical="center"/>
    </xf>
    <xf numFmtId="0" fontId="69" fillId="0" borderId="13" xfId="0" applyFont="1" applyBorder="1"/>
    <xf numFmtId="3" fontId="84" fillId="28" borderId="15" xfId="0" applyNumberFormat="1" applyFont="1" applyFill="1" applyBorder="1" applyAlignment="1">
      <alignment horizontal="center" vertical="center"/>
    </xf>
    <xf numFmtId="0" fontId="84" fillId="0" borderId="13" xfId="0" applyFont="1" applyBorder="1"/>
    <xf numFmtId="0" fontId="84" fillId="0" borderId="0" xfId="0" applyFont="1"/>
    <xf numFmtId="0" fontId="85" fillId="0" borderId="0" xfId="0" applyFont="1" applyAlignment="1">
      <alignment horizontal="center" vertical="center"/>
    </xf>
    <xf numFmtId="0" fontId="49" fillId="0" borderId="0" xfId="0" applyFont="1" applyAlignment="1">
      <alignment horizontal="left" vertical="top"/>
    </xf>
    <xf numFmtId="0" fontId="58" fillId="0" borderId="13" xfId="0" applyFont="1" applyBorder="1"/>
    <xf numFmtId="0" fontId="69" fillId="0" borderId="39" xfId="0" applyFont="1" applyBorder="1"/>
    <xf numFmtId="0" fontId="0" fillId="0" borderId="38" xfId="0" applyBorder="1" applyAlignment="1">
      <alignment horizontal="center" vertical="center"/>
    </xf>
    <xf numFmtId="0" fontId="86" fillId="0" borderId="13" xfId="0" applyFont="1" applyBorder="1"/>
    <xf numFmtId="0" fontId="49" fillId="0" borderId="0" xfId="0" applyFont="1" applyAlignment="1">
      <alignment horizontal="right" vertical="center" indent="2"/>
    </xf>
    <xf numFmtId="0" fontId="87" fillId="0" borderId="0" xfId="0" applyFont="1" applyAlignment="1">
      <alignment horizontal="right" indent="2"/>
    </xf>
    <xf numFmtId="168" fontId="88" fillId="28" borderId="40" xfId="0" applyNumberFormat="1" applyFont="1" applyFill="1" applyBorder="1" applyAlignment="1">
      <alignment horizontal="center" vertical="center"/>
    </xf>
    <xf numFmtId="168" fontId="89" fillId="28" borderId="15" xfId="0" applyNumberFormat="1" applyFont="1" applyFill="1" applyBorder="1" applyAlignment="1">
      <alignment horizontal="center" vertical="center"/>
    </xf>
    <xf numFmtId="0" fontId="89" fillId="27" borderId="0" xfId="39" applyFont="1" applyFill="1"/>
    <xf numFmtId="10" fontId="89" fillId="28" borderId="15" xfId="42" applyNumberFormat="1" applyFont="1" applyFill="1" applyBorder="1" applyAlignment="1">
      <alignment horizontal="center"/>
    </xf>
    <xf numFmtId="0" fontId="82" fillId="0" borderId="12" xfId="0" applyFont="1" applyBorder="1"/>
    <xf numFmtId="0" fontId="78" fillId="27" borderId="0" xfId="39" applyFont="1" applyFill="1" applyAlignment="1">
      <alignment horizontal="left" vertical="center"/>
    </xf>
    <xf numFmtId="0" fontId="90" fillId="27" borderId="0" xfId="0" applyFont="1" applyFill="1" applyAlignment="1">
      <alignment horizontal="left" vertical="center"/>
    </xf>
    <xf numFmtId="0" fontId="90" fillId="0" borderId="0" xfId="0" applyFont="1" applyAlignment="1">
      <alignment horizontal="left" vertical="center"/>
    </xf>
    <xf numFmtId="0" fontId="78" fillId="0" borderId="0" xfId="0" applyFont="1" applyAlignment="1">
      <alignment horizontal="center" vertical="center"/>
    </xf>
    <xf numFmtId="0" fontId="48" fillId="0" borderId="39" xfId="0" applyFont="1" applyBorder="1" applyAlignment="1">
      <alignment horizontal="right" indent="1"/>
    </xf>
    <xf numFmtId="3" fontId="72" fillId="28" borderId="15" xfId="0" applyNumberFormat="1" applyFont="1" applyFill="1" applyBorder="1" applyAlignment="1">
      <alignment horizontal="center" vertical="center"/>
    </xf>
    <xf numFmtId="0" fontId="71" fillId="0" borderId="0" xfId="0" applyFont="1"/>
    <xf numFmtId="0" fontId="0" fillId="0" borderId="41" xfId="0" applyBorder="1"/>
    <xf numFmtId="0" fontId="73" fillId="0" borderId="39" xfId="0" applyFont="1" applyBorder="1"/>
    <xf numFmtId="0" fontId="54" fillId="0" borderId="39" xfId="0" applyFont="1" applyBorder="1"/>
    <xf numFmtId="0" fontId="69" fillId="0" borderId="39" xfId="0" applyFont="1" applyBorder="1" applyAlignment="1">
      <alignment horizontal="left" vertical="center"/>
    </xf>
    <xf numFmtId="0" fontId="0" fillId="0" borderId="39" xfId="0" applyBorder="1" applyAlignment="1">
      <alignment horizontal="center" vertical="center"/>
    </xf>
    <xf numFmtId="0" fontId="69" fillId="0" borderId="39" xfId="0" applyFont="1" applyBorder="1" applyAlignment="1">
      <alignment horizontal="center" vertical="center"/>
    </xf>
    <xf numFmtId="0" fontId="72" fillId="0" borderId="39" xfId="0" applyFont="1" applyBorder="1"/>
    <xf numFmtId="0" fontId="84" fillId="0" borderId="39" xfId="0" applyFont="1" applyBorder="1"/>
    <xf numFmtId="0" fontId="0" fillId="0" borderId="39" xfId="0" applyBorder="1" applyAlignment="1">
      <alignment horizontal="left" vertical="center"/>
    </xf>
    <xf numFmtId="0" fontId="45" fillId="0" borderId="39" xfId="0" applyFont="1" applyBorder="1" applyAlignment="1">
      <alignment horizontal="right"/>
    </xf>
    <xf numFmtId="0" fontId="91" fillId="0" borderId="39" xfId="0" applyFont="1" applyBorder="1" applyAlignment="1">
      <alignment vertical="center"/>
    </xf>
    <xf numFmtId="0" fontId="91" fillId="0" borderId="39" xfId="0" applyFont="1" applyBorder="1" applyAlignment="1">
      <alignment horizontal="right" vertical="center"/>
    </xf>
    <xf numFmtId="10" fontId="56" fillId="0" borderId="39" xfId="0" applyNumberFormat="1" applyFont="1" applyBorder="1" applyAlignment="1">
      <alignment horizontal="right"/>
    </xf>
    <xf numFmtId="0" fontId="56" fillId="0" borderId="39" xfId="0" applyFont="1" applyBorder="1" applyAlignment="1">
      <alignment horizontal="center"/>
    </xf>
    <xf numFmtId="10" fontId="92" fillId="0" borderId="39" xfId="0" applyNumberFormat="1" applyFont="1" applyBorder="1" applyAlignment="1">
      <alignment horizontal="right"/>
    </xf>
    <xf numFmtId="0" fontId="45" fillId="0" borderId="39" xfId="0" applyFont="1" applyBorder="1" applyAlignment="1">
      <alignment horizontal="right" vertical="center"/>
    </xf>
    <xf numFmtId="0" fontId="71" fillId="0" borderId="39" xfId="0" applyFont="1" applyBorder="1"/>
    <xf numFmtId="0" fontId="93" fillId="0" borderId="39" xfId="0" applyFont="1" applyBorder="1"/>
    <xf numFmtId="0" fontId="67" fillId="0" borderId="0" xfId="0" applyFont="1" applyAlignment="1">
      <alignment horizontal="center"/>
    </xf>
    <xf numFmtId="10" fontId="67" fillId="0" borderId="0" xfId="0" applyNumberFormat="1" applyFont="1" applyAlignment="1">
      <alignment horizontal="center"/>
    </xf>
    <xf numFmtId="10" fontId="67" fillId="0" borderId="0" xfId="42" applyNumberFormat="1" applyFont="1" applyAlignment="1">
      <alignment horizontal="center"/>
    </xf>
    <xf numFmtId="0" fontId="39" fillId="0" borderId="0" xfId="0" applyFont="1"/>
    <xf numFmtId="0" fontId="39" fillId="0" borderId="0" xfId="0" applyFont="1" applyAlignment="1">
      <alignment horizontal="center"/>
    </xf>
    <xf numFmtId="0" fontId="94" fillId="0" borderId="0" xfId="0" applyFont="1" applyAlignment="1">
      <alignment horizontal="left" indent="1"/>
    </xf>
    <xf numFmtId="0" fontId="47" fillId="0" borderId="21" xfId="0" applyFont="1" applyBorder="1"/>
    <xf numFmtId="171" fontId="42" fillId="0" borderId="0" xfId="0" applyNumberFormat="1" applyFont="1"/>
    <xf numFmtId="3" fontId="42" fillId="0" borderId="0" xfId="0" applyNumberFormat="1" applyFont="1"/>
    <xf numFmtId="4" fontId="49" fillId="0" borderId="0" xfId="0" applyNumberFormat="1" applyFont="1" applyAlignment="1">
      <alignment horizontal="center"/>
    </xf>
    <xf numFmtId="4" fontId="49" fillId="0" borderId="27" xfId="0" applyNumberFormat="1" applyFont="1" applyBorder="1" applyAlignment="1">
      <alignment horizontal="center"/>
    </xf>
    <xf numFmtId="0" fontId="49" fillId="0" borderId="18" xfId="0" applyFont="1" applyBorder="1" applyAlignment="1">
      <alignment horizontal="center"/>
    </xf>
    <xf numFmtId="0" fontId="42" fillId="0" borderId="42" xfId="0" applyFont="1" applyBorder="1"/>
    <xf numFmtId="0" fontId="91" fillId="0" borderId="0" xfId="0" applyFont="1"/>
    <xf numFmtId="167" fontId="58" fillId="0" borderId="0" xfId="0" applyNumberFormat="1" applyFont="1" applyAlignment="1">
      <alignment vertical="center"/>
    </xf>
    <xf numFmtId="169" fontId="95" fillId="28" borderId="15" xfId="0" applyNumberFormat="1" applyFont="1" applyFill="1" applyBorder="1" applyAlignment="1">
      <alignment horizontal="center" vertical="center"/>
    </xf>
    <xf numFmtId="3" fontId="96" fillId="28" borderId="15" xfId="0" applyNumberFormat="1" applyFont="1" applyFill="1" applyBorder="1" applyAlignment="1">
      <alignment horizontal="center" vertical="center"/>
    </xf>
    <xf numFmtId="0" fontId="97" fillId="28" borderId="13" xfId="0" applyFont="1" applyFill="1" applyBorder="1" applyAlignment="1">
      <alignment horizontal="center"/>
    </xf>
    <xf numFmtId="10" fontId="48" fillId="26" borderId="37" xfId="0" applyNumberFormat="1" applyFont="1" applyFill="1" applyBorder="1" applyAlignment="1">
      <alignment horizontal="center" vertical="center"/>
    </xf>
    <xf numFmtId="10" fontId="48" fillId="26" borderId="17" xfId="0" applyNumberFormat="1" applyFont="1" applyFill="1" applyBorder="1" applyAlignment="1">
      <alignment horizontal="center" vertical="center"/>
    </xf>
    <xf numFmtId="0" fontId="59" fillId="0" borderId="13" xfId="0" applyFont="1" applyBorder="1" applyAlignment="1">
      <alignment horizontal="left"/>
    </xf>
    <xf numFmtId="0" fontId="68" fillId="28" borderId="43" xfId="0" applyFont="1" applyFill="1" applyBorder="1" applyAlignment="1">
      <alignment horizontal="center" vertical="center"/>
    </xf>
    <xf numFmtId="0" fontId="68" fillId="28" borderId="12" xfId="0" applyFont="1" applyFill="1" applyBorder="1" applyAlignment="1">
      <alignment horizontal="center" vertical="center"/>
    </xf>
    <xf numFmtId="0" fontId="68" fillId="28" borderId="19" xfId="0" applyFont="1" applyFill="1" applyBorder="1" applyAlignment="1">
      <alignment horizontal="center" vertical="center"/>
    </xf>
    <xf numFmtId="0" fontId="67" fillId="31" borderId="43" xfId="0" applyFont="1" applyFill="1" applyBorder="1" applyAlignment="1">
      <alignment horizontal="center" vertical="center"/>
    </xf>
    <xf numFmtId="0" fontId="67" fillId="31" borderId="12" xfId="0" applyFont="1" applyFill="1" applyBorder="1" applyAlignment="1">
      <alignment horizontal="center" vertical="center"/>
    </xf>
    <xf numFmtId="10" fontId="48" fillId="26" borderId="20" xfId="0" applyNumberFormat="1" applyFont="1" applyFill="1" applyBorder="1" applyAlignment="1">
      <alignment horizontal="center" vertical="center"/>
    </xf>
    <xf numFmtId="10" fontId="48" fillId="26" borderId="18" xfId="0" applyNumberFormat="1" applyFont="1" applyFill="1" applyBorder="1" applyAlignment="1">
      <alignment horizontal="center" vertical="center"/>
    </xf>
  </cellXfs>
  <cellStyles count="54">
    <cellStyle name="20% - Ênfase1" xfId="1"/>
    <cellStyle name="20% - Ênfase2" xfId="2"/>
    <cellStyle name="20% - Ênfase3" xfId="3"/>
    <cellStyle name="20% - Ênfase4" xfId="4"/>
    <cellStyle name="20% - Ênfase5" xfId="5"/>
    <cellStyle name="20% - Ênfase6" xfId="6"/>
    <cellStyle name="40% - Ênfase1" xfId="7"/>
    <cellStyle name="40% - Ênfase2" xfId="8"/>
    <cellStyle name="40% - Ênfase3" xfId="9"/>
    <cellStyle name="40% - Ênfase4" xfId="10"/>
    <cellStyle name="40% - Ênfase5" xfId="11"/>
    <cellStyle name="40% - Ênfase6" xfId="12"/>
    <cellStyle name="60% - Ênfase1" xfId="13"/>
    <cellStyle name="60% - Ênfase2" xfId="14"/>
    <cellStyle name="60% - Ênfase3" xfId="15"/>
    <cellStyle name="60% - Ênfase4" xfId="16"/>
    <cellStyle name="60% - Ênfase5" xfId="17"/>
    <cellStyle name="60% - Ênfase6" xfId="18"/>
    <cellStyle name="Bom" xfId="19"/>
    <cellStyle name="Cálculo" xfId="20"/>
    <cellStyle name="Célula de Verificação" xfId="21"/>
    <cellStyle name="Célula Vinculada" xfId="22"/>
    <cellStyle name="Comma 2" xfId="23"/>
    <cellStyle name="Ênfase1" xfId="24"/>
    <cellStyle name="Ênfase2" xfId="25"/>
    <cellStyle name="Ênfase3" xfId="26"/>
    <cellStyle name="Ênfase4" xfId="27"/>
    <cellStyle name="Ênfase5" xfId="28"/>
    <cellStyle name="Ênfase6" xfId="29"/>
    <cellStyle name="Entrada" xfId="30"/>
    <cellStyle name="Euro" xfId="31"/>
    <cellStyle name="Hyperlink 2" xfId="32"/>
    <cellStyle name="Incorreto" xfId="33"/>
    <cellStyle name="Neutra" xfId="34"/>
    <cellStyle name="Normal" xfId="0" builtinId="0"/>
    <cellStyle name="Normal 2" xfId="35"/>
    <cellStyle name="Normal 2 2" xfId="36"/>
    <cellStyle name="Normal 3" xfId="37"/>
    <cellStyle name="Normal 4" xfId="38"/>
    <cellStyle name="Normal_Simulador de Patrimonio" xfId="39"/>
    <cellStyle name="Nota" xfId="40"/>
    <cellStyle name="Nota 2" xfId="41"/>
    <cellStyle name="Percent 2" xfId="43"/>
    <cellStyle name="Porcentagem" xfId="42" builtinId="5"/>
    <cellStyle name="Saída" xfId="44"/>
    <cellStyle name="Separador de milhares_Simulador de Patrimonio" xfId="45"/>
    <cellStyle name="Texto de Aviso" xfId="46"/>
    <cellStyle name="Texto Explicativo" xfId="47"/>
    <cellStyle name="Título" xfId="48"/>
    <cellStyle name="Título 1" xfId="49"/>
    <cellStyle name="Título 2" xfId="50"/>
    <cellStyle name="Título 3" xfId="51"/>
    <cellStyle name="Título 4" xfId="52"/>
    <cellStyle name="Título_Simulador de Patrimonio" xfId="53"/>
  </cellStyles>
  <dxfs count="0"/>
  <tableStyles count="0" defaultTableStyle="TableStyleMedium9" defaultPivotStyle="PivotStyleLight16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021505376344537E-3"/>
          <c:y val="0"/>
          <c:w val="0.99139784946236376"/>
          <c:h val="1"/>
        </c:manualLayout>
      </c:layout>
      <c:barChart>
        <c:barDir val="bar"/>
        <c:grouping val="stacked"/>
        <c:varyColors val="0"/>
        <c:ser>
          <c:idx val="1"/>
          <c:order val="0"/>
          <c:tx>
            <c:strRef>
              <c:f>Resultados!$M$4</c:f>
              <c:strCache>
                <c:ptCount val="1"/>
                <c:pt idx="0">
                  <c:v>% Aportes</c:v>
                </c:pt>
              </c:strCache>
            </c:strRef>
          </c:tx>
          <c:spPr>
            <a:solidFill>
              <a:srgbClr val="4F81BD">
                <a:alpha val="50196"/>
              </a:srgbClr>
            </a:solidFill>
            <a:ln w="25400">
              <a:noFill/>
            </a:ln>
          </c:spPr>
          <c:invertIfNegative val="0"/>
          <c:val>
            <c:numRef>
              <c:f>Resultados!$M$5:$M$14</c:f>
              <c:numCache>
                <c:formatCode>0.00%</c:formatCode>
                <c:ptCount val="10"/>
                <c:pt idx="0">
                  <c:v>0.7744975876219784</c:v>
                </c:pt>
                <c:pt idx="1">
                  <c:v>0.63650889780073838</c:v>
                </c:pt>
                <c:pt idx="2">
                  <c:v>0.52978096766951255</c:v>
                </c:pt>
                <c:pt idx="3">
                  <c:v>0.44385489200283479</c:v>
                </c:pt>
                <c:pt idx="4">
                  <c:v>0.37363520279833029</c:v>
                </c:pt>
                <c:pt idx="5">
                  <c:v>0.31576961348567806</c:v>
                </c:pt>
                <c:pt idx="6">
                  <c:v>0.26779959594760205</c:v>
                </c:pt>
                <c:pt idx="7">
                  <c:v>0.22783839125989255</c:v>
                </c:pt>
                <c:pt idx="8">
                  <c:v>0.19440550510878254</c:v>
                </c:pt>
                <c:pt idx="9">
                  <c:v>0.16632435253636571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C5-41D0-907A-62790AB29424}"/>
            </c:ext>
          </c:extLst>
        </c:ser>
        <c:ser>
          <c:idx val="0"/>
          <c:order val="1"/>
          <c:tx>
            <c:strRef>
              <c:f>Resultados!$O$4</c:f>
              <c:strCache>
                <c:ptCount val="1"/>
                <c:pt idx="0">
                  <c:v>Juros %</c:v>
                </c:pt>
              </c:strCache>
            </c:strRef>
          </c:tx>
          <c:spPr>
            <a:solidFill>
              <a:srgbClr val="9BBB59">
                <a:alpha val="74902"/>
              </a:srgbClr>
            </a:solidFill>
            <a:ln w="25400">
              <a:noFill/>
            </a:ln>
          </c:spPr>
          <c:invertIfNegative val="0"/>
          <c:cat>
            <c:numRef>
              <c:f>Resultados!$L$5:$L$14</c:f>
              <c:numCache>
                <c:formatCode>#,##0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Resultados!$O$5:$O$14</c:f>
              <c:numCache>
                <c:formatCode>0.00%</c:formatCode>
                <c:ptCount val="10"/>
                <c:pt idx="0">
                  <c:v>0.2255024123780216</c:v>
                </c:pt>
                <c:pt idx="1">
                  <c:v>0.36349110219926162</c:v>
                </c:pt>
                <c:pt idx="2">
                  <c:v>0.47021903233048745</c:v>
                </c:pt>
                <c:pt idx="3">
                  <c:v>0.55614510799716521</c:v>
                </c:pt>
                <c:pt idx="4">
                  <c:v>0.62636479720166971</c:v>
                </c:pt>
                <c:pt idx="5">
                  <c:v>0.684230386514322</c:v>
                </c:pt>
                <c:pt idx="6">
                  <c:v>0.73220040405239795</c:v>
                </c:pt>
                <c:pt idx="7">
                  <c:v>0.77216160874010742</c:v>
                </c:pt>
                <c:pt idx="8">
                  <c:v>0.80559449489121748</c:v>
                </c:pt>
                <c:pt idx="9">
                  <c:v>0.83367564746363432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C5-41D0-907A-62790AB294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5291008"/>
        <c:axId val="153811136"/>
      </c:barChart>
      <c:catAx>
        <c:axId val="165291008"/>
        <c:scaling>
          <c:orientation val="maxMin"/>
        </c:scaling>
        <c:delete val="1"/>
        <c:axPos val="l"/>
        <c:majorTickMark val="out"/>
        <c:minorTickMark val="none"/>
        <c:tickLblPos val="nextTo"/>
        <c:crossAx val="153811136"/>
        <c:crosses val="autoZero"/>
        <c:auto val="1"/>
        <c:lblAlgn val="ctr"/>
        <c:lblOffset val="100"/>
        <c:noMultiLvlLbl val="0"/>
      </c:catAx>
      <c:valAx>
        <c:axId val="153811136"/>
        <c:scaling>
          <c:orientation val="minMax"/>
          <c:max val="1"/>
        </c:scaling>
        <c:delete val="1"/>
        <c:axPos val="t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0%" sourceLinked="1"/>
        <c:majorTickMark val="out"/>
        <c:minorTickMark val="none"/>
        <c:tickLblPos val="nextTo"/>
        <c:crossAx val="165291008"/>
        <c:crosses val="autoZero"/>
        <c:crossBetween val="between"/>
        <c:majorUnit val="0.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5000000000000222" l="0.70000000000000118" r="0.70000000000000118" t="0.750000000000002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516597278532308E-3"/>
          <c:y val="0"/>
          <c:w val="0.99139784946236276"/>
          <c:h val="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Resultados!$M$19</c:f>
              <c:strCache>
                <c:ptCount val="1"/>
                <c:pt idx="0">
                  <c:v>Patrimônio</c:v>
                </c:pt>
              </c:strCache>
            </c:strRef>
          </c:tx>
          <c:spPr>
            <a:solidFill>
              <a:srgbClr val="4F81BD">
                <a:alpha val="74902"/>
              </a:srgbClr>
            </a:solidFill>
            <a:ln w="25400">
              <a:noFill/>
            </a:ln>
          </c:spPr>
          <c:invertIfNegative val="0"/>
          <c:val>
            <c:numRef>
              <c:f>Resultados!$M$20:$M$29</c:f>
              <c:numCache>
                <c:formatCode>"R$ "#,##0</c:formatCode>
                <c:ptCount val="10"/>
                <c:pt idx="0">
                  <c:v>133105.66892095667</c:v>
                </c:pt>
                <c:pt idx="1">
                  <c:v>298490.80913825921</c:v>
                </c:pt>
                <c:pt idx="2">
                  <c:v>567977.2229586537</c:v>
                </c:pt>
                <c:pt idx="3">
                  <c:v>996852.32943230704</c:v>
                </c:pt>
                <c:pt idx="4">
                  <c:v>1667725.2860024006</c:v>
                </c:pt>
                <c:pt idx="5">
                  <c:v>2703546.5506300251</c:v>
                </c:pt>
                <c:pt idx="6">
                  <c:v>4286709.1930370051</c:v>
                </c:pt>
                <c:pt idx="7">
                  <c:v>6687040.6485756859</c:v>
                </c:pt>
                <c:pt idx="8">
                  <c:v>10302782.069233831</c:v>
                </c:pt>
                <c:pt idx="9">
                  <c:v>15720529.603704063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E0-4D03-8C5E-15448FC742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65292032"/>
        <c:axId val="154026560"/>
      </c:barChart>
      <c:catAx>
        <c:axId val="165292032"/>
        <c:scaling>
          <c:orientation val="maxMin"/>
        </c:scaling>
        <c:delete val="1"/>
        <c:axPos val="l"/>
        <c:majorTickMark val="out"/>
        <c:minorTickMark val="none"/>
        <c:tickLblPos val="nextTo"/>
        <c:crossAx val="154026560"/>
        <c:crosses val="autoZero"/>
        <c:auto val="1"/>
        <c:lblAlgn val="ctr"/>
        <c:lblOffset val="100"/>
        <c:noMultiLvlLbl val="0"/>
      </c:catAx>
      <c:valAx>
        <c:axId val="154026560"/>
        <c:scaling>
          <c:orientation val="minMax"/>
        </c:scaling>
        <c:delete val="1"/>
        <c:axPos val="t"/>
        <c:numFmt formatCode="&quot;R$ &quot;#,##0" sourceLinked="1"/>
        <c:majorTickMark val="out"/>
        <c:minorTickMark val="none"/>
        <c:tickLblPos val="nextTo"/>
        <c:crossAx val="16529203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5000000000000222" l="0.70000000000000118" r="0.70000000000000118" t="0.750000000000002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5637199525648212E-2"/>
          <c:y val="8.5117672790901128E-2"/>
          <c:w val="0.87735228492583983"/>
          <c:h val="0.7203298337707824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Calc!$V$4</c:f>
              <c:strCache>
                <c:ptCount val="1"/>
                <c:pt idx="0">
                  <c:v>Patrimônio</c:v>
                </c:pt>
              </c:strCache>
            </c:strRef>
          </c:tx>
          <c:spPr>
            <a:solidFill>
              <a:srgbClr val="4F81BD">
                <a:alpha val="74902"/>
              </a:srgbClr>
            </a:solidFill>
            <a:ln w="25400">
              <a:noFill/>
            </a:ln>
          </c:spPr>
          <c:invertIfNegative val="0"/>
          <c:dLbls>
            <c:numFmt formatCode="#,##0,\ \k" sourceLinked="0"/>
            <c:spPr>
              <a:noFill/>
              <a:ln w="25400">
                <a:noFill/>
              </a:ln>
            </c:spPr>
            <c:txPr>
              <a:bodyPr rot="-5400000" vert="horz"/>
              <a:lstStyle/>
              <a:p>
                <a:pPr algn="ctr">
                  <a:defRPr lang="en-US" sz="1000" b="0" i="0" u="none" strike="noStrike" baseline="0">
                    <a:solidFill>
                      <a:srgbClr val="808080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[0]!Data_Anual</c:f>
              <c:numCache>
                <c:formatCode>yyyy</c:formatCode>
                <c:ptCount val="20"/>
                <c:pt idx="0">
                  <c:v>45870</c:v>
                </c:pt>
                <c:pt idx="1">
                  <c:v>46235</c:v>
                </c:pt>
                <c:pt idx="2">
                  <c:v>46600</c:v>
                </c:pt>
                <c:pt idx="3">
                  <c:v>46966</c:v>
                </c:pt>
                <c:pt idx="4">
                  <c:v>47331</c:v>
                </c:pt>
                <c:pt idx="5">
                  <c:v>47696</c:v>
                </c:pt>
                <c:pt idx="6">
                  <c:v>48061</c:v>
                </c:pt>
                <c:pt idx="7">
                  <c:v>48427</c:v>
                </c:pt>
                <c:pt idx="8">
                  <c:v>48792</c:v>
                </c:pt>
                <c:pt idx="9">
                  <c:v>49157</c:v>
                </c:pt>
                <c:pt idx="10">
                  <c:v>49522</c:v>
                </c:pt>
                <c:pt idx="11">
                  <c:v>49888</c:v>
                </c:pt>
                <c:pt idx="12">
                  <c:v>50253</c:v>
                </c:pt>
                <c:pt idx="13">
                  <c:v>50618</c:v>
                </c:pt>
                <c:pt idx="14">
                  <c:v>50983</c:v>
                </c:pt>
                <c:pt idx="15">
                  <c:v>51349</c:v>
                </c:pt>
                <c:pt idx="16">
                  <c:v>51714</c:v>
                </c:pt>
                <c:pt idx="17">
                  <c:v>52079</c:v>
                </c:pt>
                <c:pt idx="18">
                  <c:v>52444</c:v>
                </c:pt>
                <c:pt idx="19">
                  <c:v>52810</c:v>
                </c:pt>
              </c:numCache>
            </c:numRef>
          </c:cat>
          <c:val>
            <c:numRef>
              <c:f>[0]!Patrimônio_Anual</c:f>
              <c:numCache>
                <c:formatCode>#,##0.00_);[Red]\(#,##0.00\)</c:formatCode>
                <c:ptCount val="20"/>
                <c:pt idx="0">
                  <c:v>50546.629891801866</c:v>
                </c:pt>
                <c:pt idx="1">
                  <c:v>67950.477493168975</c:v>
                </c:pt>
                <c:pt idx="2">
                  <c:v>87381.306418388762</c:v>
                </c:pt>
                <c:pt idx="3">
                  <c:v>109030.41694607867</c:v>
                </c:pt>
                <c:pt idx="4">
                  <c:v>133105.66892095667</c:v>
                </c:pt>
                <c:pt idx="5">
                  <c:v>159832.85362431579</c:v>
                </c:pt>
                <c:pt idx="6">
                  <c:v>189457.17653074997</c:v>
                </c:pt>
                <c:pt idx="7">
                  <c:v>222244.85978410122</c:v>
                </c:pt>
                <c:pt idx="8">
                  <c:v>258484.87392297029</c:v>
                </c:pt>
                <c:pt idx="9">
                  <c:v>298490.80913825921</c:v>
                </c:pt>
                <c:pt idx="10">
                  <c:v>342602.89715637639</c:v>
                </c:pt>
                <c:pt idx="11">
                  <c:v>391190.19571655762</c:v>
                </c:pt>
                <c:pt idx="12">
                  <c:v>444652.94855420542</c:v>
                </c:pt>
                <c:pt idx="13">
                  <c:v>503425.13481960917</c:v>
                </c:pt>
                <c:pt idx="14">
                  <c:v>567977.2229586537</c:v>
                </c:pt>
                <c:pt idx="15">
                  <c:v>638819.14526539179</c:v>
                </c:pt>
                <c:pt idx="16">
                  <c:v>716503.51059237809</c:v>
                </c:pt>
                <c:pt idx="17">
                  <c:v>801629.07408069156</c:v>
                </c:pt>
                <c:pt idx="18">
                  <c:v>894844.48425540049</c:v>
                </c:pt>
                <c:pt idx="19">
                  <c:v>996852.32943230704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91-41D4-A5DC-F19D89D6A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65292544"/>
        <c:axId val="154028288"/>
      </c:barChart>
      <c:dateAx>
        <c:axId val="16529254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ln w="9525">
            <a:noFill/>
          </a:ln>
        </c:spPr>
        <c:txPr>
          <a:bodyPr rot="-5400000" vert="horz"/>
          <a:lstStyle/>
          <a:p>
            <a:pPr>
              <a:defRPr lang="en-US" sz="1000" b="0">
                <a:solidFill>
                  <a:schemeClr val="bg1">
                    <a:lumMod val="65000"/>
                  </a:schemeClr>
                </a:solidFill>
              </a:defRPr>
            </a:pPr>
            <a:endParaRPr lang="pt-BR"/>
          </a:p>
        </c:txPr>
        <c:crossAx val="154028288"/>
        <c:crosses val="autoZero"/>
        <c:auto val="1"/>
        <c:lblOffset val="100"/>
        <c:baseTimeUnit val="years"/>
      </c:dateAx>
      <c:valAx>
        <c:axId val="15402828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#,##0,\ \K" sourceLinked="0"/>
        <c:majorTickMark val="out"/>
        <c:minorTickMark val="none"/>
        <c:tickLblPos val="nextTo"/>
        <c:spPr>
          <a:ln w="9525">
            <a:noFill/>
          </a:ln>
        </c:spPr>
        <c:txPr>
          <a:bodyPr/>
          <a:lstStyle/>
          <a:p>
            <a:pPr>
              <a:defRPr lang="en-US" b="0">
                <a:solidFill>
                  <a:schemeClr val="bg1">
                    <a:lumMod val="65000"/>
                  </a:schemeClr>
                </a:solidFill>
              </a:defRPr>
            </a:pPr>
            <a:endParaRPr lang="pt-BR"/>
          </a:p>
        </c:txPr>
        <c:crossAx val="16529254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5000000000000322" l="0.70000000000000118" r="0.70000000000000118" t="0.75000000000000322" header="0.3000000000000001" footer="0.30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5637199525648212E-2"/>
          <c:y val="8.5117672790901128E-2"/>
          <c:w val="0.87735228492583983"/>
          <c:h val="0.72032983377078241"/>
        </c:manualLayout>
      </c:layout>
      <c:barChart>
        <c:barDir val="col"/>
        <c:grouping val="clustered"/>
        <c:varyColors val="0"/>
        <c:ser>
          <c:idx val="0"/>
          <c:order val="1"/>
          <c:tx>
            <c:v>Nova Simulação</c:v>
          </c:tx>
          <c:spPr>
            <a:solidFill>
              <a:srgbClr val="4F81BD">
                <a:alpha val="74902"/>
              </a:srgbClr>
            </a:solidFill>
            <a:ln w="12700">
              <a:solidFill>
                <a:srgbClr val="666699"/>
              </a:solidFill>
              <a:prstDash val="solid"/>
            </a:ln>
          </c:spPr>
          <c:invertIfNegative val="0"/>
          <c:cat>
            <c:numRef>
              <c:f>[0]!Data_Anual_2</c:f>
              <c:numCache>
                <c:formatCode>yyyy</c:formatCode>
                <c:ptCount val="20"/>
                <c:pt idx="0">
                  <c:v>45870</c:v>
                </c:pt>
                <c:pt idx="1">
                  <c:v>46235</c:v>
                </c:pt>
                <c:pt idx="2">
                  <c:v>46600</c:v>
                </c:pt>
                <c:pt idx="3">
                  <c:v>46966</c:v>
                </c:pt>
                <c:pt idx="4">
                  <c:v>47331</c:v>
                </c:pt>
                <c:pt idx="5">
                  <c:v>47696</c:v>
                </c:pt>
                <c:pt idx="6">
                  <c:v>48061</c:v>
                </c:pt>
                <c:pt idx="7">
                  <c:v>48427</c:v>
                </c:pt>
                <c:pt idx="8">
                  <c:v>48792</c:v>
                </c:pt>
                <c:pt idx="9">
                  <c:v>49157</c:v>
                </c:pt>
                <c:pt idx="10">
                  <c:v>49522</c:v>
                </c:pt>
                <c:pt idx="11">
                  <c:v>49888</c:v>
                </c:pt>
                <c:pt idx="12">
                  <c:v>50253</c:v>
                </c:pt>
                <c:pt idx="13">
                  <c:v>50618</c:v>
                </c:pt>
                <c:pt idx="14">
                  <c:v>50983</c:v>
                </c:pt>
                <c:pt idx="15">
                  <c:v>51349</c:v>
                </c:pt>
                <c:pt idx="16">
                  <c:v>51714</c:v>
                </c:pt>
                <c:pt idx="17">
                  <c:v>52079</c:v>
                </c:pt>
                <c:pt idx="18">
                  <c:v>52444</c:v>
                </c:pt>
                <c:pt idx="19">
                  <c:v>52810</c:v>
                </c:pt>
              </c:numCache>
            </c:numRef>
          </c:cat>
          <c:val>
            <c:numRef>
              <c:f>[0]!Patrimônio_Anual_2</c:f>
              <c:numCache>
                <c:formatCode>#,##0.00_);[Red]\(#,##0.00\)</c:formatCode>
                <c:ptCount val="20"/>
                <c:pt idx="0">
                  <c:v>52191.609492815631</c:v>
                </c:pt>
                <c:pt idx="1">
                  <c:v>72068.711492972681</c:v>
                </c:pt>
                <c:pt idx="2">
                  <c:v>94969.342573813134</c:v>
                </c:pt>
                <c:pt idx="3">
                  <c:v>121283.25288749815</c:v>
                </c:pt>
                <c:pt idx="4">
                  <c:v>151447.72273019093</c:v>
                </c:pt>
                <c:pt idx="5">
                  <c:v>185953.23526112753</c:v>
                </c:pt>
                <c:pt idx="6">
                  <c:v>225349.82030383471</c:v>
                </c:pt>
                <c:pt idx="7">
                  <c:v>270254.14832513651</c:v>
                </c:pt>
                <c:pt idx="8">
                  <c:v>321357.46299545927</c:v>
                </c:pt>
                <c:pt idx="9">
                  <c:v>379434.45113641763</c:v>
                </c:pt>
                <c:pt idx="10">
                  <c:v>445353.16048743972</c:v>
                </c:pt>
                <c:pt idx="11">
                  <c:v>520086.08871608414</c:v>
                </c:pt>
                <c:pt idx="12">
                  <c:v>604722.58161743905</c:v>
                </c:pt>
                <c:pt idx="13">
                  <c:v>700482.69467619015</c:v>
                </c:pt>
                <c:pt idx="14">
                  <c:v>808732.69030134205</c:v>
                </c:pt>
                <c:pt idx="15">
                  <c:v>931002.36331248772</c:v>
                </c:pt>
                <c:pt idx="16">
                  <c:v>1069004.4099086646</c:v>
                </c:pt>
                <c:pt idx="17">
                  <c:v>1224656.0806663628</c:v>
                </c:pt>
                <c:pt idx="18">
                  <c:v>1400103.3864052633</c:v>
                </c:pt>
                <c:pt idx="19">
                  <c:v>1597748.1573787229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AF-4982-A949-79E104F74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6100992"/>
        <c:axId val="154030592"/>
      </c:barChart>
      <c:lineChart>
        <c:grouping val="standard"/>
        <c:varyColors val="0"/>
        <c:ser>
          <c:idx val="1"/>
          <c:order val="0"/>
          <c:tx>
            <c:v>Dados Iniciais</c:v>
          </c:tx>
          <c:spPr>
            <a:ln w="25400">
              <a:solidFill>
                <a:srgbClr val="993366"/>
              </a:solidFill>
              <a:prstDash val="solid"/>
            </a:ln>
          </c:spPr>
          <c:marker>
            <c:symbol val="none"/>
          </c:marker>
          <c:cat>
            <c:numRef>
              <c:f>[0]!Data_Anual_2</c:f>
              <c:numCache>
                <c:formatCode>yyyy</c:formatCode>
                <c:ptCount val="20"/>
                <c:pt idx="0">
                  <c:v>45870</c:v>
                </c:pt>
                <c:pt idx="1">
                  <c:v>46235</c:v>
                </c:pt>
                <c:pt idx="2">
                  <c:v>46600</c:v>
                </c:pt>
                <c:pt idx="3">
                  <c:v>46966</c:v>
                </c:pt>
                <c:pt idx="4">
                  <c:v>47331</c:v>
                </c:pt>
                <c:pt idx="5">
                  <c:v>47696</c:v>
                </c:pt>
                <c:pt idx="6">
                  <c:v>48061</c:v>
                </c:pt>
                <c:pt idx="7">
                  <c:v>48427</c:v>
                </c:pt>
                <c:pt idx="8">
                  <c:v>48792</c:v>
                </c:pt>
                <c:pt idx="9">
                  <c:v>49157</c:v>
                </c:pt>
                <c:pt idx="10">
                  <c:v>49522</c:v>
                </c:pt>
                <c:pt idx="11">
                  <c:v>49888</c:v>
                </c:pt>
                <c:pt idx="12">
                  <c:v>50253</c:v>
                </c:pt>
                <c:pt idx="13">
                  <c:v>50618</c:v>
                </c:pt>
                <c:pt idx="14">
                  <c:v>50983</c:v>
                </c:pt>
                <c:pt idx="15">
                  <c:v>51349</c:v>
                </c:pt>
                <c:pt idx="16">
                  <c:v>51714</c:v>
                </c:pt>
                <c:pt idx="17">
                  <c:v>52079</c:v>
                </c:pt>
                <c:pt idx="18">
                  <c:v>52444</c:v>
                </c:pt>
                <c:pt idx="19">
                  <c:v>52810</c:v>
                </c:pt>
              </c:numCache>
            </c:numRef>
          </c:cat>
          <c:val>
            <c:numRef>
              <c:f>[0]!Patrimônio_Anual_3</c:f>
              <c:numCache>
                <c:formatCode>#,##0.00_);[Red]\(#,##0.00\)</c:formatCode>
                <c:ptCount val="20"/>
                <c:pt idx="0">
                  <c:v>50546.629891801866</c:v>
                </c:pt>
                <c:pt idx="1">
                  <c:v>67950.477493168975</c:v>
                </c:pt>
                <c:pt idx="2">
                  <c:v>87381.306418388762</c:v>
                </c:pt>
                <c:pt idx="3">
                  <c:v>109030.41694607867</c:v>
                </c:pt>
                <c:pt idx="4">
                  <c:v>133105.66892095667</c:v>
                </c:pt>
                <c:pt idx="5">
                  <c:v>159832.85362431579</c:v>
                </c:pt>
                <c:pt idx="6">
                  <c:v>189457.17653074997</c:v>
                </c:pt>
                <c:pt idx="7">
                  <c:v>222244.85978410122</c:v>
                </c:pt>
                <c:pt idx="8">
                  <c:v>258484.87392297029</c:v>
                </c:pt>
                <c:pt idx="9">
                  <c:v>298490.80913825921</c:v>
                </c:pt>
                <c:pt idx="10">
                  <c:v>342602.89715637639</c:v>
                </c:pt>
                <c:pt idx="11">
                  <c:v>391190.19571655762</c:v>
                </c:pt>
                <c:pt idx="12">
                  <c:v>444652.94855420542</c:v>
                </c:pt>
                <c:pt idx="13">
                  <c:v>503425.13481960917</c:v>
                </c:pt>
                <c:pt idx="14">
                  <c:v>567977.2229586537</c:v>
                </c:pt>
                <c:pt idx="15">
                  <c:v>638819.14526539179</c:v>
                </c:pt>
                <c:pt idx="16">
                  <c:v>716503.51059237809</c:v>
                </c:pt>
                <c:pt idx="17">
                  <c:v>801629.07408069156</c:v>
                </c:pt>
                <c:pt idx="18">
                  <c:v>894844.48425540049</c:v>
                </c:pt>
                <c:pt idx="19">
                  <c:v>996852.32943230704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AF-4982-A949-79E104F74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100992"/>
        <c:axId val="154030592"/>
      </c:lineChart>
      <c:dateAx>
        <c:axId val="16610099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ln w="9525">
            <a:noFill/>
          </a:ln>
        </c:spPr>
        <c:txPr>
          <a:bodyPr rot="-5400000" vert="horz"/>
          <a:lstStyle/>
          <a:p>
            <a:pPr>
              <a:defRPr lang="en-US" sz="1000" b="0">
                <a:solidFill>
                  <a:schemeClr val="bg1">
                    <a:lumMod val="65000"/>
                  </a:schemeClr>
                </a:solidFill>
              </a:defRPr>
            </a:pPr>
            <a:endParaRPr lang="pt-BR"/>
          </a:p>
        </c:txPr>
        <c:crossAx val="154030592"/>
        <c:crosses val="autoZero"/>
        <c:auto val="1"/>
        <c:lblOffset val="100"/>
        <c:baseTimeUnit val="years"/>
      </c:dateAx>
      <c:valAx>
        <c:axId val="154030592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#,##0,\ \K" sourceLinked="0"/>
        <c:majorTickMark val="out"/>
        <c:minorTickMark val="none"/>
        <c:tickLblPos val="nextTo"/>
        <c:spPr>
          <a:ln w="9525">
            <a:noFill/>
          </a:ln>
        </c:spPr>
        <c:txPr>
          <a:bodyPr/>
          <a:lstStyle/>
          <a:p>
            <a:pPr>
              <a:defRPr lang="en-US" b="0">
                <a:solidFill>
                  <a:schemeClr val="bg1">
                    <a:lumMod val="65000"/>
                  </a:schemeClr>
                </a:solidFill>
              </a:defRPr>
            </a:pPr>
            <a:endParaRPr lang="pt-BR"/>
          </a:p>
        </c:txPr>
        <c:crossAx val="166100992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5000000000000322" l="0.70000000000000118" r="0.70000000000000118" t="0.75000000000000322" header="0.3000000000000001" footer="0.300000000000000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023622047244168E-3"/>
          <c:y val="0"/>
          <c:w val="0.99139784946236276"/>
          <c:h val="1"/>
        </c:manualLayout>
      </c:layout>
      <c:barChart>
        <c:barDir val="bar"/>
        <c:grouping val="stacked"/>
        <c:varyColors val="0"/>
        <c:ser>
          <c:idx val="1"/>
          <c:order val="0"/>
          <c:tx>
            <c:strRef>
              <c:f>'Nova Simulação'!$R$27:$S$27</c:f>
              <c:strCache>
                <c:ptCount val="1"/>
                <c:pt idx="0">
                  <c:v>% Aportes</c:v>
                </c:pt>
              </c:strCache>
            </c:strRef>
          </c:tx>
          <c:spPr>
            <a:solidFill>
              <a:srgbClr val="4F81BD">
                <a:alpha val="50196"/>
              </a:srgbClr>
            </a:solidFill>
            <a:ln w="25400">
              <a:noFill/>
            </a:ln>
          </c:spPr>
          <c:invertIfNegative val="0"/>
          <c:cat>
            <c:numRef>
              <c:f>'Nova Simulação'!$Q$28:$Q$37</c:f>
              <c:numCache>
                <c:formatCode>#,##0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'Nova Simulação'!$R$28:$R$37</c:f>
              <c:numCache>
                <c:formatCode>0.00%</c:formatCode>
                <c:ptCount val="10"/>
                <c:pt idx="0">
                  <c:v>0.68069705915452372</c:v>
                </c:pt>
                <c:pt idx="1">
                  <c:v>0.50072431577894938</c:v>
                </c:pt>
                <c:pt idx="2">
                  <c:v>0.37206796065231185</c:v>
                </c:pt>
                <c:pt idx="3">
                  <c:v>0.276925860298816</c:v>
                </c:pt>
                <c:pt idx="4">
                  <c:v>0.2059882164822851</c:v>
                </c:pt>
                <c:pt idx="5">
                  <c:v>0.15301353662208195</c:v>
                </c:pt>
                <c:pt idx="6">
                  <c:v>0.1134807191376266</c:v>
                </c:pt>
                <c:pt idx="7">
                  <c:v>8.4025253353370563E-2</c:v>
                </c:pt>
                <c:pt idx="8">
                  <c:v>6.2119483245128636E-2</c:v>
                </c:pt>
                <c:pt idx="9">
                  <c:v>4.5859728453317282E-2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65-411C-8EB6-86EBFDA7D6CE}"/>
            </c:ext>
          </c:extLst>
        </c:ser>
        <c:ser>
          <c:idx val="0"/>
          <c:order val="1"/>
          <c:tx>
            <c:strRef>
              <c:f>'Nova Simulação'!$W$27</c:f>
              <c:strCache>
                <c:ptCount val="1"/>
                <c:pt idx="0">
                  <c:v>Juros %</c:v>
                </c:pt>
              </c:strCache>
            </c:strRef>
          </c:tx>
          <c:spPr>
            <a:solidFill>
              <a:srgbClr val="9BBB59">
                <a:alpha val="74902"/>
              </a:srgbClr>
            </a:solidFill>
            <a:ln w="25400">
              <a:noFill/>
            </a:ln>
          </c:spPr>
          <c:invertIfNegative val="0"/>
          <c:cat>
            <c:numRef>
              <c:f>'Nova Simulação'!$Q$28:$Q$37</c:f>
              <c:numCache>
                <c:formatCode>#,##0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'Nova Simulação'!$W$28:$W$37</c:f>
              <c:numCache>
                <c:formatCode>0.00%</c:formatCode>
                <c:ptCount val="10"/>
                <c:pt idx="0">
                  <c:v>0.31930294084547628</c:v>
                </c:pt>
                <c:pt idx="1">
                  <c:v>0.49927568422105062</c:v>
                </c:pt>
                <c:pt idx="2">
                  <c:v>0.62793203934768815</c:v>
                </c:pt>
                <c:pt idx="3">
                  <c:v>0.72307413970118395</c:v>
                </c:pt>
                <c:pt idx="4">
                  <c:v>0.79401178351771495</c:v>
                </c:pt>
                <c:pt idx="5">
                  <c:v>0.84698646337791805</c:v>
                </c:pt>
                <c:pt idx="6">
                  <c:v>0.88651928086237342</c:v>
                </c:pt>
                <c:pt idx="7">
                  <c:v>0.91597474664662948</c:v>
                </c:pt>
                <c:pt idx="8">
                  <c:v>0.93788051675487139</c:v>
                </c:pt>
                <c:pt idx="9">
                  <c:v>0.95414027154668268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65-411C-8EB6-86EBFDA7D6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1529344"/>
        <c:axId val="154032320"/>
      </c:barChart>
      <c:catAx>
        <c:axId val="161529344"/>
        <c:scaling>
          <c:orientation val="maxMin"/>
        </c:scaling>
        <c:delete val="1"/>
        <c:axPos val="l"/>
        <c:numFmt formatCode="#,##0" sourceLinked="1"/>
        <c:majorTickMark val="out"/>
        <c:minorTickMark val="none"/>
        <c:tickLblPos val="nextTo"/>
        <c:crossAx val="154032320"/>
        <c:crosses val="autoZero"/>
        <c:auto val="1"/>
        <c:lblAlgn val="ctr"/>
        <c:lblOffset val="100"/>
        <c:noMultiLvlLbl val="0"/>
      </c:catAx>
      <c:valAx>
        <c:axId val="154032320"/>
        <c:scaling>
          <c:orientation val="minMax"/>
          <c:max val="1"/>
        </c:scaling>
        <c:delete val="1"/>
        <c:axPos val="t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0%" sourceLinked="1"/>
        <c:majorTickMark val="out"/>
        <c:minorTickMark val="none"/>
        <c:tickLblPos val="nextTo"/>
        <c:crossAx val="161529344"/>
        <c:crosses val="autoZero"/>
        <c:crossBetween val="between"/>
        <c:majorUnit val="0.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5000000000000222" l="0.70000000000000118" r="0.70000000000000118" t="0.75000000000000222" header="0.3000000000000001" footer="0.3000000000000001"/>
    <c:pageSetup/>
  </c:printSettings>
</c:chartSpace>
</file>

<file path=xl/ctrlProps/ctrlProp1.xml><?xml version="1.0" encoding="utf-8"?>
<formControlPr xmlns="http://schemas.microsoft.com/office/spreadsheetml/2009/9/main" objectType="CheckBox" fmlaLink="#REF!" lockText="1" noThreeD="1"/>
</file>

<file path=xl/ctrlProps/ctrlProp2.xml><?xml version="1.0" encoding="utf-8"?>
<formControlPr xmlns="http://schemas.microsoft.com/office/spreadsheetml/2009/9/main" objectType="CheckBox" fmlaLink="#REF!" lockText="1" noThreeD="1"/>
</file>

<file path=xl/ctrlProps/ctrlProp3.xml><?xml version="1.0" encoding="utf-8"?>
<formControlPr xmlns="http://schemas.microsoft.com/office/spreadsheetml/2009/9/main" objectType="CheckBox" fmlaLink="#REF!" lockText="1" noThreeD="1"/>
</file>

<file path=xl/ctrlProps/ctrlProp4.xml><?xml version="1.0" encoding="utf-8"?>
<formControlPr xmlns="http://schemas.microsoft.com/office/spreadsheetml/2009/9/main" objectType="CheckBox" fmlaLink="#REF!" lockText="1" noThreeD="1"/>
</file>

<file path=xl/ctrlProps/ctrlProp5.xml><?xml version="1.0" encoding="utf-8"?>
<formControlPr xmlns="http://schemas.microsoft.com/office/spreadsheetml/2009/9/main" objectType="CheckBox" fmlaLink="Auxiliar!$I$5" lockText="1" noThreeD="1"/>
</file>

<file path=xl/ctrlProps/ctrlProp6.xml><?xml version="1.0" encoding="utf-8"?>
<formControlPr xmlns="http://schemas.microsoft.com/office/spreadsheetml/2009/9/main" objectType="CheckBox" fmlaLink="#REF!" lockText="1" noThreeD="1"/>
</file>

<file path=xl/ctrlProps/ctrlProp7.xml><?xml version="1.0" encoding="utf-8"?>
<formControlPr xmlns="http://schemas.microsoft.com/office/spreadsheetml/2009/9/main" objectType="CheckBox" fmlaLink="#REF!" lockText="1" noThreeD="1"/>
</file>

<file path=xl/ctrlProps/ctrlProp8.xml><?xml version="1.0" encoding="utf-8"?>
<formControlPr xmlns="http://schemas.microsoft.com/office/spreadsheetml/2009/9/main" objectType="CheckBox" fmlaLink="#REF!" lockText="1" noThreeD="1"/>
</file>

<file path=xl/ctrlProps/ctrlProp9.xml><?xml version="1.0" encoding="utf-8"?>
<formControlPr xmlns="http://schemas.microsoft.com/office/spreadsheetml/2009/9/main" objectType="CheckBox" fmlaLink="#REF!" lockText="1" noThreeD="1"/>
</file>

<file path=xl/ctrlProps/ctrlProp10.xml><?xml version="1.0" encoding="utf-8"?>
<formControlPr xmlns="http://schemas.microsoft.com/office/spreadsheetml/2009/9/main" objectType="CheckBox" fmlaLink="#REF!" lockText="1" noThreeD="1"/>
</file>

<file path=xl/ctrlProps/ctrlProp11.xml><?xml version="1.0" encoding="utf-8"?>
<formControlPr xmlns="http://schemas.microsoft.com/office/spreadsheetml/2009/9/main" objectType="CheckBox" fmlaLink="Auxiliar!$I$6" lockText="1" noThreeD="1"/>
</file>

<file path=xl/ctrlProps/ctrlProp12.xml><?xml version="1.0" encoding="utf-8"?>
<formControlPr xmlns="http://schemas.microsoft.com/office/spreadsheetml/2009/9/main" objectType="CheckBox" fmlaLink="#REF!" lockText="1" noThreeD="1"/>
</file>

<file path=xl/ctrlProps/ctrlProp13.xml><?xml version="1.0" encoding="utf-8"?>
<formControlPr xmlns="http://schemas.microsoft.com/office/spreadsheetml/2009/9/main" objectType="CheckBox" fmlaLink="Auxiliar!$I$7" lockText="1" noThreeD="1"/>
</file>

<file path=xl/ctrlProps/ctrlProp14.xml><?xml version="1.0" encoding="utf-8"?>
<formControlPr xmlns="http://schemas.microsoft.com/office/spreadsheetml/2009/9/main" objectType="CheckBox" fmlaLink="#REF!" lockText="1" noThreeD="1"/>
</file>

<file path=xl/ctrlProps/ctrlProp15.xml><?xml version="1.0" encoding="utf-8"?>
<formControlPr xmlns="http://schemas.microsoft.com/office/spreadsheetml/2009/9/main" objectType="CheckBox" fmlaLink="#REF!" lockText="1" noThreeD="1"/>
</file>

<file path=xl/ctrlProps/ctrlProp16.xml><?xml version="1.0" encoding="utf-8"?>
<formControlPr xmlns="http://schemas.microsoft.com/office/spreadsheetml/2009/9/main" objectType="CheckBox" fmlaLink="Auxiliar!$I$8" lockText="1" noThreeD="1"/>
</file>

<file path=xl/ctrlProps/ctrlProp17.xml><?xml version="1.0" encoding="utf-8"?>
<formControlPr xmlns="http://schemas.microsoft.com/office/spreadsheetml/2009/9/main" objectType="CheckBox" fmlaLink="#REF!" lockText="1" noThreeD="1"/>
</file>

<file path=xl/ctrlProps/ctrlProp18.xml><?xml version="1.0" encoding="utf-8"?>
<formControlPr xmlns="http://schemas.microsoft.com/office/spreadsheetml/2009/9/main" objectType="CheckBox" fmlaLink="#REF!" lockText="1" noThreeD="1"/>
</file>

<file path=xl/ctrlProps/ctrlProp19.xml><?xml version="1.0" encoding="utf-8"?>
<formControlPr xmlns="http://schemas.microsoft.com/office/spreadsheetml/2009/9/main" objectType="CheckBox" fmlaLink="#REF!" lockText="1" noThreeD="1"/>
</file>

<file path=xl/ctrlProps/ctrlProp20.xml><?xml version="1.0" encoding="utf-8"?>
<formControlPr xmlns="http://schemas.microsoft.com/office/spreadsheetml/2009/9/main" objectType="CheckBox" fmlaLink="Auxiliar!$I$9" lockText="1" noThreeD="1"/>
</file>

<file path=xl/ctrlProps/ctrlProp21.xml><?xml version="1.0" encoding="utf-8"?>
<formControlPr xmlns="http://schemas.microsoft.com/office/spreadsheetml/2009/9/main" objectType="CheckBox" fmlaLink="#REF!" lockText="1" noThreeD="1"/>
</file>

<file path=xl/ctrlProps/ctrlProp22.xml><?xml version="1.0" encoding="utf-8"?>
<formControlPr xmlns="http://schemas.microsoft.com/office/spreadsheetml/2009/9/main" objectType="CheckBox" fmlaLink="#REF!" lockText="1" noThreeD="1"/>
</file>

<file path=xl/ctrlProps/ctrlProp23.xml><?xml version="1.0" encoding="utf-8"?>
<formControlPr xmlns="http://schemas.microsoft.com/office/spreadsheetml/2009/9/main" objectType="CheckBox" fmlaLink="#REF!" lockText="1" noThreeD="1"/>
</file>

<file path=xl/ctrlProps/ctrlProp24.xml><?xml version="1.0" encoding="utf-8"?>
<formControlPr xmlns="http://schemas.microsoft.com/office/spreadsheetml/2009/9/main" objectType="CheckBox" fmlaLink="#REF!" lockText="1" noThreeD="1"/>
</file>

<file path=xl/ctrlProps/ctrlProp25.xml><?xml version="1.0" encoding="utf-8"?>
<formControlPr xmlns="http://schemas.microsoft.com/office/spreadsheetml/2009/9/main" objectType="CheckBox" fmlaLink="Auxiliar!$I$10" lockText="1" noThreeD="1"/>
</file>

<file path=xl/ctrlProps/ctrlProp26.xml><?xml version="1.0" encoding="utf-8"?>
<formControlPr xmlns="http://schemas.microsoft.com/office/spreadsheetml/2009/9/main" objectType="CheckBox" fmlaLink="#REF!" lockText="1" noThreeD="1"/>
</file>

<file path=xl/ctrlProps/ctrlProp27.xml><?xml version="1.0" encoding="utf-8"?>
<formControlPr xmlns="http://schemas.microsoft.com/office/spreadsheetml/2009/9/main" objectType="CheckBox" fmlaLink="#REF!" lockText="1" noThreeD="1"/>
</file>

<file path=xl/ctrlProps/ctrlProp28.xml><?xml version="1.0" encoding="utf-8"?>
<formControlPr xmlns="http://schemas.microsoft.com/office/spreadsheetml/2009/9/main" objectType="CheckBox" fmlaLink="#REF!" lockText="1" noThreeD="1"/>
</file>

<file path=xl/ctrlProps/ctrlProp29.xml><?xml version="1.0" encoding="utf-8"?>
<formControlPr xmlns="http://schemas.microsoft.com/office/spreadsheetml/2009/9/main" objectType="CheckBox" fmlaLink="#REF!" lockText="1" noThreeD="1"/>
</file>

<file path=xl/ctrlProps/ctrlProp30.xml><?xml version="1.0" encoding="utf-8"?>
<formControlPr xmlns="http://schemas.microsoft.com/office/spreadsheetml/2009/9/main" objectType="CheckBox" fmlaLink="#REF!" lockText="1" noThreeD="1"/>
</file>

<file path=xl/ctrlProps/ctrlProp31.xml><?xml version="1.0" encoding="utf-8"?>
<formControlPr xmlns="http://schemas.microsoft.com/office/spreadsheetml/2009/9/main" objectType="CheckBox" fmlaLink="Auxiliar!$I$11" lockText="1" noThreeD="1"/>
</file>

<file path=xl/ctrlProps/ctrlProp32.xml><?xml version="1.0" encoding="utf-8"?>
<formControlPr xmlns="http://schemas.microsoft.com/office/spreadsheetml/2009/9/main" objectType="CheckBox" fmlaLink="#REF!" lockText="1" noThreeD="1"/>
</file>

<file path=xl/ctrlProps/ctrlProp33.xml><?xml version="1.0" encoding="utf-8"?>
<formControlPr xmlns="http://schemas.microsoft.com/office/spreadsheetml/2009/9/main" objectType="CheckBox" fmlaLink="#REF!" lockText="1" noThreeD="1"/>
</file>

<file path=xl/ctrlProps/ctrlProp34.xml><?xml version="1.0" encoding="utf-8"?>
<formControlPr xmlns="http://schemas.microsoft.com/office/spreadsheetml/2009/9/main" objectType="CheckBox" fmlaLink="#REF!" lockText="1" noThreeD="1"/>
</file>

<file path=xl/ctrlProps/ctrlProp35.xml><?xml version="1.0" encoding="utf-8"?>
<formControlPr xmlns="http://schemas.microsoft.com/office/spreadsheetml/2009/9/main" objectType="CheckBox" fmlaLink="#REF!" lockText="1" noThreeD="1"/>
</file>

<file path=xl/ctrlProps/ctrlProp36.xml><?xml version="1.0" encoding="utf-8"?>
<formControlPr xmlns="http://schemas.microsoft.com/office/spreadsheetml/2009/9/main" objectType="CheckBox" fmlaLink="#REF!" lockText="1" noThreeD="1"/>
</file>

<file path=xl/ctrlProps/ctrlProp37.xml><?xml version="1.0" encoding="utf-8"?>
<formControlPr xmlns="http://schemas.microsoft.com/office/spreadsheetml/2009/9/main" objectType="CheckBox" fmlaLink="Auxiliar!$I$12" lockText="1" noThreeD="1"/>
</file>

<file path=xl/ctrlProps/ctrlProp38.xml><?xml version="1.0" encoding="utf-8"?>
<formControlPr xmlns="http://schemas.microsoft.com/office/spreadsheetml/2009/9/main" objectType="CheckBox" fmlaLink="#REF!" lockText="1" noThreeD="1"/>
</file>

<file path=xl/ctrlProps/ctrlProp39.xml><?xml version="1.0" encoding="utf-8"?>
<formControlPr xmlns="http://schemas.microsoft.com/office/spreadsheetml/2009/9/main" objectType="CheckBox" fmlaLink="#REF!" lockText="1" noThreeD="1"/>
</file>

<file path=xl/ctrlProps/ctrlProp40.xml><?xml version="1.0" encoding="utf-8"?>
<formControlPr xmlns="http://schemas.microsoft.com/office/spreadsheetml/2009/9/main" objectType="CheckBox" fmlaLink="#REF!" lockText="1" noThreeD="1"/>
</file>

<file path=xl/ctrlProps/ctrlProp41.xml><?xml version="1.0" encoding="utf-8"?>
<formControlPr xmlns="http://schemas.microsoft.com/office/spreadsheetml/2009/9/main" objectType="CheckBox" fmlaLink="#REF!" lockText="1" noThreeD="1"/>
</file>

<file path=xl/ctrlProps/ctrlProp42.xml><?xml version="1.0" encoding="utf-8"?>
<formControlPr xmlns="http://schemas.microsoft.com/office/spreadsheetml/2009/9/main" objectType="CheckBox" fmlaLink="#REF!" lockText="1" noThreeD="1"/>
</file>

<file path=xl/ctrlProps/ctrlProp43.xml><?xml version="1.0" encoding="utf-8"?>
<formControlPr xmlns="http://schemas.microsoft.com/office/spreadsheetml/2009/9/main" objectType="CheckBox" fmlaLink="Auxiliar!$I$13" lockText="1" noThreeD="1"/>
</file>

<file path=xl/ctrlProps/ctrlProp44.xml><?xml version="1.0" encoding="utf-8"?>
<formControlPr xmlns="http://schemas.microsoft.com/office/spreadsheetml/2009/9/main" objectType="CheckBox" fmlaLink="#REF!" lockText="1" noThreeD="1"/>
</file>

<file path=xl/ctrlProps/ctrlProp45.xml><?xml version="1.0" encoding="utf-8"?>
<formControlPr xmlns="http://schemas.microsoft.com/office/spreadsheetml/2009/9/main" objectType="CheckBox" fmlaLink="#REF!" lockText="1" noThreeD="1"/>
</file>

<file path=xl/ctrlProps/ctrlProp46.xml><?xml version="1.0" encoding="utf-8"?>
<formControlPr xmlns="http://schemas.microsoft.com/office/spreadsheetml/2009/9/main" objectType="CheckBox" fmlaLink="#REF!" lockText="1" noThreeD="1"/>
</file>

<file path=xl/ctrlProps/ctrlProp47.xml><?xml version="1.0" encoding="utf-8"?>
<formControlPr xmlns="http://schemas.microsoft.com/office/spreadsheetml/2009/9/main" objectType="CheckBox" fmlaLink="#REF!" lockText="1" noThreeD="1"/>
</file>

<file path=xl/ctrlProps/ctrlProp48.xml><?xml version="1.0" encoding="utf-8"?>
<formControlPr xmlns="http://schemas.microsoft.com/office/spreadsheetml/2009/9/main" objectType="CheckBox" fmlaLink="#REF!" lockText="1" noThreeD="1"/>
</file>

<file path=xl/ctrlProps/ctrlProp49.xml><?xml version="1.0" encoding="utf-8"?>
<formControlPr xmlns="http://schemas.microsoft.com/office/spreadsheetml/2009/9/main" objectType="CheckBox" fmlaLink="Auxiliar!$I$14" lockText="1" noThreeD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2</xdr:col>
      <xdr:colOff>0</xdr:colOff>
      <xdr:row>4</xdr:row>
      <xdr:rowOff>0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1000" y="581025"/>
          <a:ext cx="276225" cy="266700"/>
        </a:xfrm>
        <a:prstGeom prst="ellipse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pt-BR" sz="1200" b="1">
              <a:solidFill>
                <a:schemeClr val="bg1"/>
              </a:solidFill>
              <a:latin typeface="+mn-lt"/>
              <a:ea typeface="+mn-ea"/>
              <a:cs typeface="+mn-cs"/>
            </a:rPr>
            <a:t>1</a:t>
          </a:r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2</xdr:col>
      <xdr:colOff>0</xdr:colOff>
      <xdr:row>7</xdr:row>
      <xdr:rowOff>0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09600" y="647700"/>
          <a:ext cx="304800" cy="266700"/>
        </a:xfrm>
        <a:prstGeom prst="ellipse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pt-BR" sz="1200" b="1">
              <a:solidFill>
                <a:schemeClr val="bg1"/>
              </a:solidFill>
              <a:latin typeface="+mn-lt"/>
              <a:ea typeface="+mn-ea"/>
              <a:cs typeface="+mn-cs"/>
            </a:rPr>
            <a:t>2</a:t>
          </a:r>
        </a:p>
      </xdr:txBody>
    </xdr:sp>
    <xdr:clientData/>
  </xdr:twoCellAnchor>
  <xdr:twoCellAnchor>
    <xdr:from>
      <xdr:col>1</xdr:col>
      <xdr:colOff>0</xdr:colOff>
      <xdr:row>9</xdr:row>
      <xdr:rowOff>0</xdr:rowOff>
    </xdr:from>
    <xdr:to>
      <xdr:col>2</xdr:col>
      <xdr:colOff>0</xdr:colOff>
      <xdr:row>10</xdr:row>
      <xdr:rowOff>0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09600" y="1104900"/>
          <a:ext cx="304800" cy="266700"/>
        </a:xfrm>
        <a:prstGeom prst="ellipse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pt-BR" sz="1200" b="1">
              <a:solidFill>
                <a:schemeClr val="bg1"/>
              </a:solidFill>
              <a:latin typeface="+mn-lt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0</xdr:colOff>
      <xdr:row>13</xdr:row>
      <xdr:rowOff>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9600" y="1562100"/>
          <a:ext cx="304800" cy="266700"/>
        </a:xfrm>
        <a:prstGeom prst="ellipse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pt-BR" sz="1200" b="1">
              <a:solidFill>
                <a:schemeClr val="bg1"/>
              </a:solidFill>
              <a:latin typeface="+mn-lt"/>
              <a:ea typeface="+mn-ea"/>
              <a:cs typeface="+mn-cs"/>
            </a:rPr>
            <a:t>4</a:t>
          </a:r>
        </a:p>
      </xdr:txBody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0</xdr:colOff>
      <xdr:row>15</xdr:row>
      <xdr:rowOff>0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609600" y="1790700"/>
          <a:ext cx="304800" cy="266700"/>
        </a:xfrm>
        <a:prstGeom prst="ellipse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5</a:t>
          </a:r>
        </a:p>
      </xdr:txBody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0</xdr:colOff>
      <xdr:row>15</xdr:row>
      <xdr:rowOff>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09600" y="2171700"/>
          <a:ext cx="304800" cy="266700"/>
        </a:xfrm>
        <a:prstGeom prst="ellipse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0</xdr:colOff>
      <xdr:row>16</xdr:row>
      <xdr:rowOff>0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09600" y="2019300"/>
          <a:ext cx="276225" cy="266700"/>
        </a:xfrm>
        <a:prstGeom prst="ellipse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pt-BR" sz="1200" b="1">
              <a:solidFill>
                <a:schemeClr val="bg1"/>
              </a:solidFill>
              <a:latin typeface="+mn-lt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Calc!AC26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771525" y="581025"/>
          <a:ext cx="1476375" cy="266700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fld id="{5040407E-7D7A-7244-93D6-ABDEACAD3867}" type="TxLink">
            <a:rPr lang="pt-BR" sz="1200" b="1">
              <a:solidFill>
                <a:schemeClr val="lt1"/>
              </a:solidFill>
              <a:latin typeface="+mn-lt"/>
              <a:ea typeface="+mn-ea"/>
              <a:cs typeface="+mn-cs"/>
            </a:rPr>
            <a:pPr marL="0" indent="0" algn="ctr"/>
            <a:t>Capital Inicial</a:t>
          </a:fld>
          <a:endParaRPr lang="pt-BR" sz="12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Calc!AC27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000125" y="647700"/>
          <a:ext cx="1276350" cy="266700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fld id="{37915243-01B4-FF48-88B2-502E06644FA0}" type="TxLink">
            <a:rPr lang="pt-BR" sz="1200" b="1">
              <a:solidFill>
                <a:schemeClr val="lt1"/>
              </a:solidFill>
              <a:latin typeface="+mn-lt"/>
              <a:ea typeface="+mn-ea"/>
              <a:cs typeface="+mn-cs"/>
            </a:rPr>
            <a:pPr marL="0" indent="0" algn="ctr"/>
            <a:t>Aportes</a:t>
          </a:fld>
          <a:endParaRPr lang="pt-BR" sz="12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0</xdr:colOff>
      <xdr:row>9</xdr:row>
      <xdr:rowOff>0</xdr:rowOff>
    </xdr:from>
    <xdr:to>
      <xdr:col>4</xdr:col>
      <xdr:colOff>0</xdr:colOff>
      <xdr:row>10</xdr:row>
      <xdr:rowOff>0</xdr:rowOff>
    </xdr:to>
    <xdr:sp macro="" textlink="Calc!AC28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000125" y="1104900"/>
          <a:ext cx="1276350" cy="26670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fld id="{9D1A88A8-D39C-E24E-A810-2FCFFA9A40C1}" type="TxLink">
            <a:rPr lang="pt-BR" sz="1200" b="1"/>
            <a:pPr algn="ctr"/>
            <a:t>Taxa da Aplicação</a:t>
          </a:fld>
          <a:endParaRPr lang="pt-BR" sz="1200" b="1"/>
        </a:p>
      </xdr:txBody>
    </xdr:sp>
    <xdr:clientData/>
  </xdr:twoCellAnchor>
  <xdr:twoCellAnchor>
    <xdr:from>
      <xdr:col>3</xdr:col>
      <xdr:colOff>0</xdr:colOff>
      <xdr:row>12</xdr:row>
      <xdr:rowOff>0</xdr:rowOff>
    </xdr:from>
    <xdr:to>
      <xdr:col>4</xdr:col>
      <xdr:colOff>0</xdr:colOff>
      <xdr:row>13</xdr:row>
      <xdr:rowOff>0</xdr:rowOff>
    </xdr:to>
    <xdr:sp macro="" textlink="Calc!AC29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000125" y="1562100"/>
          <a:ext cx="1276350" cy="266700"/>
        </a:xfrm>
        <a:prstGeom prst="roundRect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fld id="{0E22BB4F-6B62-F34E-A026-38660802C433}" type="TxLink">
            <a:rPr lang="pt-BR" sz="1200" b="1"/>
            <a:pPr algn="ctr"/>
            <a:t>Período de Aplicação</a:t>
          </a:fld>
          <a:endParaRPr lang="pt-BR" sz="1200" b="1"/>
        </a:p>
      </xdr:txBody>
    </xdr:sp>
    <xdr:clientData/>
  </xdr:twoCellAnchor>
  <xdr:twoCellAnchor>
    <xdr:from>
      <xdr:col>3</xdr:col>
      <xdr:colOff>0</xdr:colOff>
      <xdr:row>15</xdr:row>
      <xdr:rowOff>0</xdr:rowOff>
    </xdr:from>
    <xdr:to>
      <xdr:col>4</xdr:col>
      <xdr:colOff>0</xdr:colOff>
      <xdr:row>16</xdr:row>
      <xdr:rowOff>0</xdr:rowOff>
    </xdr:to>
    <xdr:sp macro="" textlink="Calc!AC30">
      <xdr:nvSpPr>
        <xdr:cNvPr id="16" name="Rounded 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000125" y="2019300"/>
          <a:ext cx="1276350" cy="26670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fld id="{DA1E82A5-816A-0148-A2D2-04E8538B3D63}" type="TxLink">
            <a:rPr lang="pt-BR" sz="1200" b="1"/>
            <a:pPr algn="ctr"/>
            <a:t>Inflação</a:t>
          </a:fld>
          <a:endParaRPr lang="pt-BR" sz="1200" b="1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2</xdr:col>
      <xdr:colOff>0</xdr:colOff>
      <xdr:row>21</xdr:row>
      <xdr:rowOff>0</xdr:rowOff>
    </xdr:to>
    <xdr:sp macro="" textlink="">
      <xdr:nvSpPr>
        <xdr:cNvPr id="18" name="Oval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381000" y="581025"/>
          <a:ext cx="276225" cy="266700"/>
        </a:xfrm>
        <a:prstGeom prst="ellipse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pt-BR" sz="1200" b="1">
              <a:solidFill>
                <a:schemeClr val="bg1"/>
              </a:solidFill>
              <a:latin typeface="+mn-lt"/>
              <a:ea typeface="+mn-ea"/>
              <a:cs typeface="+mn-cs"/>
            </a:rPr>
            <a:t>1</a:t>
          </a:r>
        </a:p>
      </xdr:txBody>
    </xdr:sp>
    <xdr:clientData/>
  </xdr:twoCellAnchor>
  <xdr:twoCellAnchor>
    <xdr:from>
      <xdr:col>3</xdr:col>
      <xdr:colOff>0</xdr:colOff>
      <xdr:row>20</xdr:row>
      <xdr:rowOff>0</xdr:rowOff>
    </xdr:from>
    <xdr:to>
      <xdr:col>6</xdr:col>
      <xdr:colOff>0</xdr:colOff>
      <xdr:row>21</xdr:row>
      <xdr:rowOff>0</xdr:rowOff>
    </xdr:to>
    <xdr:sp macro="" textlink="Calc!AC31">
      <xdr:nvSpPr>
        <xdr:cNvPr id="19" name="Rounded Rectangl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771525" y="3438525"/>
          <a:ext cx="2362200" cy="26670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fld id="{0B641BCC-78E5-A840-AF9A-DC8D04E4150F}" type="TxLink">
            <a:rPr lang="pt-BR" sz="1200" b="1">
              <a:solidFill>
                <a:schemeClr val="lt1"/>
              </a:solidFill>
              <a:latin typeface="+mn-lt"/>
              <a:ea typeface="+mn-ea"/>
              <a:cs typeface="+mn-cs"/>
            </a:rPr>
            <a:pPr marL="0" indent="0" algn="ctr"/>
            <a:t>Começar planejamento</a:t>
          </a:fld>
          <a:endParaRPr lang="pt-BR" sz="12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0</xdr:colOff>
      <xdr:row>23</xdr:row>
      <xdr:rowOff>0</xdr:rowOff>
    </xdr:from>
    <xdr:to>
      <xdr:col>2</xdr:col>
      <xdr:colOff>0</xdr:colOff>
      <xdr:row>24</xdr:row>
      <xdr:rowOff>0</xdr:rowOff>
    </xdr:to>
    <xdr:sp macro="" textlink="">
      <xdr:nvSpPr>
        <xdr:cNvPr id="20" name="Oval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81000" y="1152525"/>
          <a:ext cx="276225" cy="266700"/>
        </a:xfrm>
        <a:prstGeom prst="ellipse">
          <a:avLst/>
        </a:prstGeom>
        <a:solidFill>
          <a:schemeClr val="accent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pt-BR" sz="1200" b="1">
              <a:solidFill>
                <a:schemeClr val="bg1"/>
              </a:solidFill>
              <a:latin typeface="+mn-lt"/>
              <a:ea typeface="+mn-ea"/>
              <a:cs typeface="+mn-cs"/>
            </a:rPr>
            <a:t>2</a:t>
          </a:r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2</xdr:col>
      <xdr:colOff>0</xdr:colOff>
      <xdr:row>27</xdr:row>
      <xdr:rowOff>0</xdr:rowOff>
    </xdr:to>
    <xdr:sp macro="" textlink="">
      <xdr:nvSpPr>
        <xdr:cNvPr id="21" name="Oval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381000" y="1724025"/>
          <a:ext cx="276225" cy="266700"/>
        </a:xfrm>
        <a:prstGeom prst="ellipse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pt-BR" sz="1200" b="1">
              <a:solidFill>
                <a:schemeClr val="bg1"/>
              </a:solidFill>
              <a:latin typeface="+mn-lt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1</xdr:col>
      <xdr:colOff>0</xdr:colOff>
      <xdr:row>29</xdr:row>
      <xdr:rowOff>0</xdr:rowOff>
    </xdr:from>
    <xdr:to>
      <xdr:col>2</xdr:col>
      <xdr:colOff>0</xdr:colOff>
      <xdr:row>30</xdr:row>
      <xdr:rowOff>0</xdr:rowOff>
    </xdr:to>
    <xdr:sp macro="" textlink="">
      <xdr:nvSpPr>
        <xdr:cNvPr id="22" name="Oval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381000" y="2295525"/>
          <a:ext cx="276225" cy="266700"/>
        </a:xfrm>
        <a:prstGeom prst="ellipse">
          <a:avLst/>
        </a:prstGeom>
        <a:solidFill>
          <a:schemeClr val="accent3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pt-BR" sz="1200" b="1">
              <a:solidFill>
                <a:schemeClr val="bg1"/>
              </a:solidFill>
              <a:latin typeface="+mn-lt"/>
              <a:ea typeface="+mn-ea"/>
              <a:cs typeface="+mn-cs"/>
            </a:rPr>
            <a:t>4</a:t>
          </a:r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2</xdr:col>
      <xdr:colOff>0</xdr:colOff>
      <xdr:row>32</xdr:row>
      <xdr:rowOff>0</xdr:rowOff>
    </xdr:to>
    <xdr:sp macro="" textlink="">
      <xdr:nvSpPr>
        <xdr:cNvPr id="23" name="Oval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381000" y="2867025"/>
          <a:ext cx="276225" cy="0"/>
        </a:xfrm>
        <a:prstGeom prst="ellipse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5</a:t>
          </a:r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2</xdr:col>
      <xdr:colOff>0</xdr:colOff>
      <xdr:row>32</xdr:row>
      <xdr:rowOff>0</xdr:rowOff>
    </xdr:to>
    <xdr:sp macro="" textlink="">
      <xdr:nvSpPr>
        <xdr:cNvPr id="24" name="Oval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81000" y="2867025"/>
          <a:ext cx="276225" cy="0"/>
        </a:xfrm>
        <a:prstGeom prst="ellipse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2</xdr:col>
      <xdr:colOff>0</xdr:colOff>
      <xdr:row>33</xdr:row>
      <xdr:rowOff>0</xdr:rowOff>
    </xdr:to>
    <xdr:sp macro="" textlink="">
      <xdr:nvSpPr>
        <xdr:cNvPr id="25" name="Oval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381000" y="2867025"/>
          <a:ext cx="276225" cy="266700"/>
        </a:xfrm>
        <a:prstGeom prst="ellipse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pt-BR" sz="1200" b="1">
              <a:solidFill>
                <a:schemeClr val="bg1"/>
              </a:solidFill>
              <a:latin typeface="+mn-lt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0</xdr:colOff>
      <xdr:row>23</xdr:row>
      <xdr:rowOff>0</xdr:rowOff>
    </xdr:from>
    <xdr:to>
      <xdr:col>6</xdr:col>
      <xdr:colOff>0</xdr:colOff>
      <xdr:row>24</xdr:row>
      <xdr:rowOff>0</xdr:rowOff>
    </xdr:to>
    <xdr:sp macro="" textlink="Calc!AC32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771525" y="3905250"/>
          <a:ext cx="2362200" cy="266700"/>
        </a:xfrm>
        <a:prstGeom prst="roundRect">
          <a:avLst/>
        </a:prstGeom>
        <a:solidFill>
          <a:schemeClr val="accent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fld id="{987D3DC5-4168-DB40-B27D-2BA9B3E3ABDC}" type="TxLink">
            <a:rPr lang="pt-BR" sz="1200" b="1">
              <a:solidFill>
                <a:schemeClr val="lt1"/>
              </a:solidFill>
              <a:latin typeface="+mn-lt"/>
              <a:ea typeface="+mn-ea"/>
              <a:cs typeface="+mn-cs"/>
            </a:rPr>
            <a:pPr marL="0" indent="0" algn="ctr"/>
            <a:t>Corrigir Patrimônio pela inflação?</a:t>
          </a:fld>
          <a:endParaRPr lang="pt-BR" sz="12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0</xdr:colOff>
      <xdr:row>26</xdr:row>
      <xdr:rowOff>0</xdr:rowOff>
    </xdr:from>
    <xdr:to>
      <xdr:col>6</xdr:col>
      <xdr:colOff>0</xdr:colOff>
      <xdr:row>27</xdr:row>
      <xdr:rowOff>0</xdr:rowOff>
    </xdr:to>
    <xdr:sp macro="" textlink="Calc!AC33">
      <xdr:nvSpPr>
        <xdr:cNvPr id="27" name="Rounded Rectangl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771525" y="4476750"/>
          <a:ext cx="2362200" cy="26670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fld id="{B345C8EF-50D4-444D-9B7E-535D90B478D0}" type="TxLink">
            <a:rPr lang="pt-BR" sz="1200" b="1"/>
            <a:pPr algn="ctr"/>
            <a:t>Corrigir Aportes pela inflação?</a:t>
          </a:fld>
          <a:endParaRPr lang="pt-BR" sz="1200" b="1"/>
        </a:p>
      </xdr:txBody>
    </xdr:sp>
    <xdr:clientData/>
  </xdr:twoCellAnchor>
  <xdr:twoCellAnchor>
    <xdr:from>
      <xdr:col>3</xdr:col>
      <xdr:colOff>0</xdr:colOff>
      <xdr:row>29</xdr:row>
      <xdr:rowOff>0</xdr:rowOff>
    </xdr:from>
    <xdr:to>
      <xdr:col>6</xdr:col>
      <xdr:colOff>0</xdr:colOff>
      <xdr:row>30</xdr:row>
      <xdr:rowOff>0</xdr:rowOff>
    </xdr:to>
    <xdr:sp macro="" textlink="Calc!AC34">
      <xdr:nvSpPr>
        <xdr:cNvPr id="28" name="Rounded Rectangl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771525" y="5048250"/>
          <a:ext cx="2362200" cy="266700"/>
        </a:xfrm>
        <a:prstGeom prst="roundRect">
          <a:avLst/>
        </a:prstGeom>
        <a:solidFill>
          <a:schemeClr val="accent3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fld id="{BD8097CD-11D4-6040-8513-6ACCADBA2603}" type="TxLink">
            <a:rPr lang="pt-BR" sz="1200" b="1"/>
            <a:pPr algn="ctr"/>
            <a:t>Utilizar crescimento dos aportes?</a:t>
          </a:fld>
          <a:endParaRPr lang="pt-BR" sz="1200" b="1"/>
        </a:p>
      </xdr:txBody>
    </xdr:sp>
    <xdr:clientData/>
  </xdr:twoCellAnchor>
  <xdr:twoCellAnchor>
    <xdr:from>
      <xdr:col>3</xdr:col>
      <xdr:colOff>0</xdr:colOff>
      <xdr:row>32</xdr:row>
      <xdr:rowOff>0</xdr:rowOff>
    </xdr:from>
    <xdr:to>
      <xdr:col>6</xdr:col>
      <xdr:colOff>0</xdr:colOff>
      <xdr:row>33</xdr:row>
      <xdr:rowOff>0</xdr:rowOff>
    </xdr:to>
    <xdr:sp macro="" textlink="Calc!AC36">
      <xdr:nvSpPr>
        <xdr:cNvPr id="29" name="Rounded Rectangl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771525" y="5619750"/>
          <a:ext cx="2362200" cy="266700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fld id="{9FE51685-C48C-0748-9E23-5044E12C07E6}" type="TxLink">
            <a:rPr lang="pt-BR" sz="1200" b="1"/>
            <a:pPr algn="ctr"/>
            <a:t>Incluir Imposto de Renda?</a:t>
          </a:fld>
          <a:endParaRPr lang="pt-BR" sz="1200" b="1"/>
        </a:p>
      </xdr:txBody>
    </xdr:sp>
    <xdr:clientData/>
  </xdr:twoCellAnchor>
  <xdr:twoCellAnchor>
    <xdr:from>
      <xdr:col>18</xdr:col>
      <xdr:colOff>520700</xdr:colOff>
      <xdr:row>35</xdr:row>
      <xdr:rowOff>0</xdr:rowOff>
    </xdr:from>
    <xdr:to>
      <xdr:col>20</xdr:col>
      <xdr:colOff>698500</xdr:colOff>
      <xdr:row>37</xdr:row>
      <xdr:rowOff>0</xdr:rowOff>
    </xdr:to>
    <xdr:grpSp>
      <xdr:nvGrpSpPr>
        <xdr:cNvPr id="2291" name="Group 12">
          <a:extLst>
            <a:ext uri="{FF2B5EF4-FFF2-40B4-BE49-F238E27FC236}">
              <a16:creationId xmlns:a16="http://schemas.microsoft.com/office/drawing/2014/main" id="{00000000-0008-0000-0000-0000F3080000}"/>
            </a:ext>
          </a:extLst>
        </xdr:cNvPr>
        <xdr:cNvGrpSpPr>
          <a:grpSpLocks/>
        </xdr:cNvGrpSpPr>
      </xdr:nvGrpSpPr>
      <xdr:grpSpPr bwMode="auto">
        <a:xfrm>
          <a:off x="9893300" y="6924675"/>
          <a:ext cx="1311275" cy="381000"/>
          <a:chOff x="4801793" y="5992368"/>
          <a:chExt cx="1703786" cy="484632"/>
        </a:xfrm>
      </xdr:grpSpPr>
      <xdr:sp macro="" textlink="">
        <xdr:nvSpPr>
          <xdr:cNvPr id="2265" name="Right Arrow 31">
            <a:extLst>
              <a:ext uri="{FF2B5EF4-FFF2-40B4-BE49-F238E27FC236}">
                <a16:creationId xmlns:a16="http://schemas.microsoft.com/office/drawing/2014/main" id="{00000000-0008-0000-0000-0000D9080000}"/>
              </a:ext>
            </a:extLst>
          </xdr:cNvPr>
          <xdr:cNvSpPr>
            <a:spLocks noChangeArrowheads="1"/>
          </xdr:cNvSpPr>
        </xdr:nvSpPr>
        <xdr:spPr bwMode="auto">
          <a:xfrm>
            <a:off x="4994156" y="5992368"/>
            <a:ext cx="1511423" cy="484632"/>
          </a:xfrm>
          <a:prstGeom prst="rightArrow">
            <a:avLst>
              <a:gd name="adj1" fmla="val 61796"/>
              <a:gd name="adj2" fmla="val 67694"/>
            </a:avLst>
          </a:prstGeom>
          <a:gradFill rotWithShape="1">
            <a:gsLst>
              <a:gs pos="0">
                <a:srgbClr val="2C5D98"/>
              </a:gs>
              <a:gs pos="80000">
                <a:srgbClr val="3C7BC7"/>
              </a:gs>
              <a:gs pos="100000">
                <a:srgbClr val="3A7CCB"/>
              </a:gs>
            </a:gsLst>
            <a:lin ang="16200000"/>
          </a:gradFill>
          <a:ln w="9525">
            <a:solidFill>
              <a:srgbClr val="4A7EBB"/>
            </a:solidFill>
            <a:miter lim="800000"/>
            <a:headEnd/>
            <a:tailEnd/>
          </a:ln>
          <a:effectLst>
            <a:outerShdw blurRad="40000" dist="23000" dir="5400000" rotWithShape="0">
              <a:srgbClr val="000000">
                <a:alpha val="34999"/>
              </a:srgbClr>
            </a:outerShdw>
          </a:effectLst>
        </xdr:spPr>
        <xdr:txBody>
          <a:bodyPr rtlCol="0"/>
          <a:lstStyle/>
          <a:p>
            <a:endParaRPr lang="en-US"/>
          </a:p>
        </xdr:txBody>
      </xdr:sp>
      <xdr:sp macro="[0]!GoTo_Resultados" textlink="">
        <xdr:nvSpPr>
          <xdr:cNvPr id="33" name="TextBox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 txBox="1"/>
        </xdr:nvSpPr>
        <xdr:spPr>
          <a:xfrm>
            <a:off x="4801793" y="6096218"/>
            <a:ext cx="1703786" cy="27693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ctr">
            <a:noAutofit/>
          </a:bodyPr>
          <a:lstStyle/>
          <a:p>
            <a:pPr lvl="0" algn="ctr"/>
            <a:r>
              <a:rPr lang="en-US" sz="1200" b="1">
                <a:solidFill>
                  <a:schemeClr val="bg1"/>
                </a:solidFill>
              </a:rPr>
              <a:t>Resultados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0</xdr:rowOff>
        </xdr:from>
        <xdr:to>
          <xdr:col>11</xdr:col>
          <xdr:colOff>85725</xdr:colOff>
          <xdr:row>7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0</xdr:rowOff>
        </xdr:from>
        <xdr:to>
          <xdr:col>11</xdr:col>
          <xdr:colOff>85725</xdr:colOff>
          <xdr:row>10</xdr:row>
          <xdr:rowOff>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12</xdr:row>
          <xdr:rowOff>0</xdr:rowOff>
        </xdr:from>
        <xdr:to>
          <xdr:col>11</xdr:col>
          <xdr:colOff>85725</xdr:colOff>
          <xdr:row>13</xdr:row>
          <xdr:rowOff>0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15</xdr:row>
          <xdr:rowOff>0</xdr:rowOff>
        </xdr:from>
        <xdr:to>
          <xdr:col>11</xdr:col>
          <xdr:colOff>85725</xdr:colOff>
          <xdr:row>16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</xdr:row>
          <xdr:rowOff>0</xdr:rowOff>
        </xdr:from>
        <xdr:to>
          <xdr:col>11</xdr:col>
          <xdr:colOff>85725</xdr:colOff>
          <xdr:row>4</xdr:row>
          <xdr:rowOff>0</xdr:rowOff>
        </xdr:to>
        <xdr:sp macro="" textlink="">
          <xdr:nvSpPr>
            <xdr:cNvPr id="2057" name="Check Box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20</xdr:row>
          <xdr:rowOff>0</xdr:rowOff>
        </xdr:from>
        <xdr:to>
          <xdr:col>13</xdr:col>
          <xdr:colOff>85725</xdr:colOff>
          <xdr:row>21</xdr:row>
          <xdr:rowOff>0</xdr:rowOff>
        </xdr:to>
        <xdr:sp macro="" textlink="">
          <xdr:nvSpPr>
            <xdr:cNvPr id="2058" name="Check Box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23</xdr:row>
          <xdr:rowOff>0</xdr:rowOff>
        </xdr:from>
        <xdr:to>
          <xdr:col>13</xdr:col>
          <xdr:colOff>85725</xdr:colOff>
          <xdr:row>24</xdr:row>
          <xdr:rowOff>0</xdr:rowOff>
        </xdr:to>
        <xdr:sp macro="" textlink="">
          <xdr:nvSpPr>
            <xdr:cNvPr id="2059" name="Check Box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26</xdr:row>
          <xdr:rowOff>0</xdr:rowOff>
        </xdr:from>
        <xdr:to>
          <xdr:col>13</xdr:col>
          <xdr:colOff>85725</xdr:colOff>
          <xdr:row>27</xdr:row>
          <xdr:rowOff>0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29</xdr:row>
          <xdr:rowOff>0</xdr:rowOff>
        </xdr:from>
        <xdr:to>
          <xdr:col>13</xdr:col>
          <xdr:colOff>85725</xdr:colOff>
          <xdr:row>30</xdr:row>
          <xdr:rowOff>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32</xdr:row>
          <xdr:rowOff>0</xdr:rowOff>
        </xdr:from>
        <xdr:to>
          <xdr:col>13</xdr:col>
          <xdr:colOff>85725</xdr:colOff>
          <xdr:row>33</xdr:row>
          <xdr:rowOff>0</xdr:rowOff>
        </xdr:to>
        <xdr:sp macro="" textlink="">
          <xdr:nvSpPr>
            <xdr:cNvPr id="2062" name="Check Box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0</xdr:rowOff>
        </xdr:from>
        <xdr:to>
          <xdr:col>11</xdr:col>
          <xdr:colOff>85725</xdr:colOff>
          <xdr:row>7</xdr:row>
          <xdr:rowOff>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0</xdr:rowOff>
        </xdr:from>
        <xdr:to>
          <xdr:col>11</xdr:col>
          <xdr:colOff>85725</xdr:colOff>
          <xdr:row>10</xdr:row>
          <xdr:rowOff>0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0</xdr:rowOff>
        </xdr:from>
        <xdr:to>
          <xdr:col>11</xdr:col>
          <xdr:colOff>85725</xdr:colOff>
          <xdr:row>10</xdr:row>
          <xdr:rowOff>0</xdr:rowOff>
        </xdr:to>
        <xdr:sp macro="" textlink="">
          <xdr:nvSpPr>
            <xdr:cNvPr id="2068" name="Check Box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12</xdr:row>
          <xdr:rowOff>0</xdr:rowOff>
        </xdr:from>
        <xdr:to>
          <xdr:col>11</xdr:col>
          <xdr:colOff>85725</xdr:colOff>
          <xdr:row>13</xdr:row>
          <xdr:rowOff>0</xdr:rowOff>
        </xdr:to>
        <xdr:sp macro="" textlink="">
          <xdr:nvSpPr>
            <xdr:cNvPr id="2069" name="Check Box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12</xdr:row>
          <xdr:rowOff>0</xdr:rowOff>
        </xdr:from>
        <xdr:to>
          <xdr:col>11</xdr:col>
          <xdr:colOff>85725</xdr:colOff>
          <xdr:row>13</xdr:row>
          <xdr:rowOff>0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12</xdr:row>
          <xdr:rowOff>0</xdr:rowOff>
        </xdr:from>
        <xdr:to>
          <xdr:col>11</xdr:col>
          <xdr:colOff>85725</xdr:colOff>
          <xdr:row>13</xdr:row>
          <xdr:rowOff>0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15</xdr:row>
          <xdr:rowOff>0</xdr:rowOff>
        </xdr:from>
        <xdr:to>
          <xdr:col>11</xdr:col>
          <xdr:colOff>85725</xdr:colOff>
          <xdr:row>16</xdr:row>
          <xdr:rowOff>0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15</xdr:row>
          <xdr:rowOff>0</xdr:rowOff>
        </xdr:from>
        <xdr:to>
          <xdr:col>11</xdr:col>
          <xdr:colOff>85725</xdr:colOff>
          <xdr:row>16</xdr:row>
          <xdr:rowOff>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15</xdr:row>
          <xdr:rowOff>0</xdr:rowOff>
        </xdr:from>
        <xdr:to>
          <xdr:col>11</xdr:col>
          <xdr:colOff>85725</xdr:colOff>
          <xdr:row>16</xdr:row>
          <xdr:rowOff>0</xdr:rowOff>
        </xdr:to>
        <xdr:sp macro="" textlink="">
          <xdr:nvSpPr>
            <xdr:cNvPr id="2074" name="Check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15</xdr:row>
          <xdr:rowOff>0</xdr:rowOff>
        </xdr:from>
        <xdr:to>
          <xdr:col>11</xdr:col>
          <xdr:colOff>85725</xdr:colOff>
          <xdr:row>16</xdr:row>
          <xdr:rowOff>0</xdr:rowOff>
        </xdr:to>
        <xdr:sp macro="" textlink="">
          <xdr:nvSpPr>
            <xdr:cNvPr id="2075" name="Check Box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20</xdr:row>
          <xdr:rowOff>0</xdr:rowOff>
        </xdr:from>
        <xdr:to>
          <xdr:col>13</xdr:col>
          <xdr:colOff>85725</xdr:colOff>
          <xdr:row>21</xdr:row>
          <xdr:rowOff>0</xdr:rowOff>
        </xdr:to>
        <xdr:sp macro="" textlink="">
          <xdr:nvSpPr>
            <xdr:cNvPr id="2076" name="Check Box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20</xdr:row>
          <xdr:rowOff>0</xdr:rowOff>
        </xdr:from>
        <xdr:to>
          <xdr:col>13</xdr:col>
          <xdr:colOff>85725</xdr:colOff>
          <xdr:row>21</xdr:row>
          <xdr:rowOff>0</xdr:rowOff>
        </xdr:to>
        <xdr:sp macro="" textlink="">
          <xdr:nvSpPr>
            <xdr:cNvPr id="2077" name="Check Box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20</xdr:row>
          <xdr:rowOff>0</xdr:rowOff>
        </xdr:from>
        <xdr:to>
          <xdr:col>13</xdr:col>
          <xdr:colOff>85725</xdr:colOff>
          <xdr:row>21</xdr:row>
          <xdr:rowOff>0</xdr:rowOff>
        </xdr:to>
        <xdr:sp macro="" textlink="">
          <xdr:nvSpPr>
            <xdr:cNvPr id="2078" name="Check Box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20</xdr:row>
          <xdr:rowOff>0</xdr:rowOff>
        </xdr:from>
        <xdr:to>
          <xdr:col>13</xdr:col>
          <xdr:colOff>85725</xdr:colOff>
          <xdr:row>21</xdr:row>
          <xdr:rowOff>0</xdr:rowOff>
        </xdr:to>
        <xdr:sp macro="" textlink="">
          <xdr:nvSpPr>
            <xdr:cNvPr id="2079" name="Check Box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20</xdr:row>
          <xdr:rowOff>0</xdr:rowOff>
        </xdr:from>
        <xdr:to>
          <xdr:col>13</xdr:col>
          <xdr:colOff>85725</xdr:colOff>
          <xdr:row>21</xdr:row>
          <xdr:rowOff>0</xdr:rowOff>
        </xdr:to>
        <xdr:sp macro="" textlink="">
          <xdr:nvSpPr>
            <xdr:cNvPr id="2080" name="Check Box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23</xdr:row>
          <xdr:rowOff>0</xdr:rowOff>
        </xdr:from>
        <xdr:to>
          <xdr:col>13</xdr:col>
          <xdr:colOff>85725</xdr:colOff>
          <xdr:row>24</xdr:row>
          <xdr:rowOff>0</xdr:rowOff>
        </xdr:to>
        <xdr:sp macro="" textlink="">
          <xdr:nvSpPr>
            <xdr:cNvPr id="2081" name="Check Box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23</xdr:row>
          <xdr:rowOff>0</xdr:rowOff>
        </xdr:from>
        <xdr:to>
          <xdr:col>13</xdr:col>
          <xdr:colOff>85725</xdr:colOff>
          <xdr:row>24</xdr:row>
          <xdr:rowOff>0</xdr:rowOff>
        </xdr:to>
        <xdr:sp macro="" textlink="">
          <xdr:nvSpPr>
            <xdr:cNvPr id="2082" name="Check Box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23</xdr:row>
          <xdr:rowOff>0</xdr:rowOff>
        </xdr:from>
        <xdr:to>
          <xdr:col>13</xdr:col>
          <xdr:colOff>85725</xdr:colOff>
          <xdr:row>24</xdr:row>
          <xdr:rowOff>0</xdr:rowOff>
        </xdr:to>
        <xdr:sp macro="" textlink="">
          <xdr:nvSpPr>
            <xdr:cNvPr id="2083" name="Check Box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0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23</xdr:row>
          <xdr:rowOff>0</xdr:rowOff>
        </xdr:from>
        <xdr:to>
          <xdr:col>13</xdr:col>
          <xdr:colOff>85725</xdr:colOff>
          <xdr:row>24</xdr:row>
          <xdr:rowOff>0</xdr:rowOff>
        </xdr:to>
        <xdr:sp macro="" textlink="">
          <xdr:nvSpPr>
            <xdr:cNvPr id="2084" name="Check Box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0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23</xdr:row>
          <xdr:rowOff>0</xdr:rowOff>
        </xdr:from>
        <xdr:to>
          <xdr:col>13</xdr:col>
          <xdr:colOff>85725</xdr:colOff>
          <xdr:row>24</xdr:row>
          <xdr:rowOff>0</xdr:rowOff>
        </xdr:to>
        <xdr:sp macro="" textlink="">
          <xdr:nvSpPr>
            <xdr:cNvPr id="2085" name="Check Box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0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23</xdr:row>
          <xdr:rowOff>0</xdr:rowOff>
        </xdr:from>
        <xdr:to>
          <xdr:col>13</xdr:col>
          <xdr:colOff>85725</xdr:colOff>
          <xdr:row>24</xdr:row>
          <xdr:rowOff>0</xdr:rowOff>
        </xdr:to>
        <xdr:sp macro="" textlink="">
          <xdr:nvSpPr>
            <xdr:cNvPr id="2086" name="Check Box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0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26</xdr:row>
          <xdr:rowOff>0</xdr:rowOff>
        </xdr:from>
        <xdr:to>
          <xdr:col>13</xdr:col>
          <xdr:colOff>85725</xdr:colOff>
          <xdr:row>27</xdr:row>
          <xdr:rowOff>0</xdr:rowOff>
        </xdr:to>
        <xdr:sp macro="" textlink="">
          <xdr:nvSpPr>
            <xdr:cNvPr id="2087" name="Check Box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0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26</xdr:row>
          <xdr:rowOff>0</xdr:rowOff>
        </xdr:from>
        <xdr:to>
          <xdr:col>13</xdr:col>
          <xdr:colOff>85725</xdr:colOff>
          <xdr:row>27</xdr:row>
          <xdr:rowOff>0</xdr:rowOff>
        </xdr:to>
        <xdr:sp macro="" textlink="">
          <xdr:nvSpPr>
            <xdr:cNvPr id="2088" name="Check Box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0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26</xdr:row>
          <xdr:rowOff>0</xdr:rowOff>
        </xdr:from>
        <xdr:to>
          <xdr:col>13</xdr:col>
          <xdr:colOff>85725</xdr:colOff>
          <xdr:row>27</xdr:row>
          <xdr:rowOff>0</xdr:rowOff>
        </xdr:to>
        <xdr:sp macro="" textlink="">
          <xdr:nvSpPr>
            <xdr:cNvPr id="2089" name="Check Box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0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26</xdr:row>
          <xdr:rowOff>0</xdr:rowOff>
        </xdr:from>
        <xdr:to>
          <xdr:col>13</xdr:col>
          <xdr:colOff>85725</xdr:colOff>
          <xdr:row>27</xdr:row>
          <xdr:rowOff>0</xdr:rowOff>
        </xdr:to>
        <xdr:sp macro="" textlink="">
          <xdr:nvSpPr>
            <xdr:cNvPr id="2090" name="Check Box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0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26</xdr:row>
          <xdr:rowOff>0</xdr:rowOff>
        </xdr:from>
        <xdr:to>
          <xdr:col>13</xdr:col>
          <xdr:colOff>85725</xdr:colOff>
          <xdr:row>27</xdr:row>
          <xdr:rowOff>0</xdr:rowOff>
        </xdr:to>
        <xdr:sp macro="" textlink="">
          <xdr:nvSpPr>
            <xdr:cNvPr id="2091" name="Check Box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0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26</xdr:row>
          <xdr:rowOff>0</xdr:rowOff>
        </xdr:from>
        <xdr:to>
          <xdr:col>13</xdr:col>
          <xdr:colOff>85725</xdr:colOff>
          <xdr:row>27</xdr:row>
          <xdr:rowOff>0</xdr:rowOff>
        </xdr:to>
        <xdr:sp macro="" textlink="">
          <xdr:nvSpPr>
            <xdr:cNvPr id="2092" name="Check Box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0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29</xdr:row>
          <xdr:rowOff>0</xdr:rowOff>
        </xdr:from>
        <xdr:to>
          <xdr:col>13</xdr:col>
          <xdr:colOff>85725</xdr:colOff>
          <xdr:row>30</xdr:row>
          <xdr:rowOff>0</xdr:rowOff>
        </xdr:to>
        <xdr:sp macro="" textlink="">
          <xdr:nvSpPr>
            <xdr:cNvPr id="2093" name="Check Box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0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29</xdr:row>
          <xdr:rowOff>0</xdr:rowOff>
        </xdr:from>
        <xdr:to>
          <xdr:col>13</xdr:col>
          <xdr:colOff>85725</xdr:colOff>
          <xdr:row>30</xdr:row>
          <xdr:rowOff>0</xdr:rowOff>
        </xdr:to>
        <xdr:sp macro="" textlink="">
          <xdr:nvSpPr>
            <xdr:cNvPr id="2094" name="Check Box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0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29</xdr:row>
          <xdr:rowOff>0</xdr:rowOff>
        </xdr:from>
        <xdr:to>
          <xdr:col>13</xdr:col>
          <xdr:colOff>85725</xdr:colOff>
          <xdr:row>30</xdr:row>
          <xdr:rowOff>0</xdr:rowOff>
        </xdr:to>
        <xdr:sp macro="" textlink="">
          <xdr:nvSpPr>
            <xdr:cNvPr id="2095" name="Check Box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0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29</xdr:row>
          <xdr:rowOff>0</xdr:rowOff>
        </xdr:from>
        <xdr:to>
          <xdr:col>13</xdr:col>
          <xdr:colOff>85725</xdr:colOff>
          <xdr:row>30</xdr:row>
          <xdr:rowOff>0</xdr:rowOff>
        </xdr:to>
        <xdr:sp macro="" textlink="">
          <xdr:nvSpPr>
            <xdr:cNvPr id="2096" name="Check Box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0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29</xdr:row>
          <xdr:rowOff>0</xdr:rowOff>
        </xdr:from>
        <xdr:to>
          <xdr:col>13</xdr:col>
          <xdr:colOff>85725</xdr:colOff>
          <xdr:row>30</xdr:row>
          <xdr:rowOff>0</xdr:rowOff>
        </xdr:to>
        <xdr:sp macro="" textlink="">
          <xdr:nvSpPr>
            <xdr:cNvPr id="2097" name="Check Box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0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29</xdr:row>
          <xdr:rowOff>0</xdr:rowOff>
        </xdr:from>
        <xdr:to>
          <xdr:col>13</xdr:col>
          <xdr:colOff>85725</xdr:colOff>
          <xdr:row>30</xdr:row>
          <xdr:rowOff>0</xdr:rowOff>
        </xdr:to>
        <xdr:sp macro="" textlink="">
          <xdr:nvSpPr>
            <xdr:cNvPr id="2098" name="Check Box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0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32</xdr:row>
          <xdr:rowOff>0</xdr:rowOff>
        </xdr:from>
        <xdr:to>
          <xdr:col>13</xdr:col>
          <xdr:colOff>85725</xdr:colOff>
          <xdr:row>33</xdr:row>
          <xdr:rowOff>0</xdr:rowOff>
        </xdr:to>
        <xdr:sp macro="" textlink="">
          <xdr:nvSpPr>
            <xdr:cNvPr id="2099" name="Check Box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0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32</xdr:row>
          <xdr:rowOff>0</xdr:rowOff>
        </xdr:from>
        <xdr:to>
          <xdr:col>13</xdr:col>
          <xdr:colOff>85725</xdr:colOff>
          <xdr:row>33</xdr:row>
          <xdr:rowOff>0</xdr:rowOff>
        </xdr:to>
        <xdr:sp macro="" textlink="">
          <xdr:nvSpPr>
            <xdr:cNvPr id="2100" name="Check Box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0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32</xdr:row>
          <xdr:rowOff>0</xdr:rowOff>
        </xdr:from>
        <xdr:to>
          <xdr:col>13</xdr:col>
          <xdr:colOff>85725</xdr:colOff>
          <xdr:row>33</xdr:row>
          <xdr:rowOff>0</xdr:rowOff>
        </xdr:to>
        <xdr:sp macro="" textlink="">
          <xdr:nvSpPr>
            <xdr:cNvPr id="2101" name="Check Box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0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32</xdr:row>
          <xdr:rowOff>0</xdr:rowOff>
        </xdr:from>
        <xdr:to>
          <xdr:col>13</xdr:col>
          <xdr:colOff>85725</xdr:colOff>
          <xdr:row>33</xdr:row>
          <xdr:rowOff>0</xdr:rowOff>
        </xdr:to>
        <xdr:sp macro="" textlink="">
          <xdr:nvSpPr>
            <xdr:cNvPr id="2102" name="Check Box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0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32</xdr:row>
          <xdr:rowOff>0</xdr:rowOff>
        </xdr:from>
        <xdr:to>
          <xdr:col>13</xdr:col>
          <xdr:colOff>85725</xdr:colOff>
          <xdr:row>33</xdr:row>
          <xdr:rowOff>0</xdr:rowOff>
        </xdr:to>
        <xdr:sp macro="" textlink="">
          <xdr:nvSpPr>
            <xdr:cNvPr id="2103" name="Check Box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0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32</xdr:row>
          <xdr:rowOff>0</xdr:rowOff>
        </xdr:from>
        <xdr:to>
          <xdr:col>13</xdr:col>
          <xdr:colOff>85725</xdr:colOff>
          <xdr:row>33</xdr:row>
          <xdr:rowOff>0</xdr:rowOff>
        </xdr:to>
        <xdr:sp macro="" textlink="">
          <xdr:nvSpPr>
            <xdr:cNvPr id="2104" name="Check Box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0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31</xdr:row>
      <xdr:rowOff>0</xdr:rowOff>
    </xdr:from>
    <xdr:to>
      <xdr:col>1</xdr:col>
      <xdr:colOff>1651000</xdr:colOff>
      <xdr:row>33</xdr:row>
      <xdr:rowOff>101600</xdr:rowOff>
    </xdr:to>
    <xdr:grpSp>
      <xdr:nvGrpSpPr>
        <xdr:cNvPr id="4175" name="Group 4">
          <a:extLst>
            <a:ext uri="{FF2B5EF4-FFF2-40B4-BE49-F238E27FC236}">
              <a16:creationId xmlns:a16="http://schemas.microsoft.com/office/drawing/2014/main" id="{00000000-0008-0000-0300-00004F100000}"/>
            </a:ext>
          </a:extLst>
        </xdr:cNvPr>
        <xdr:cNvGrpSpPr>
          <a:grpSpLocks/>
        </xdr:cNvGrpSpPr>
      </xdr:nvGrpSpPr>
      <xdr:grpSpPr bwMode="auto">
        <a:xfrm>
          <a:off x="381000" y="6096000"/>
          <a:ext cx="1651000" cy="482600"/>
          <a:chOff x="257175" y="3992118"/>
          <a:chExt cx="1381125" cy="484632"/>
        </a:xfrm>
      </xdr:grpSpPr>
      <xdr:sp macro="" textlink="">
        <xdr:nvSpPr>
          <xdr:cNvPr id="4173" name="Left Arrow 4">
            <a:extLst>
              <a:ext uri="{FF2B5EF4-FFF2-40B4-BE49-F238E27FC236}">
                <a16:creationId xmlns:a16="http://schemas.microsoft.com/office/drawing/2014/main" id="{00000000-0008-0000-0300-00004D100000}"/>
              </a:ext>
            </a:extLst>
          </xdr:cNvPr>
          <xdr:cNvSpPr>
            <a:spLocks noChangeArrowheads="1"/>
          </xdr:cNvSpPr>
        </xdr:nvSpPr>
        <xdr:spPr bwMode="auto">
          <a:xfrm>
            <a:off x="257175" y="3992118"/>
            <a:ext cx="1381125" cy="484632"/>
          </a:xfrm>
          <a:prstGeom prst="leftArrow">
            <a:avLst>
              <a:gd name="adj1" fmla="val 50000"/>
              <a:gd name="adj2" fmla="val 50004"/>
            </a:avLst>
          </a:prstGeom>
          <a:gradFill rotWithShape="1">
            <a:gsLst>
              <a:gs pos="0">
                <a:srgbClr val="9B2D2A"/>
              </a:gs>
              <a:gs pos="80000">
                <a:srgbClr val="CB3D3A"/>
              </a:gs>
              <a:gs pos="100000">
                <a:srgbClr val="CE3B37"/>
              </a:gs>
            </a:gsLst>
            <a:lin ang="16200000"/>
          </a:gradFill>
          <a:ln w="9525">
            <a:solidFill>
              <a:srgbClr val="BE4B48"/>
            </a:solidFill>
            <a:miter lim="800000"/>
            <a:headEnd/>
            <a:tailEnd/>
          </a:ln>
          <a:effectLst>
            <a:outerShdw blurRad="63500" sx="102000" sy="102000" algn="ctr" rotWithShape="0">
              <a:srgbClr val="000000">
                <a:alpha val="39999"/>
              </a:srgbClr>
            </a:outerShdw>
          </a:effectLst>
        </xdr:spPr>
        <xdr:txBody>
          <a:bodyPr rtlCol="0"/>
          <a:lstStyle/>
          <a:p>
            <a:endParaRPr lang="en-US"/>
          </a:p>
        </xdr:txBody>
      </xdr:sp>
      <xdr:sp macro="[0]!GoTo_Dados_de_Entrada" textlink="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 txBox="1"/>
        </xdr:nvSpPr>
        <xdr:spPr>
          <a:xfrm>
            <a:off x="405912" y="4099814"/>
            <a:ext cx="1179268" cy="26924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ctr">
            <a:noAutofit/>
          </a:bodyPr>
          <a:lstStyle/>
          <a:p>
            <a:pPr algn="ctr"/>
            <a:r>
              <a:rPr lang="en-US" sz="1200" b="1">
                <a:solidFill>
                  <a:schemeClr val="bg1"/>
                </a:solidFill>
              </a:rPr>
              <a:t>Voltar para Dados</a:t>
            </a:r>
          </a:p>
        </xdr:txBody>
      </xdr:sp>
    </xdr:grp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0</xdr:colOff>
      <xdr:row>13</xdr:row>
      <xdr:rowOff>177800</xdr:rowOff>
    </xdr:to>
    <xdr:graphicFrame macro="">
      <xdr:nvGraphicFramePr>
        <xdr:cNvPr id="4176" name="Chart 13">
          <a:extLst>
            <a:ext uri="{FF2B5EF4-FFF2-40B4-BE49-F238E27FC236}">
              <a16:creationId xmlns:a16="http://schemas.microsoft.com/office/drawing/2014/main" id="{00000000-0008-0000-0300-00005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1371600</xdr:colOff>
      <xdr:row>19</xdr:row>
      <xdr:rowOff>0</xdr:rowOff>
    </xdr:from>
    <xdr:to>
      <xdr:col>15</xdr:col>
      <xdr:colOff>685800</xdr:colOff>
      <xdr:row>29</xdr:row>
      <xdr:rowOff>0</xdr:rowOff>
    </xdr:to>
    <xdr:graphicFrame macro="">
      <xdr:nvGraphicFramePr>
        <xdr:cNvPr id="4177" name="Chart 14">
          <a:extLst>
            <a:ext uri="{FF2B5EF4-FFF2-40B4-BE49-F238E27FC236}">
              <a16:creationId xmlns:a16="http://schemas.microsoft.com/office/drawing/2014/main" id="{00000000-0008-0000-0300-00005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546100</xdr:colOff>
      <xdr:row>31</xdr:row>
      <xdr:rowOff>0</xdr:rowOff>
    </xdr:from>
    <xdr:to>
      <xdr:col>15</xdr:col>
      <xdr:colOff>0</xdr:colOff>
      <xdr:row>33</xdr:row>
      <xdr:rowOff>0</xdr:rowOff>
    </xdr:to>
    <xdr:grpSp>
      <xdr:nvGrpSpPr>
        <xdr:cNvPr id="4178" name="Group 12">
          <a:extLst>
            <a:ext uri="{FF2B5EF4-FFF2-40B4-BE49-F238E27FC236}">
              <a16:creationId xmlns:a16="http://schemas.microsoft.com/office/drawing/2014/main" id="{00000000-0008-0000-0300-000052100000}"/>
            </a:ext>
          </a:extLst>
        </xdr:cNvPr>
        <xdr:cNvGrpSpPr>
          <a:grpSpLocks/>
        </xdr:cNvGrpSpPr>
      </xdr:nvGrpSpPr>
      <xdr:grpSpPr bwMode="auto">
        <a:xfrm>
          <a:off x="9966325" y="6096000"/>
          <a:ext cx="1454150" cy="381000"/>
          <a:chOff x="4801791" y="5992368"/>
          <a:chExt cx="1703785" cy="484632"/>
        </a:xfrm>
      </xdr:grpSpPr>
      <xdr:sp macro="" textlink="">
        <xdr:nvSpPr>
          <xdr:cNvPr id="4171" name="Right Arrow 15">
            <a:extLst>
              <a:ext uri="{FF2B5EF4-FFF2-40B4-BE49-F238E27FC236}">
                <a16:creationId xmlns:a16="http://schemas.microsoft.com/office/drawing/2014/main" id="{00000000-0008-0000-0300-00004B100000}"/>
              </a:ext>
            </a:extLst>
          </xdr:cNvPr>
          <xdr:cNvSpPr>
            <a:spLocks noChangeArrowheads="1"/>
          </xdr:cNvSpPr>
        </xdr:nvSpPr>
        <xdr:spPr bwMode="auto">
          <a:xfrm>
            <a:off x="4988337" y="5992368"/>
            <a:ext cx="1517239" cy="484632"/>
          </a:xfrm>
          <a:prstGeom prst="rightArrow">
            <a:avLst>
              <a:gd name="adj1" fmla="val 61796"/>
              <a:gd name="adj2" fmla="val 67689"/>
            </a:avLst>
          </a:prstGeom>
          <a:gradFill rotWithShape="1">
            <a:gsLst>
              <a:gs pos="0">
                <a:srgbClr val="2C5D98"/>
              </a:gs>
              <a:gs pos="80000">
                <a:srgbClr val="3C7BC7"/>
              </a:gs>
              <a:gs pos="100000">
                <a:srgbClr val="3A7CCB"/>
              </a:gs>
            </a:gsLst>
            <a:lin ang="16200000"/>
          </a:gradFill>
          <a:ln w="9525">
            <a:solidFill>
              <a:srgbClr val="4A7EBB"/>
            </a:solidFill>
            <a:miter lim="800000"/>
            <a:headEnd/>
            <a:tailEnd/>
          </a:ln>
          <a:effectLst>
            <a:outerShdw blurRad="40000" dist="23000" dir="5400000" rotWithShape="0">
              <a:srgbClr val="000000">
                <a:alpha val="34999"/>
              </a:srgbClr>
            </a:outerShdw>
          </a:effectLst>
        </xdr:spPr>
        <xdr:txBody>
          <a:bodyPr rtlCol="0"/>
          <a:lstStyle/>
          <a:p>
            <a:endParaRPr lang="en-US"/>
          </a:p>
        </xdr:txBody>
      </xdr:sp>
      <xdr:sp macro="[0]!copy_and_paste" textlink="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 txBox="1"/>
        </xdr:nvSpPr>
        <xdr:spPr>
          <a:xfrm>
            <a:off x="4801791" y="6096218"/>
            <a:ext cx="1703785" cy="27693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ctr">
            <a:noAutofit/>
          </a:bodyPr>
          <a:lstStyle/>
          <a:p>
            <a:pPr lvl="0" algn="ctr"/>
            <a:r>
              <a:rPr lang="en-US" sz="1200" b="1">
                <a:solidFill>
                  <a:schemeClr val="bg1"/>
                </a:solidFill>
              </a:rPr>
              <a:t>Nova Simulação</a:t>
            </a:r>
            <a:endParaRPr lang="en-US" sz="10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</xdr:col>
      <xdr:colOff>0</xdr:colOff>
      <xdr:row>13</xdr:row>
      <xdr:rowOff>127000</xdr:rowOff>
    </xdr:from>
    <xdr:to>
      <xdr:col>10</xdr:col>
      <xdr:colOff>0</xdr:colOff>
      <xdr:row>30</xdr:row>
      <xdr:rowOff>0</xdr:rowOff>
    </xdr:to>
    <xdr:graphicFrame macro="">
      <xdr:nvGraphicFramePr>
        <xdr:cNvPr id="4179" name="Chart 17">
          <a:extLst>
            <a:ext uri="{FF2B5EF4-FFF2-40B4-BE49-F238E27FC236}">
              <a16:creationId xmlns:a16="http://schemas.microsoft.com/office/drawing/2014/main" id="{00000000-0008-0000-0300-000053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9525</xdr:colOff>
      <xdr:row>3</xdr:row>
      <xdr:rowOff>254000</xdr:rowOff>
    </xdr:from>
    <xdr:to>
      <xdr:col>2</xdr:col>
      <xdr:colOff>98425</xdr:colOff>
      <xdr:row>3</xdr:row>
      <xdr:rowOff>254000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CxnSpPr/>
      </xdr:nvCxnSpPr>
      <xdr:spPr>
        <a:xfrm flipV="1">
          <a:off x="390525" y="876300"/>
          <a:ext cx="2352675" cy="9525"/>
        </a:xfrm>
        <a:prstGeom prst="straightConnector1">
          <a:avLst/>
        </a:prstGeom>
        <a:ln w="28575">
          <a:solidFill>
            <a:schemeClr val="tx2">
              <a:lumMod val="20000"/>
              <a:lumOff val="80000"/>
            </a:schemeClr>
          </a:solidFill>
          <a:headEnd type="oval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6</xdr:row>
      <xdr:rowOff>9525</xdr:rowOff>
    </xdr:from>
    <xdr:to>
      <xdr:col>2</xdr:col>
      <xdr:colOff>98425</xdr:colOff>
      <xdr:row>6</xdr:row>
      <xdr:rowOff>9525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CxnSpPr/>
      </xdr:nvCxnSpPr>
      <xdr:spPr>
        <a:xfrm flipV="1">
          <a:off x="390525" y="1323975"/>
          <a:ext cx="2352675" cy="9525"/>
        </a:xfrm>
        <a:prstGeom prst="straightConnector1">
          <a:avLst/>
        </a:prstGeom>
        <a:ln w="19050">
          <a:solidFill>
            <a:schemeClr val="accent1">
              <a:lumMod val="20000"/>
              <a:lumOff val="80000"/>
            </a:schemeClr>
          </a:solidFill>
          <a:headEnd type="oval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8</xdr:row>
      <xdr:rowOff>6350</xdr:rowOff>
    </xdr:from>
    <xdr:to>
      <xdr:col>2</xdr:col>
      <xdr:colOff>98425</xdr:colOff>
      <xdr:row>8</xdr:row>
      <xdr:rowOff>15875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CxnSpPr/>
      </xdr:nvCxnSpPr>
      <xdr:spPr>
        <a:xfrm flipV="1">
          <a:off x="390525" y="1724025"/>
          <a:ext cx="2352675" cy="9525"/>
        </a:xfrm>
        <a:prstGeom prst="straightConnector1">
          <a:avLst/>
        </a:prstGeom>
        <a:ln w="12700">
          <a:solidFill>
            <a:schemeClr val="bg1">
              <a:lumMod val="85000"/>
            </a:schemeClr>
          </a:solidFill>
          <a:headEnd type="oval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10</xdr:row>
      <xdr:rowOff>6350</xdr:rowOff>
    </xdr:from>
    <xdr:to>
      <xdr:col>2</xdr:col>
      <xdr:colOff>98425</xdr:colOff>
      <xdr:row>10</xdr:row>
      <xdr:rowOff>15875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CxnSpPr/>
      </xdr:nvCxnSpPr>
      <xdr:spPr>
        <a:xfrm flipV="1">
          <a:off x="390525" y="2114550"/>
          <a:ext cx="2352675" cy="9525"/>
        </a:xfrm>
        <a:prstGeom prst="straightConnector1">
          <a:avLst/>
        </a:prstGeom>
        <a:ln w="12700">
          <a:solidFill>
            <a:schemeClr val="bg1">
              <a:lumMod val="85000"/>
            </a:schemeClr>
          </a:solidFill>
          <a:headEnd type="oval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2</xdr:col>
      <xdr:colOff>0</xdr:colOff>
      <xdr:row>4</xdr:row>
      <xdr:rowOff>0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514350" y="676275"/>
          <a:ext cx="276225" cy="266700"/>
        </a:xfrm>
        <a:prstGeom prst="ellipse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pt-BR" sz="1200" b="1">
              <a:solidFill>
                <a:schemeClr val="bg1"/>
              </a:solidFill>
              <a:latin typeface="+mn-lt"/>
              <a:ea typeface="+mn-ea"/>
              <a:cs typeface="+mn-cs"/>
            </a:rPr>
            <a:t>1</a:t>
          </a:r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2</xdr:col>
      <xdr:colOff>0</xdr:colOff>
      <xdr:row>7</xdr:row>
      <xdr:rowOff>0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14350" y="1247775"/>
          <a:ext cx="276225" cy="266700"/>
        </a:xfrm>
        <a:prstGeom prst="ellipse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pt-BR" sz="1200" b="1">
              <a:solidFill>
                <a:schemeClr val="bg1"/>
              </a:solidFill>
              <a:latin typeface="+mn-lt"/>
              <a:ea typeface="+mn-ea"/>
              <a:cs typeface="+mn-cs"/>
            </a:rPr>
            <a:t>2</a:t>
          </a:r>
        </a:p>
      </xdr:txBody>
    </xdr:sp>
    <xdr:clientData/>
  </xdr:twoCellAnchor>
  <xdr:twoCellAnchor>
    <xdr:from>
      <xdr:col>1</xdr:col>
      <xdr:colOff>0</xdr:colOff>
      <xdr:row>9</xdr:row>
      <xdr:rowOff>0</xdr:rowOff>
    </xdr:from>
    <xdr:to>
      <xdr:col>2</xdr:col>
      <xdr:colOff>0</xdr:colOff>
      <xdr:row>10</xdr:row>
      <xdr:rowOff>0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514350" y="1819275"/>
          <a:ext cx="276225" cy="266700"/>
        </a:xfrm>
        <a:prstGeom prst="ellipse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pt-BR" sz="1200" b="1">
              <a:solidFill>
                <a:schemeClr val="bg1"/>
              </a:solidFill>
              <a:latin typeface="+mn-lt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0</xdr:colOff>
      <xdr:row>13</xdr:row>
      <xdr:rowOff>0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514350" y="2390775"/>
          <a:ext cx="276225" cy="266700"/>
        </a:xfrm>
        <a:prstGeom prst="ellipse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pt-BR" sz="1200" b="1">
              <a:solidFill>
                <a:schemeClr val="bg1"/>
              </a:solidFill>
              <a:latin typeface="+mn-lt"/>
              <a:ea typeface="+mn-ea"/>
              <a:cs typeface="+mn-cs"/>
            </a:rPr>
            <a:t>4</a:t>
          </a:r>
        </a:p>
      </xdr:txBody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0</xdr:colOff>
      <xdr:row>15</xdr:row>
      <xdr:rowOff>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514350" y="2962275"/>
          <a:ext cx="276225" cy="0"/>
        </a:xfrm>
        <a:prstGeom prst="ellipse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5</a:t>
          </a:r>
        </a:p>
      </xdr:txBody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0</xdr:colOff>
      <xdr:row>15</xdr:row>
      <xdr:rowOff>0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514350" y="2962275"/>
          <a:ext cx="276225" cy="0"/>
        </a:xfrm>
        <a:prstGeom prst="ellipse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0</xdr:colOff>
      <xdr:row>16</xdr:row>
      <xdr:rowOff>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514350" y="2962275"/>
          <a:ext cx="276225" cy="266700"/>
        </a:xfrm>
        <a:prstGeom prst="ellipse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pt-BR" sz="1200" b="1">
              <a:solidFill>
                <a:schemeClr val="bg1"/>
              </a:solidFill>
              <a:latin typeface="+mn-lt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Calc!AC26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904875" y="676275"/>
          <a:ext cx="1485900" cy="266700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fld id="{4C435C12-20AD-364A-8F83-3DBF0B2720CF}" type="TxLink">
            <a:rPr lang="pt-BR" sz="1200" b="1">
              <a:solidFill>
                <a:schemeClr val="lt1"/>
              </a:solidFill>
              <a:latin typeface="+mn-lt"/>
              <a:ea typeface="+mn-ea"/>
              <a:cs typeface="+mn-cs"/>
            </a:rPr>
            <a:pPr marL="0" indent="0" algn="ctr"/>
            <a:t>Capital Inicial</a:t>
          </a:fld>
          <a:endParaRPr lang="pt-BR" sz="12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Calc!AC27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904875" y="1247775"/>
          <a:ext cx="1485900" cy="266700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fld id="{3783CB7E-EDB1-1747-B834-F02E784D2C73}" type="TxLink">
            <a:rPr lang="pt-BR" sz="1200" b="1">
              <a:solidFill>
                <a:schemeClr val="lt1"/>
              </a:solidFill>
              <a:latin typeface="+mn-lt"/>
              <a:ea typeface="+mn-ea"/>
              <a:cs typeface="+mn-cs"/>
            </a:rPr>
            <a:pPr marL="0" indent="0" algn="ctr"/>
            <a:t>Aportes</a:t>
          </a:fld>
          <a:endParaRPr lang="pt-BR" sz="12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0</xdr:colOff>
      <xdr:row>9</xdr:row>
      <xdr:rowOff>0</xdr:rowOff>
    </xdr:from>
    <xdr:to>
      <xdr:col>4</xdr:col>
      <xdr:colOff>0</xdr:colOff>
      <xdr:row>10</xdr:row>
      <xdr:rowOff>0</xdr:rowOff>
    </xdr:to>
    <xdr:sp macro="" textlink="Calc!AC28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904875" y="1819275"/>
          <a:ext cx="1485900" cy="26670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fld id="{81EEC3C5-E41F-2D4A-A68B-A3CCD8811DB3}" type="TxLink">
            <a:rPr lang="pt-BR" sz="1200" b="1"/>
            <a:pPr algn="ctr"/>
            <a:t>Taxa da Aplicação</a:t>
          </a:fld>
          <a:endParaRPr lang="pt-BR" sz="1200" b="1"/>
        </a:p>
      </xdr:txBody>
    </xdr:sp>
    <xdr:clientData/>
  </xdr:twoCellAnchor>
  <xdr:twoCellAnchor>
    <xdr:from>
      <xdr:col>3</xdr:col>
      <xdr:colOff>0</xdr:colOff>
      <xdr:row>12</xdr:row>
      <xdr:rowOff>0</xdr:rowOff>
    </xdr:from>
    <xdr:to>
      <xdr:col>4</xdr:col>
      <xdr:colOff>0</xdr:colOff>
      <xdr:row>13</xdr:row>
      <xdr:rowOff>0</xdr:rowOff>
    </xdr:to>
    <xdr:sp macro="" textlink="Calc!AC29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904875" y="2390775"/>
          <a:ext cx="1485900" cy="266700"/>
        </a:xfrm>
        <a:prstGeom prst="roundRect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fld id="{554CD57B-A918-BE46-9E68-59067E766852}" type="TxLink">
            <a:rPr lang="pt-BR" sz="1200" b="1"/>
            <a:pPr algn="ctr"/>
            <a:t>Período de Aplicação</a:t>
          </a:fld>
          <a:endParaRPr lang="pt-BR" sz="1200" b="1"/>
        </a:p>
      </xdr:txBody>
    </xdr:sp>
    <xdr:clientData/>
  </xdr:twoCellAnchor>
  <xdr:twoCellAnchor>
    <xdr:from>
      <xdr:col>3</xdr:col>
      <xdr:colOff>0</xdr:colOff>
      <xdr:row>15</xdr:row>
      <xdr:rowOff>0</xdr:rowOff>
    </xdr:from>
    <xdr:to>
      <xdr:col>4</xdr:col>
      <xdr:colOff>0</xdr:colOff>
      <xdr:row>16</xdr:row>
      <xdr:rowOff>0</xdr:rowOff>
    </xdr:to>
    <xdr:sp macro="" textlink="Calc!AC30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904875" y="2962275"/>
          <a:ext cx="1485900" cy="26670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fld id="{C4425B06-5FE3-2046-B2F4-30A46ECD3488}" type="TxLink">
            <a:rPr lang="pt-BR" sz="1200" b="1"/>
            <a:pPr algn="ctr"/>
            <a:t>Inflação</a:t>
          </a:fld>
          <a:endParaRPr lang="pt-BR" sz="1200" b="1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2</xdr:col>
      <xdr:colOff>0</xdr:colOff>
      <xdr:row>21</xdr:row>
      <xdr:rowOff>0</xdr:rowOff>
    </xdr:to>
    <xdr:sp macro="" textlink="">
      <xdr:nvSpPr>
        <xdr:cNvPr id="14" name="Oval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514350" y="4067175"/>
          <a:ext cx="276225" cy="266700"/>
        </a:xfrm>
        <a:prstGeom prst="ellipse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pt-BR" sz="1200" b="1">
              <a:solidFill>
                <a:schemeClr val="bg1"/>
              </a:solidFill>
              <a:latin typeface="+mn-lt"/>
              <a:ea typeface="+mn-ea"/>
              <a:cs typeface="+mn-cs"/>
            </a:rPr>
            <a:t>1</a:t>
          </a:r>
        </a:p>
      </xdr:txBody>
    </xdr:sp>
    <xdr:clientData/>
  </xdr:twoCellAnchor>
  <xdr:twoCellAnchor>
    <xdr:from>
      <xdr:col>3</xdr:col>
      <xdr:colOff>0</xdr:colOff>
      <xdr:row>20</xdr:row>
      <xdr:rowOff>0</xdr:rowOff>
    </xdr:from>
    <xdr:to>
      <xdr:col>6</xdr:col>
      <xdr:colOff>0</xdr:colOff>
      <xdr:row>21</xdr:row>
      <xdr:rowOff>0</xdr:rowOff>
    </xdr:to>
    <xdr:sp macro="" textlink="Calc!AC31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904875" y="4067175"/>
          <a:ext cx="2466975" cy="26670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fld id="{9559C31D-C1A5-7B47-886B-6D200C60690D}" type="TxLink">
            <a:rPr lang="pt-BR" sz="1200" b="1">
              <a:solidFill>
                <a:schemeClr val="lt1"/>
              </a:solidFill>
              <a:latin typeface="+mn-lt"/>
              <a:ea typeface="+mn-ea"/>
              <a:cs typeface="+mn-cs"/>
            </a:rPr>
            <a:pPr marL="0" indent="0" algn="ctr"/>
            <a:t>Começar planejamento</a:t>
          </a:fld>
          <a:endParaRPr lang="pt-BR" sz="12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0</xdr:colOff>
      <xdr:row>23</xdr:row>
      <xdr:rowOff>0</xdr:rowOff>
    </xdr:from>
    <xdr:to>
      <xdr:col>2</xdr:col>
      <xdr:colOff>0</xdr:colOff>
      <xdr:row>24</xdr:row>
      <xdr:rowOff>0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>
          <a:off x="514350" y="4638675"/>
          <a:ext cx="276225" cy="266700"/>
        </a:xfrm>
        <a:prstGeom prst="ellipse">
          <a:avLst/>
        </a:prstGeom>
        <a:solidFill>
          <a:schemeClr val="accent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pt-BR" sz="1200" b="1">
              <a:solidFill>
                <a:schemeClr val="bg1"/>
              </a:solidFill>
              <a:latin typeface="+mn-lt"/>
              <a:ea typeface="+mn-ea"/>
              <a:cs typeface="+mn-cs"/>
            </a:rPr>
            <a:t>2</a:t>
          </a:r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2</xdr:col>
      <xdr:colOff>0</xdr:colOff>
      <xdr:row>27</xdr:row>
      <xdr:rowOff>0</xdr:rowOff>
    </xdr:to>
    <xdr:sp macro="" textlink="">
      <xdr:nvSpPr>
        <xdr:cNvPr id="17" name="Oval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>
          <a:off x="514350" y="5210175"/>
          <a:ext cx="276225" cy="266700"/>
        </a:xfrm>
        <a:prstGeom prst="ellipse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pt-BR" sz="1200" b="1">
              <a:solidFill>
                <a:schemeClr val="bg1"/>
              </a:solidFill>
              <a:latin typeface="+mn-lt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1</xdr:col>
      <xdr:colOff>0</xdr:colOff>
      <xdr:row>29</xdr:row>
      <xdr:rowOff>0</xdr:rowOff>
    </xdr:from>
    <xdr:to>
      <xdr:col>2</xdr:col>
      <xdr:colOff>0</xdr:colOff>
      <xdr:row>30</xdr:row>
      <xdr:rowOff>0</xdr:rowOff>
    </xdr:to>
    <xdr:sp macro="" textlink="">
      <xdr:nvSpPr>
        <xdr:cNvPr id="18" name="Oval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>
          <a:off x="514350" y="5781675"/>
          <a:ext cx="276225" cy="266700"/>
        </a:xfrm>
        <a:prstGeom prst="ellipse">
          <a:avLst/>
        </a:prstGeom>
        <a:solidFill>
          <a:schemeClr val="accent3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pt-BR" sz="1200" b="1">
              <a:solidFill>
                <a:schemeClr val="bg1"/>
              </a:solidFill>
              <a:latin typeface="+mn-lt"/>
              <a:ea typeface="+mn-ea"/>
              <a:cs typeface="+mn-cs"/>
            </a:rPr>
            <a:t>4</a:t>
          </a:r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2</xdr:col>
      <xdr:colOff>0</xdr:colOff>
      <xdr:row>32</xdr:row>
      <xdr:rowOff>0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514350" y="6353175"/>
          <a:ext cx="276225" cy="0"/>
        </a:xfrm>
        <a:prstGeom prst="ellipse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5</a:t>
          </a:r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2</xdr:col>
      <xdr:colOff>0</xdr:colOff>
      <xdr:row>32</xdr:row>
      <xdr:rowOff>0</xdr:rowOff>
    </xdr:to>
    <xdr:sp macro="" textlink="">
      <xdr:nvSpPr>
        <xdr:cNvPr id="20" name="Oval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>
          <a:off x="514350" y="6353175"/>
          <a:ext cx="276225" cy="0"/>
        </a:xfrm>
        <a:prstGeom prst="ellipse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2</xdr:col>
      <xdr:colOff>0</xdr:colOff>
      <xdr:row>33</xdr:row>
      <xdr:rowOff>0</xdr:rowOff>
    </xdr:to>
    <xdr:sp macro="" textlink="">
      <xdr:nvSpPr>
        <xdr:cNvPr id="21" name="Oval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>
        <a:xfrm>
          <a:off x="514350" y="6353175"/>
          <a:ext cx="276225" cy="266700"/>
        </a:xfrm>
        <a:prstGeom prst="ellipse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pt-BR" sz="1200" b="1">
              <a:solidFill>
                <a:schemeClr val="bg1"/>
              </a:solidFill>
              <a:latin typeface="+mn-lt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0</xdr:colOff>
      <xdr:row>23</xdr:row>
      <xdr:rowOff>0</xdr:rowOff>
    </xdr:from>
    <xdr:to>
      <xdr:col>6</xdr:col>
      <xdr:colOff>0</xdr:colOff>
      <xdr:row>24</xdr:row>
      <xdr:rowOff>0</xdr:rowOff>
    </xdr:to>
    <xdr:sp macro="" textlink="Calc!AC32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>
          <a:off x="904875" y="4638675"/>
          <a:ext cx="2466975" cy="266700"/>
        </a:xfrm>
        <a:prstGeom prst="roundRect">
          <a:avLst/>
        </a:prstGeom>
        <a:solidFill>
          <a:schemeClr val="accent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fld id="{097F7B90-20CF-CE46-B72F-B978C5E8ED57}" type="TxLink">
            <a:rPr lang="pt-BR" sz="1200" b="1">
              <a:solidFill>
                <a:schemeClr val="lt1"/>
              </a:solidFill>
              <a:latin typeface="+mn-lt"/>
              <a:ea typeface="+mn-ea"/>
              <a:cs typeface="+mn-cs"/>
            </a:rPr>
            <a:pPr marL="0" indent="0" algn="ctr"/>
            <a:t>Corrigir Patrimônio pela inflação?</a:t>
          </a:fld>
          <a:endParaRPr lang="pt-BR" sz="12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0</xdr:colOff>
      <xdr:row>26</xdr:row>
      <xdr:rowOff>0</xdr:rowOff>
    </xdr:from>
    <xdr:to>
      <xdr:col>6</xdr:col>
      <xdr:colOff>0</xdr:colOff>
      <xdr:row>27</xdr:row>
      <xdr:rowOff>0</xdr:rowOff>
    </xdr:to>
    <xdr:sp macro="" textlink="Calc!AC33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>
          <a:off x="904875" y="5210175"/>
          <a:ext cx="2466975" cy="26670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fld id="{135A0E5F-FA2F-3744-ABAB-3324A7BEF638}" type="TxLink">
            <a:rPr lang="pt-BR" sz="1200" b="1"/>
            <a:pPr algn="ctr"/>
            <a:t>Corrigir Aportes pela inflação?</a:t>
          </a:fld>
          <a:endParaRPr lang="pt-BR" sz="1200" b="1"/>
        </a:p>
      </xdr:txBody>
    </xdr:sp>
    <xdr:clientData/>
  </xdr:twoCellAnchor>
  <xdr:twoCellAnchor>
    <xdr:from>
      <xdr:col>3</xdr:col>
      <xdr:colOff>0</xdr:colOff>
      <xdr:row>29</xdr:row>
      <xdr:rowOff>0</xdr:rowOff>
    </xdr:from>
    <xdr:to>
      <xdr:col>6</xdr:col>
      <xdr:colOff>0</xdr:colOff>
      <xdr:row>30</xdr:row>
      <xdr:rowOff>0</xdr:rowOff>
    </xdr:to>
    <xdr:sp macro="" textlink="Calc!AC34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/>
      </xdr:nvSpPr>
      <xdr:spPr>
        <a:xfrm>
          <a:off x="904875" y="5781675"/>
          <a:ext cx="2466975" cy="266700"/>
        </a:xfrm>
        <a:prstGeom prst="roundRect">
          <a:avLst/>
        </a:prstGeom>
        <a:solidFill>
          <a:schemeClr val="accent3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fld id="{02DE9331-BE7F-E342-AABB-F26796C4F1F6}" type="TxLink">
            <a:rPr lang="pt-BR" sz="1200" b="1"/>
            <a:pPr algn="ctr"/>
            <a:t>Utilizar crescimento dos aportes?</a:t>
          </a:fld>
          <a:endParaRPr lang="pt-BR" sz="1200" b="1"/>
        </a:p>
      </xdr:txBody>
    </xdr:sp>
    <xdr:clientData/>
  </xdr:twoCellAnchor>
  <xdr:twoCellAnchor>
    <xdr:from>
      <xdr:col>3</xdr:col>
      <xdr:colOff>0</xdr:colOff>
      <xdr:row>32</xdr:row>
      <xdr:rowOff>0</xdr:rowOff>
    </xdr:from>
    <xdr:to>
      <xdr:col>6</xdr:col>
      <xdr:colOff>0</xdr:colOff>
      <xdr:row>33</xdr:row>
      <xdr:rowOff>0</xdr:rowOff>
    </xdr:to>
    <xdr:sp macro="" textlink="Calc!AC36">
      <xdr:nvSpPr>
        <xdr:cNvPr id="25" name="Rounded Rectangle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/>
      </xdr:nvSpPr>
      <xdr:spPr>
        <a:xfrm>
          <a:off x="904875" y="6353175"/>
          <a:ext cx="2466975" cy="266700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fld id="{549B40F7-89C9-5349-A14D-79FD23D89C38}" type="TxLink">
            <a:rPr lang="pt-BR" sz="1200" b="1"/>
            <a:pPr algn="ctr"/>
            <a:t>Incluir Imposto de Renda?</a:t>
          </a:fld>
          <a:endParaRPr lang="pt-BR" sz="1200" b="1"/>
        </a:p>
      </xdr:txBody>
    </xdr:sp>
    <xdr:clientData/>
  </xdr:twoCellAnchor>
  <xdr:twoCellAnchor>
    <xdr:from>
      <xdr:col>16</xdr:col>
      <xdr:colOff>0</xdr:colOff>
      <xdr:row>14</xdr:row>
      <xdr:rowOff>101600</xdr:rowOff>
    </xdr:from>
    <xdr:to>
      <xdr:col>22</xdr:col>
      <xdr:colOff>838200</xdr:colOff>
      <xdr:row>23</xdr:row>
      <xdr:rowOff>0</xdr:rowOff>
    </xdr:to>
    <xdr:graphicFrame macro="">
      <xdr:nvGraphicFramePr>
        <xdr:cNvPr id="8409" name="Chart 49">
          <a:extLst>
            <a:ext uri="{FF2B5EF4-FFF2-40B4-BE49-F238E27FC236}">
              <a16:creationId xmlns:a16="http://schemas.microsoft.com/office/drawing/2014/main" id="{00000000-0008-0000-0500-0000D92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26</xdr:row>
      <xdr:rowOff>266700</xdr:rowOff>
    </xdr:from>
    <xdr:to>
      <xdr:col>22</xdr:col>
      <xdr:colOff>0</xdr:colOff>
      <xdr:row>36</xdr:row>
      <xdr:rowOff>177800</xdr:rowOff>
    </xdr:to>
    <xdr:graphicFrame macro="">
      <xdr:nvGraphicFramePr>
        <xdr:cNvPr id="8410" name="Chart 55">
          <a:extLst>
            <a:ext uri="{FF2B5EF4-FFF2-40B4-BE49-F238E27FC236}">
              <a16:creationId xmlns:a16="http://schemas.microsoft.com/office/drawing/2014/main" id="{00000000-0008-0000-0500-0000DA2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34</xdr:row>
      <xdr:rowOff>76200</xdr:rowOff>
    </xdr:from>
    <xdr:to>
      <xdr:col>3</xdr:col>
      <xdr:colOff>1206500</xdr:colOff>
      <xdr:row>37</xdr:row>
      <xdr:rowOff>0</xdr:rowOff>
    </xdr:to>
    <xdr:grpSp>
      <xdr:nvGrpSpPr>
        <xdr:cNvPr id="8411" name="Group 4">
          <a:extLst>
            <a:ext uri="{FF2B5EF4-FFF2-40B4-BE49-F238E27FC236}">
              <a16:creationId xmlns:a16="http://schemas.microsoft.com/office/drawing/2014/main" id="{00000000-0008-0000-0500-0000DB200000}"/>
            </a:ext>
          </a:extLst>
        </xdr:cNvPr>
        <xdr:cNvGrpSpPr>
          <a:grpSpLocks/>
        </xdr:cNvGrpSpPr>
      </xdr:nvGrpSpPr>
      <xdr:grpSpPr bwMode="auto">
        <a:xfrm>
          <a:off x="314325" y="6810375"/>
          <a:ext cx="1597025" cy="495300"/>
          <a:chOff x="257175" y="3992118"/>
          <a:chExt cx="1381125" cy="484632"/>
        </a:xfrm>
      </xdr:grpSpPr>
      <xdr:sp macro="" textlink="">
        <xdr:nvSpPr>
          <xdr:cNvPr id="8383" name="Left Arrow 29">
            <a:extLst>
              <a:ext uri="{FF2B5EF4-FFF2-40B4-BE49-F238E27FC236}">
                <a16:creationId xmlns:a16="http://schemas.microsoft.com/office/drawing/2014/main" id="{00000000-0008-0000-0500-0000BF200000}"/>
              </a:ext>
            </a:extLst>
          </xdr:cNvPr>
          <xdr:cNvSpPr>
            <a:spLocks noChangeArrowheads="1"/>
          </xdr:cNvSpPr>
        </xdr:nvSpPr>
        <xdr:spPr bwMode="auto">
          <a:xfrm>
            <a:off x="257175" y="3992118"/>
            <a:ext cx="1381125" cy="484632"/>
          </a:xfrm>
          <a:prstGeom prst="leftArrow">
            <a:avLst>
              <a:gd name="adj1" fmla="val 50000"/>
              <a:gd name="adj2" fmla="val 50004"/>
            </a:avLst>
          </a:prstGeom>
          <a:gradFill rotWithShape="1">
            <a:gsLst>
              <a:gs pos="0">
                <a:srgbClr val="9B2D2A"/>
              </a:gs>
              <a:gs pos="80000">
                <a:srgbClr val="CB3D3A"/>
              </a:gs>
              <a:gs pos="100000">
                <a:srgbClr val="CE3B37"/>
              </a:gs>
            </a:gsLst>
            <a:lin ang="16200000"/>
          </a:gradFill>
          <a:ln w="9525">
            <a:solidFill>
              <a:srgbClr val="BE4B48"/>
            </a:solidFill>
            <a:miter lim="800000"/>
            <a:headEnd/>
            <a:tailEnd/>
          </a:ln>
          <a:effectLst>
            <a:outerShdw blurRad="63500" sx="102000" sy="102000" algn="ctr" rotWithShape="0">
              <a:srgbClr val="000000">
                <a:alpha val="39999"/>
              </a:srgbClr>
            </a:outerShdw>
          </a:effectLst>
        </xdr:spPr>
        <xdr:txBody>
          <a:bodyPr rtlCol="0"/>
          <a:lstStyle/>
          <a:p>
            <a:endParaRPr lang="en-US"/>
          </a:p>
        </xdr:txBody>
      </xdr:sp>
      <xdr:sp macro="[0]!GoTo_Dados_de_Entrada" textlink="">
        <xdr:nvSpPr>
          <xdr:cNvPr id="31" name="TextBox 30">
            <a:extLst>
              <a:ext uri="{FF2B5EF4-FFF2-40B4-BE49-F238E27FC236}">
                <a16:creationId xmlns:a16="http://schemas.microsoft.com/office/drawing/2014/main" id="{00000000-0008-0000-0500-00001F000000}"/>
              </a:ext>
            </a:extLst>
          </xdr:cNvPr>
          <xdr:cNvSpPr txBox="1"/>
        </xdr:nvSpPr>
        <xdr:spPr>
          <a:xfrm>
            <a:off x="405912" y="4099814"/>
            <a:ext cx="1179268" cy="26924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ctr">
            <a:noAutofit/>
          </a:bodyPr>
          <a:lstStyle/>
          <a:p>
            <a:pPr algn="ctr"/>
            <a:r>
              <a:rPr lang="en-US" sz="1200" b="1">
                <a:solidFill>
                  <a:schemeClr val="bg1"/>
                </a:solidFill>
              </a:rPr>
              <a:t>Voltar para Dados</a:t>
            </a:r>
          </a:p>
        </xdr:txBody>
      </xdr:sp>
    </xdr:grpSp>
    <xdr:clientData/>
  </xdr:twoCellAnchor>
  <xdr:twoCellAnchor>
    <xdr:from>
      <xdr:col>11</xdr:col>
      <xdr:colOff>495300</xdr:colOff>
      <xdr:row>34</xdr:row>
      <xdr:rowOff>76200</xdr:rowOff>
    </xdr:from>
    <xdr:to>
      <xdr:col>15</xdr:col>
      <xdr:colOff>38100</xdr:colOff>
      <xdr:row>36</xdr:row>
      <xdr:rowOff>165100</xdr:rowOff>
    </xdr:to>
    <xdr:grpSp>
      <xdr:nvGrpSpPr>
        <xdr:cNvPr id="8412" name="Group 12">
          <a:extLst>
            <a:ext uri="{FF2B5EF4-FFF2-40B4-BE49-F238E27FC236}">
              <a16:creationId xmlns:a16="http://schemas.microsoft.com/office/drawing/2014/main" id="{00000000-0008-0000-0500-0000DC200000}"/>
            </a:ext>
          </a:extLst>
        </xdr:cNvPr>
        <xdr:cNvGrpSpPr>
          <a:grpSpLocks/>
        </xdr:cNvGrpSpPr>
      </xdr:nvGrpSpPr>
      <xdr:grpSpPr bwMode="auto">
        <a:xfrm flipH="1">
          <a:off x="5229225" y="6810375"/>
          <a:ext cx="1314450" cy="469900"/>
          <a:chOff x="4801791" y="5992368"/>
          <a:chExt cx="1703785" cy="484632"/>
        </a:xfrm>
      </xdr:grpSpPr>
      <xdr:sp macro="" textlink="">
        <xdr:nvSpPr>
          <xdr:cNvPr id="8381" name="Right Arrow 32">
            <a:extLst>
              <a:ext uri="{FF2B5EF4-FFF2-40B4-BE49-F238E27FC236}">
                <a16:creationId xmlns:a16="http://schemas.microsoft.com/office/drawing/2014/main" id="{00000000-0008-0000-0500-0000BD200000}"/>
              </a:ext>
            </a:extLst>
          </xdr:cNvPr>
          <xdr:cNvSpPr>
            <a:spLocks noChangeArrowheads="1"/>
          </xdr:cNvSpPr>
        </xdr:nvSpPr>
        <xdr:spPr bwMode="auto">
          <a:xfrm>
            <a:off x="4995718" y="5992368"/>
            <a:ext cx="1509858" cy="484632"/>
          </a:xfrm>
          <a:prstGeom prst="rightArrow">
            <a:avLst>
              <a:gd name="adj1" fmla="val 61796"/>
              <a:gd name="adj2" fmla="val 67694"/>
            </a:avLst>
          </a:prstGeom>
          <a:gradFill rotWithShape="1">
            <a:gsLst>
              <a:gs pos="0">
                <a:srgbClr val="2C5D98"/>
              </a:gs>
              <a:gs pos="80000">
                <a:srgbClr val="3C7BC7"/>
              </a:gs>
              <a:gs pos="100000">
                <a:srgbClr val="3A7CCB"/>
              </a:gs>
            </a:gsLst>
            <a:lin ang="16200000"/>
          </a:gradFill>
          <a:ln w="9525">
            <a:solidFill>
              <a:srgbClr val="4A7EBB"/>
            </a:solidFill>
            <a:miter lim="800000"/>
            <a:headEnd/>
            <a:tailEnd/>
          </a:ln>
          <a:effectLst>
            <a:outerShdw blurRad="40000" dist="23000" dir="5400000" rotWithShape="0">
              <a:srgbClr val="000000">
                <a:alpha val="34999"/>
              </a:srgbClr>
            </a:outerShdw>
          </a:effectLst>
        </xdr:spPr>
        <xdr:txBody>
          <a:bodyPr rtlCol="0"/>
          <a:lstStyle/>
          <a:p>
            <a:endParaRPr lang="en-US"/>
          </a:p>
        </xdr:txBody>
      </xdr:sp>
      <xdr:sp macro="[0]!GoTo_Resultados" textlink="">
        <xdr:nvSpPr>
          <xdr:cNvPr id="34" name="TextBox 33">
            <a:extLst>
              <a:ext uri="{FF2B5EF4-FFF2-40B4-BE49-F238E27FC236}">
                <a16:creationId xmlns:a16="http://schemas.microsoft.com/office/drawing/2014/main" id="{00000000-0008-0000-0500-000022000000}"/>
              </a:ext>
            </a:extLst>
          </xdr:cNvPr>
          <xdr:cNvSpPr txBox="1"/>
        </xdr:nvSpPr>
        <xdr:spPr>
          <a:xfrm>
            <a:off x="4801791" y="6103141"/>
            <a:ext cx="1703785" cy="27693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ctr">
            <a:noAutofit/>
          </a:bodyPr>
          <a:lstStyle/>
          <a:p>
            <a:pPr lvl="0" algn="ctr"/>
            <a:r>
              <a:rPr lang="en-US" sz="1200" b="1">
                <a:solidFill>
                  <a:schemeClr val="bg1"/>
                </a:solidFill>
              </a:rPr>
              <a:t>Resultados</a:t>
            </a:r>
            <a:endParaRPr lang="en-US" sz="1000" b="1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B:\WEBDESIGN\ExcelBundle\ePlanilhas\EPLANILHAS%203.0%20-%20Copia\Gest&#227;o%20&amp;%20Neg&#243;cios\Financeiras\PLANILHAS%20ORGANIZADAS\acoes,%20ivestimentos,%20e%20etc\Planilha%20Financeira%20-%20Otimiza&#231;&#227;o%20de%20Carteira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B:\WEBDESIGN\ExcelBundle\ePlanilhas\EPLANILHAS%203.0%20-%20Copia\Gest&#227;o%20&amp;%20Neg&#243;cios\Financeiras\PLANILHAS%20ORGANIZADAS\acoes,%20ivestimentos,%20e%20etc\HC%20Investimentos%20-%20Planejamento%20Financeiro%20(Premium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Otimização 1994"/>
      <sheetName val="Otimização 1999"/>
      <sheetName val="Otimização 2006"/>
      <sheetName val="Otimização 2008"/>
    </sheetNames>
    <sheetDataSet>
      <sheetData sheetId="0"/>
      <sheetData sheetId="1">
        <row r="5">
          <cell r="C5">
            <v>0.3918094406516377</v>
          </cell>
        </row>
        <row r="6">
          <cell r="C6">
            <v>0</v>
          </cell>
        </row>
        <row r="7">
          <cell r="C7">
            <v>0</v>
          </cell>
        </row>
        <row r="8">
          <cell r="C8">
            <v>0.6081905593483623</v>
          </cell>
        </row>
        <row r="9">
          <cell r="D9">
            <v>0.21280832294446705</v>
          </cell>
          <cell r="E9">
            <v>0.13166348565523742</v>
          </cell>
        </row>
      </sheetData>
      <sheetData sheetId="2">
        <row r="5">
          <cell r="C5">
            <v>0.14732906267297327</v>
          </cell>
        </row>
        <row r="6">
          <cell r="C6">
            <v>0</v>
          </cell>
        </row>
        <row r="7">
          <cell r="C7">
            <v>0.12217513667812613</v>
          </cell>
        </row>
        <row r="8">
          <cell r="C8">
            <v>0</v>
          </cell>
        </row>
        <row r="9">
          <cell r="C9">
            <v>0.73049579740800241</v>
          </cell>
        </row>
        <row r="10">
          <cell r="D10">
            <v>0.17674161643369191</v>
          </cell>
          <cell r="E10">
            <v>5.576445543118503E-2</v>
          </cell>
        </row>
      </sheetData>
      <sheetData sheetId="3">
        <row r="5">
          <cell r="C5">
            <v>0</v>
          </cell>
        </row>
        <row r="6">
          <cell r="C6">
            <v>0</v>
          </cell>
        </row>
        <row r="7">
          <cell r="C7">
            <v>0</v>
          </cell>
        </row>
        <row r="8">
          <cell r="C8">
            <v>0</v>
          </cell>
        </row>
        <row r="9">
          <cell r="C9">
            <v>0.69005902927027751</v>
          </cell>
        </row>
        <row r="10">
          <cell r="C10">
            <v>0</v>
          </cell>
        </row>
        <row r="11">
          <cell r="C11">
            <v>0</v>
          </cell>
        </row>
        <row r="12">
          <cell r="C12">
            <v>0.1217260851024129</v>
          </cell>
        </row>
        <row r="13">
          <cell r="C13">
            <v>0</v>
          </cell>
        </row>
        <row r="14">
          <cell r="C14">
            <v>0</v>
          </cell>
        </row>
        <row r="15">
          <cell r="C15">
            <v>0</v>
          </cell>
        </row>
        <row r="16">
          <cell r="C16">
            <v>0.18821488562730967</v>
          </cell>
        </row>
        <row r="17">
          <cell r="H17">
            <v>0.18430059768249629</v>
          </cell>
          <cell r="I17">
            <v>7.3720247476446704E-2</v>
          </cell>
        </row>
      </sheetData>
      <sheetData sheetId="4">
        <row r="5">
          <cell r="C5">
            <v>0</v>
          </cell>
        </row>
        <row r="6">
          <cell r="C6">
            <v>0.48168194760693611</v>
          </cell>
        </row>
        <row r="7">
          <cell r="C7">
            <v>0.11879057512922578</v>
          </cell>
        </row>
        <row r="8">
          <cell r="C8">
            <v>2.8274227763776739E-2</v>
          </cell>
        </row>
        <row r="9">
          <cell r="C9">
            <v>0.25624066708670384</v>
          </cell>
        </row>
        <row r="10">
          <cell r="C10">
            <v>0</v>
          </cell>
        </row>
        <row r="11">
          <cell r="C11">
            <v>0</v>
          </cell>
        </row>
        <row r="12">
          <cell r="C12">
            <v>5.1022697645136629E-3</v>
          </cell>
        </row>
        <row r="13">
          <cell r="C13">
            <v>0</v>
          </cell>
        </row>
        <row r="14">
          <cell r="C14">
            <v>0</v>
          </cell>
        </row>
        <row r="15">
          <cell r="C15">
            <v>0</v>
          </cell>
        </row>
        <row r="16">
          <cell r="C16">
            <v>0</v>
          </cell>
        </row>
        <row r="17">
          <cell r="C17">
            <v>2.964832782139697E-2</v>
          </cell>
        </row>
        <row r="18">
          <cell r="C18">
            <v>8.0261984827446606E-2</v>
          </cell>
        </row>
        <row r="19">
          <cell r="C19">
            <v>0</v>
          </cell>
        </row>
        <row r="20">
          <cell r="C20">
            <v>0</v>
          </cell>
        </row>
        <row r="21">
          <cell r="C21">
            <v>0</v>
          </cell>
        </row>
        <row r="22">
          <cell r="H22">
            <v>0.1482734636812002</v>
          </cell>
          <cell r="I22">
            <v>1.6366746618673957E-2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dos Históricos"/>
      <sheetName val="Dados desde 2008"/>
      <sheetName val="HOME"/>
      <sheetName val="Alocação"/>
      <sheetName val="Dados de Entrada"/>
      <sheetName val="Calc"/>
      <sheetName val="Resultados"/>
      <sheetName val="Calc (2)"/>
      <sheetName val="Nova Simulação"/>
      <sheetName val="Calc (3)"/>
      <sheetName val="Auxiliar"/>
      <sheetName val="Dados Historicos"/>
      <sheetName val="Alocaca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4">
          <cell r="AC4">
            <v>239</v>
          </cell>
        </row>
      </sheetData>
      <sheetData sheetId="6" refreshError="1"/>
      <sheetData sheetId="7">
        <row r="5">
          <cell r="V5">
            <v>52191.609492815631</v>
          </cell>
        </row>
      </sheetData>
      <sheetData sheetId="8" refreshError="1"/>
      <sheetData sheetId="9">
        <row r="5">
          <cell r="V5">
            <v>49672.114180118813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1" Type="http://schemas.openxmlformats.org/officeDocument/2006/relationships/customProperty" Target="../customProperty1.bin"/><Relationship Id="rId6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4"/>
  </sheetPr>
  <dimension ref="A1:W38"/>
  <sheetViews>
    <sheetView showGridLines="0" showRowColHeaders="0" workbookViewId="0">
      <selection activeCell="B2" sqref="B2"/>
    </sheetView>
  </sheetViews>
  <sheetFormatPr defaultColWidth="0" defaultRowHeight="15" zeroHeight="1" x14ac:dyDescent="0.25"/>
  <cols>
    <col min="1" max="1" width="7.7109375" customWidth="1"/>
    <col min="2" max="2" width="4.140625" customWidth="1"/>
    <col min="3" max="3" width="1.7109375" customWidth="1"/>
    <col min="4" max="4" width="22.28515625" customWidth="1"/>
    <col min="5" max="5" width="1.7109375" customWidth="1"/>
    <col min="6" max="6" width="13" bestFit="1" customWidth="1"/>
    <col min="7" max="7" width="2.7109375" customWidth="1"/>
    <col min="8" max="8" width="13.7109375" customWidth="1"/>
    <col min="9" max="9" width="2.7109375" customWidth="1"/>
    <col min="10" max="10" width="9.7109375" bestFit="1" customWidth="1"/>
    <col min="11" max="11" width="3.140625" customWidth="1"/>
    <col min="12" max="12" width="9.140625" customWidth="1"/>
    <col min="13" max="13" width="3.140625" customWidth="1"/>
    <col min="14" max="21" width="9.140625" customWidth="1"/>
    <col min="22" max="22" width="7.7109375" customWidth="1"/>
    <col min="23" max="23" width="10.7109375" customWidth="1"/>
    <col min="24" max="25" width="9.140625" hidden="1" customWidth="1"/>
    <col min="26" max="16384" width="9.140625" hidden="1"/>
  </cols>
  <sheetData>
    <row r="1" spans="2:21" ht="9" customHeight="1" x14ac:dyDescent="0.25"/>
    <row r="2" spans="2:21" ht="23.25" x14ac:dyDescent="0.35">
      <c r="B2" s="211" t="s">
        <v>15</v>
      </c>
      <c r="C2" s="28"/>
      <c r="D2" s="28"/>
      <c r="E2" s="28"/>
      <c r="F2" s="28"/>
      <c r="J2" s="261" t="s">
        <v>116</v>
      </c>
      <c r="K2" s="261"/>
      <c r="L2" s="261"/>
      <c r="M2" s="261"/>
      <c r="N2" s="261"/>
      <c r="O2" s="261"/>
      <c r="P2" s="261"/>
      <c r="Q2" s="261"/>
      <c r="S2" s="261" t="s">
        <v>117</v>
      </c>
      <c r="T2" s="261"/>
      <c r="U2" s="261"/>
    </row>
    <row r="3" spans="2:21" x14ac:dyDescent="0.25"/>
    <row r="4" spans="2:21" ht="21" customHeight="1" x14ac:dyDescent="0.25">
      <c r="D4" s="26"/>
      <c r="F4" s="43">
        <v>35000</v>
      </c>
      <c r="H4" s="24"/>
      <c r="J4" s="206" t="s">
        <v>115</v>
      </c>
      <c r="L4" s="30" t="str">
        <f>IF(Auxiliar!I5,Auxiliar!K5,"")</f>
        <v/>
      </c>
    </row>
    <row r="5" spans="2:21" ht="12" customHeight="1" x14ac:dyDescent="0.3">
      <c r="B5" s="28"/>
      <c r="C5" s="28"/>
      <c r="D5" s="28"/>
      <c r="E5" s="28"/>
      <c r="F5" s="34"/>
      <c r="G5" s="28"/>
      <c r="H5" s="28"/>
      <c r="I5" s="28"/>
      <c r="J5" s="33"/>
      <c r="K5" s="28"/>
      <c r="L5" s="31"/>
      <c r="M5" s="28"/>
      <c r="N5" s="28"/>
      <c r="O5" s="28"/>
      <c r="P5" s="28"/>
      <c r="Q5" s="28"/>
      <c r="R5" s="28"/>
      <c r="S5" s="28"/>
      <c r="T5" s="28"/>
      <c r="U5" s="28"/>
    </row>
    <row r="6" spans="2:21" ht="12" customHeight="1" x14ac:dyDescent="0.3">
      <c r="F6" s="35"/>
      <c r="J6" s="27"/>
      <c r="L6" s="25"/>
    </row>
    <row r="7" spans="2:21" ht="21" customHeight="1" x14ac:dyDescent="0.25">
      <c r="D7" s="26" t="s">
        <v>33</v>
      </c>
      <c r="F7" s="43">
        <v>1000</v>
      </c>
      <c r="H7" s="203" t="s">
        <v>20</v>
      </c>
      <c r="J7" s="206" t="s">
        <v>115</v>
      </c>
      <c r="L7" s="30" t="str">
        <f>IF(Auxiliar!I6,Auxiliar!K6,"")</f>
        <v/>
      </c>
    </row>
    <row r="8" spans="2:21" ht="12" customHeight="1" x14ac:dyDescent="0.3">
      <c r="B8" s="28"/>
      <c r="C8" s="28"/>
      <c r="D8" s="28"/>
      <c r="E8" s="28"/>
      <c r="F8" s="34"/>
      <c r="G8" s="28"/>
      <c r="H8" s="204"/>
      <c r="I8" s="28"/>
      <c r="J8" s="33"/>
      <c r="K8" s="28"/>
      <c r="L8" s="31"/>
      <c r="M8" s="28"/>
      <c r="N8" s="28"/>
      <c r="O8" s="28"/>
      <c r="P8" s="28"/>
      <c r="Q8" s="28"/>
      <c r="R8" s="28"/>
      <c r="S8" s="28"/>
      <c r="T8" s="28"/>
      <c r="U8" s="28"/>
    </row>
    <row r="9" spans="2:21" ht="12" customHeight="1" x14ac:dyDescent="0.3">
      <c r="F9" s="35"/>
      <c r="H9" s="205"/>
      <c r="J9" s="27"/>
      <c r="L9" s="25"/>
    </row>
    <row r="10" spans="2:21" ht="21" customHeight="1" x14ac:dyDescent="0.25">
      <c r="D10" s="26" t="s">
        <v>12</v>
      </c>
      <c r="F10" s="42">
        <v>0.15</v>
      </c>
      <c r="H10" s="203" t="s">
        <v>19</v>
      </c>
      <c r="J10" s="206" t="s">
        <v>115</v>
      </c>
      <c r="L10" s="30" t="str">
        <f>IF(Auxiliar!I7,Auxiliar!K7,"")</f>
        <v/>
      </c>
    </row>
    <row r="11" spans="2:21" ht="12" customHeight="1" x14ac:dyDescent="0.3">
      <c r="B11" s="28"/>
      <c r="C11" s="28"/>
      <c r="D11" s="28"/>
      <c r="E11" s="28"/>
      <c r="F11" s="34"/>
      <c r="G11" s="28"/>
      <c r="H11" s="204"/>
      <c r="I11" s="28"/>
      <c r="J11" s="33"/>
      <c r="K11" s="28"/>
      <c r="L11" s="31"/>
      <c r="M11" s="28"/>
      <c r="N11" s="28"/>
      <c r="O11" s="28"/>
      <c r="P11" s="28"/>
      <c r="Q11" s="28"/>
      <c r="R11" s="28"/>
      <c r="S11" s="28"/>
      <c r="T11" s="28"/>
      <c r="U11" s="28"/>
    </row>
    <row r="12" spans="2:21" ht="12" customHeight="1" x14ac:dyDescent="0.3">
      <c r="F12" s="35"/>
      <c r="H12" s="205"/>
      <c r="J12" s="27"/>
      <c r="L12" s="25"/>
    </row>
    <row r="13" spans="2:21" ht="21" customHeight="1" x14ac:dyDescent="0.25">
      <c r="D13" s="26" t="s">
        <v>13</v>
      </c>
      <c r="F13" s="41">
        <v>20</v>
      </c>
      <c r="H13" s="260" t="s">
        <v>2</v>
      </c>
      <c r="J13" s="206" t="s">
        <v>115</v>
      </c>
      <c r="L13" s="30" t="str">
        <f>IF(Auxiliar!I8,Auxiliar!K8,"")</f>
        <v/>
      </c>
    </row>
    <row r="14" spans="2:21" ht="12" customHeight="1" x14ac:dyDescent="0.3">
      <c r="B14" s="28"/>
      <c r="C14" s="28"/>
      <c r="D14" s="28"/>
      <c r="E14" s="28"/>
      <c r="F14" s="34"/>
      <c r="G14" s="28"/>
      <c r="H14" s="204"/>
      <c r="I14" s="28"/>
      <c r="J14" s="33"/>
      <c r="K14" s="28"/>
      <c r="L14" s="31"/>
      <c r="M14" s="28"/>
      <c r="N14" s="28"/>
      <c r="O14" s="28"/>
      <c r="P14" s="28"/>
      <c r="Q14" s="28"/>
      <c r="R14" s="28"/>
      <c r="S14" s="28"/>
      <c r="T14" s="28"/>
      <c r="U14" s="28"/>
    </row>
    <row r="15" spans="2:21" ht="12" customHeight="1" x14ac:dyDescent="0.3">
      <c r="F15" s="35"/>
      <c r="H15" s="205"/>
      <c r="J15" s="27"/>
      <c r="L15" s="25"/>
    </row>
    <row r="16" spans="2:21" ht="21" customHeight="1" x14ac:dyDescent="0.25">
      <c r="D16" s="26" t="s">
        <v>1</v>
      </c>
      <c r="F16" s="42">
        <v>4.4999999999999998E-2</v>
      </c>
      <c r="H16" s="203" t="s">
        <v>19</v>
      </c>
      <c r="J16" s="206" t="s">
        <v>115</v>
      </c>
      <c r="L16" s="30" t="str">
        <f>IF(Auxiliar!I9,Auxiliar!K9,"")</f>
        <v/>
      </c>
    </row>
    <row r="17" spans="2:21" ht="15" customHeight="1" thickBot="1" x14ac:dyDescent="0.3"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</row>
    <row r="18" spans="2:21" ht="15" customHeight="1" x14ac:dyDescent="0.25"/>
    <row r="19" spans="2:21" ht="21" customHeight="1" x14ac:dyDescent="0.3">
      <c r="B19" s="40" t="s">
        <v>141</v>
      </c>
      <c r="C19" s="28"/>
      <c r="D19" s="29"/>
      <c r="E19" s="28"/>
      <c r="F19" s="28"/>
      <c r="H19" s="249" t="s">
        <v>142</v>
      </c>
      <c r="I19" s="35"/>
      <c r="J19" s="36"/>
      <c r="L19" s="32"/>
      <c r="N19" s="30"/>
    </row>
    <row r="20" spans="2:21" ht="15" customHeight="1" x14ac:dyDescent="0.3">
      <c r="H20" s="35"/>
      <c r="I20" s="35"/>
      <c r="J20" s="35"/>
    </row>
    <row r="21" spans="2:21" ht="21" customHeight="1" x14ac:dyDescent="0.3">
      <c r="D21" s="26"/>
      <c r="H21" s="41" t="s">
        <v>23</v>
      </c>
      <c r="I21" s="35"/>
      <c r="J21" s="36"/>
      <c r="L21" s="206" t="s">
        <v>115</v>
      </c>
      <c r="N21" s="30" t="str">
        <f>IF(Auxiliar!I10,Auxiliar!K10,"")</f>
        <v/>
      </c>
    </row>
    <row r="22" spans="2:21" ht="12" customHeight="1" x14ac:dyDescent="0.3">
      <c r="B22" s="28"/>
      <c r="C22" s="28"/>
      <c r="D22" s="28"/>
      <c r="E22" s="28"/>
      <c r="F22" s="28"/>
      <c r="G22" s="28"/>
      <c r="H22" s="34"/>
      <c r="I22" s="34"/>
      <c r="J22" s="34"/>
      <c r="K22" s="28"/>
      <c r="L22" s="33"/>
      <c r="M22" s="28"/>
      <c r="N22" s="28"/>
      <c r="O22" s="28"/>
      <c r="P22" s="28"/>
      <c r="Q22" s="28"/>
      <c r="R22" s="28"/>
      <c r="S22" s="28"/>
      <c r="T22" s="28"/>
      <c r="U22" s="28"/>
    </row>
    <row r="23" spans="2:21" ht="12" customHeight="1" x14ac:dyDescent="0.3">
      <c r="H23" s="35"/>
      <c r="I23" s="35"/>
      <c r="J23" s="35"/>
      <c r="L23" s="27"/>
    </row>
    <row r="24" spans="2:21" ht="21" customHeight="1" x14ac:dyDescent="0.3">
      <c r="D24" s="26" t="s">
        <v>33</v>
      </c>
      <c r="H24" s="41" t="s">
        <v>16</v>
      </c>
      <c r="I24" s="35"/>
      <c r="J24" s="36"/>
      <c r="L24" s="206" t="s">
        <v>115</v>
      </c>
      <c r="N24" s="30" t="str">
        <f>IF(Auxiliar!I11,Auxiliar!K11,"")</f>
        <v/>
      </c>
    </row>
    <row r="25" spans="2:21" ht="12" customHeight="1" x14ac:dyDescent="0.3">
      <c r="B25" s="28"/>
      <c r="C25" s="28"/>
      <c r="D25" s="28"/>
      <c r="E25" s="28"/>
      <c r="F25" s="28"/>
      <c r="G25" s="28"/>
      <c r="H25" s="34"/>
      <c r="I25" s="34"/>
      <c r="J25" s="34"/>
      <c r="K25" s="28"/>
      <c r="L25" s="33"/>
      <c r="M25" s="28"/>
      <c r="N25" s="31"/>
      <c r="O25" s="28"/>
      <c r="P25" s="28"/>
      <c r="Q25" s="28"/>
      <c r="R25" s="28"/>
      <c r="S25" s="28"/>
      <c r="T25" s="28"/>
      <c r="U25" s="28"/>
    </row>
    <row r="26" spans="2:21" ht="12" customHeight="1" x14ac:dyDescent="0.3">
      <c r="H26" s="35"/>
      <c r="I26" s="35"/>
      <c r="J26" s="35"/>
      <c r="L26" s="27"/>
      <c r="N26" s="25"/>
    </row>
    <row r="27" spans="2:21" ht="21" customHeight="1" x14ac:dyDescent="0.3">
      <c r="D27" s="26" t="s">
        <v>12</v>
      </c>
      <c r="H27" s="41" t="s">
        <v>3</v>
      </c>
      <c r="I27" s="35"/>
      <c r="J27" s="36"/>
      <c r="L27" s="206" t="s">
        <v>115</v>
      </c>
      <c r="N27" s="30" t="str">
        <f>IF(Auxiliar!I12,Auxiliar!K12,"")</f>
        <v/>
      </c>
    </row>
    <row r="28" spans="2:21" ht="12" customHeight="1" x14ac:dyDescent="0.3">
      <c r="B28" s="28"/>
      <c r="C28" s="28"/>
      <c r="D28" s="28"/>
      <c r="E28" s="28"/>
      <c r="F28" s="28"/>
      <c r="G28" s="28"/>
      <c r="H28" s="34"/>
      <c r="I28" s="34"/>
      <c r="J28" s="34"/>
      <c r="K28" s="28"/>
      <c r="L28" s="33"/>
      <c r="M28" s="28"/>
      <c r="N28" s="31"/>
      <c r="O28" s="28"/>
      <c r="P28" s="28"/>
      <c r="Q28" s="28"/>
      <c r="R28" s="28"/>
      <c r="S28" s="28"/>
      <c r="T28" s="28"/>
      <c r="U28" s="28"/>
    </row>
    <row r="29" spans="2:21" ht="12" customHeight="1" x14ac:dyDescent="0.3">
      <c r="H29" s="35"/>
      <c r="I29" s="35"/>
      <c r="J29" s="35"/>
      <c r="L29" s="27"/>
      <c r="N29" s="25"/>
    </row>
    <row r="30" spans="2:21" ht="21" customHeight="1" x14ac:dyDescent="0.3">
      <c r="D30" s="26" t="s">
        <v>13</v>
      </c>
      <c r="H30" s="41" t="s">
        <v>16</v>
      </c>
      <c r="I30" s="35"/>
      <c r="J30" s="42">
        <v>0.05</v>
      </c>
      <c r="L30" s="206" t="s">
        <v>115</v>
      </c>
      <c r="N30" s="30" t="str">
        <f>IF(Auxiliar!I13,Auxiliar!K13,"")</f>
        <v/>
      </c>
    </row>
    <row r="31" spans="2:21" ht="12" customHeight="1" x14ac:dyDescent="0.3">
      <c r="B31" s="28"/>
      <c r="C31" s="28"/>
      <c r="D31" s="28"/>
      <c r="E31" s="28"/>
      <c r="F31" s="28"/>
      <c r="G31" s="28"/>
      <c r="H31" s="34"/>
      <c r="I31" s="34"/>
      <c r="J31" s="34"/>
      <c r="K31" s="28"/>
      <c r="L31" s="33"/>
      <c r="M31" s="28"/>
      <c r="N31" s="31"/>
      <c r="O31" s="28"/>
      <c r="P31" s="28"/>
      <c r="Q31" s="28"/>
      <c r="R31" s="28"/>
      <c r="S31" s="28"/>
      <c r="T31" s="28"/>
      <c r="U31" s="28"/>
    </row>
    <row r="32" spans="2:21" ht="12" customHeight="1" x14ac:dyDescent="0.3">
      <c r="H32" s="35"/>
      <c r="I32" s="35"/>
      <c r="J32" s="35"/>
      <c r="L32" s="27"/>
      <c r="N32" s="25"/>
    </row>
    <row r="33" spans="2:21" ht="21" customHeight="1" x14ac:dyDescent="0.3">
      <c r="D33" s="26" t="s">
        <v>1</v>
      </c>
      <c r="H33" s="41" t="s">
        <v>16</v>
      </c>
      <c r="I33" s="35"/>
      <c r="J33" s="42">
        <v>0.15</v>
      </c>
      <c r="L33" s="206" t="s">
        <v>115</v>
      </c>
      <c r="N33" s="30" t="str">
        <f>IF(Auxiliar!I14,Auxiliar!K14,"")</f>
        <v/>
      </c>
    </row>
    <row r="34" spans="2:21" ht="15" customHeight="1" thickBot="1" x14ac:dyDescent="0.3">
      <c r="B34" s="39"/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</row>
    <row r="35" spans="2:21" ht="15" customHeight="1" x14ac:dyDescent="0.25"/>
    <row r="36" spans="2:21" x14ac:dyDescent="0.25">
      <c r="B36" s="244" t="s">
        <v>2</v>
      </c>
      <c r="C36" s="244" t="s">
        <v>21</v>
      </c>
      <c r="D36" s="244" t="s">
        <v>19</v>
      </c>
      <c r="E36" s="244" t="s">
        <v>20</v>
      </c>
      <c r="F36" s="244" t="s">
        <v>23</v>
      </c>
      <c r="G36" s="244" t="s">
        <v>24</v>
      </c>
      <c r="H36" s="246">
        <v>0.15</v>
      </c>
      <c r="I36" s="245">
        <v>0.17499999999999999</v>
      </c>
      <c r="J36" s="245">
        <v>0.2</v>
      </c>
      <c r="K36" s="245">
        <v>0.22500000000000001</v>
      </c>
      <c r="L36" s="247"/>
    </row>
    <row r="37" spans="2:21" x14ac:dyDescent="0.25"/>
    <row r="38" spans="2:21" x14ac:dyDescent="0.25"/>
  </sheetData>
  <sheetProtection sheet="1" objects="1" scenarios="1"/>
  <mergeCells count="2">
    <mergeCell ref="J2:Q2"/>
    <mergeCell ref="S2:U2"/>
  </mergeCells>
  <dataValidations count="5">
    <dataValidation type="list" allowBlank="1" showInputMessage="1" showErrorMessage="1" sqref="H21">
      <formula1>$F$36:$G$36</formula1>
    </dataValidation>
    <dataValidation type="list" allowBlank="1" showErrorMessage="1" prompt="_x000d_" sqref="H33 H24 H30 H27">
      <formula1>"Sim,Não"</formula1>
    </dataValidation>
    <dataValidation type="list" allowBlank="1" showErrorMessage="1" sqref="J33">
      <formula1>$H$36:$K$36</formula1>
    </dataValidation>
    <dataValidation type="list" allowBlank="1" showInputMessage="1" showErrorMessage="1" sqref="H7 H18 H16 H10">
      <formula1>$D$36:$E$36</formula1>
    </dataValidation>
    <dataValidation type="whole" allowBlank="1" showInputMessage="1" showErrorMessage="1" errorTitle="Excedeu o limite de anos" error="Escolha um número entre 1 e 50" sqref="F13">
      <formula1>1</formula1>
      <formula2>50</formula2>
    </dataValidation>
  </dataValidations>
  <pageMargins left="0.7" right="0.7" top="0.75" bottom="0.75" header="0.3" footer="0.3"/>
  <customProperties>
    <customPr name="LastActive" r:id="rId1"/>
  </customProperti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Check Box 4">
              <controlPr defaultSize="0" autoFill="0" autoLine="0" autoPict="0">
                <anchor moveWithCells="1">
                  <from>
                    <xdr:col>10</xdr:col>
                    <xdr:colOff>0</xdr:colOff>
                    <xdr:row>6</xdr:row>
                    <xdr:rowOff>0</xdr:rowOff>
                  </from>
                  <to>
                    <xdr:col>11</xdr:col>
                    <xdr:colOff>85725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Check Box 5">
              <controlPr defaultSize="0" autoFill="0" autoLine="0" autoPict="0">
                <anchor moveWithCells="1">
                  <from>
                    <xdr:col>10</xdr:col>
                    <xdr:colOff>0</xdr:colOff>
                    <xdr:row>9</xdr:row>
                    <xdr:rowOff>0</xdr:rowOff>
                  </from>
                  <to>
                    <xdr:col>11</xdr:col>
                    <xdr:colOff>85725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Check Box 6">
              <controlPr defaultSize="0" autoFill="0" autoLine="0" autoPict="0">
                <anchor moveWithCells="1">
                  <from>
                    <xdr:col>10</xdr:col>
                    <xdr:colOff>0</xdr:colOff>
                    <xdr:row>12</xdr:row>
                    <xdr:rowOff>0</xdr:rowOff>
                  </from>
                  <to>
                    <xdr:col>11</xdr:col>
                    <xdr:colOff>85725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Check Box 7">
              <controlPr defaultSize="0" autoFill="0" autoLine="0" autoPict="0">
                <anchor moveWithCells="1">
                  <from>
                    <xdr:col>10</xdr:col>
                    <xdr:colOff>0</xdr:colOff>
                    <xdr:row>15</xdr:row>
                    <xdr:rowOff>0</xdr:rowOff>
                  </from>
                  <to>
                    <xdr:col>11</xdr:col>
                    <xdr:colOff>85725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Check Box 9">
              <controlPr defaultSize="0" autoFill="0" autoLine="0" autoPict="0">
                <anchor moveWithCells="1">
                  <from>
                    <xdr:col>10</xdr:col>
                    <xdr:colOff>0</xdr:colOff>
                    <xdr:row>3</xdr:row>
                    <xdr:rowOff>0</xdr:rowOff>
                  </from>
                  <to>
                    <xdr:col>11</xdr:col>
                    <xdr:colOff>85725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9" name="Check Box 10">
              <controlPr defaultSize="0" autoFill="0" autoLine="0" autoPict="0">
                <anchor mov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85725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0" name="Check Box 11">
              <controlPr defaultSize="0" autoFill="0" autoLine="0" autoPict="0">
                <anchor mov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85725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1" name="Check Box 12">
              <controlPr defaultSize="0" autoFill="0" autoLine="0" autoPict="0">
                <anchor mov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85725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2" name="Check Box 13">
              <controlPr defaultSize="0" autoFill="0" autoLine="0" autoPict="0">
                <anchor mov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85725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3" name="Check Box 14">
              <controlPr defaultSize="0" autoFill="0" autoLine="0" autoPict="0">
                <anchor mov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85725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4" name="Check Box 18">
              <controlPr defaultSize="0" autoFill="0" autoLine="0" autoPict="0">
                <anchor moveWithCells="1">
                  <from>
                    <xdr:col>10</xdr:col>
                    <xdr:colOff>0</xdr:colOff>
                    <xdr:row>6</xdr:row>
                    <xdr:rowOff>0</xdr:rowOff>
                  </from>
                  <to>
                    <xdr:col>11</xdr:col>
                    <xdr:colOff>85725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5" name="Check Box 19">
              <controlPr defaultSize="0" autoFill="0" autoLine="0" autoPict="0">
                <anchor moveWithCells="1">
                  <from>
                    <xdr:col>10</xdr:col>
                    <xdr:colOff>0</xdr:colOff>
                    <xdr:row>9</xdr:row>
                    <xdr:rowOff>0</xdr:rowOff>
                  </from>
                  <to>
                    <xdr:col>11</xdr:col>
                    <xdr:colOff>85725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6" name="Check Box 20">
              <controlPr defaultSize="0" autoFill="0" autoLine="0" autoPict="0">
                <anchor moveWithCells="1">
                  <from>
                    <xdr:col>10</xdr:col>
                    <xdr:colOff>0</xdr:colOff>
                    <xdr:row>9</xdr:row>
                    <xdr:rowOff>0</xdr:rowOff>
                  </from>
                  <to>
                    <xdr:col>11</xdr:col>
                    <xdr:colOff>85725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7" name="Check Box 21">
              <controlPr defaultSize="0" autoFill="0" autoLine="0" autoPict="0">
                <anchor moveWithCells="1">
                  <from>
                    <xdr:col>10</xdr:col>
                    <xdr:colOff>0</xdr:colOff>
                    <xdr:row>12</xdr:row>
                    <xdr:rowOff>0</xdr:rowOff>
                  </from>
                  <to>
                    <xdr:col>11</xdr:col>
                    <xdr:colOff>85725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8" name="Check Box 22">
              <controlPr defaultSize="0" autoFill="0" autoLine="0" autoPict="0">
                <anchor moveWithCells="1">
                  <from>
                    <xdr:col>10</xdr:col>
                    <xdr:colOff>0</xdr:colOff>
                    <xdr:row>12</xdr:row>
                    <xdr:rowOff>0</xdr:rowOff>
                  </from>
                  <to>
                    <xdr:col>11</xdr:col>
                    <xdr:colOff>85725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9" name="Check Box 23">
              <controlPr defaultSize="0" autoFill="0" autoLine="0" autoPict="0">
                <anchor moveWithCells="1">
                  <from>
                    <xdr:col>10</xdr:col>
                    <xdr:colOff>0</xdr:colOff>
                    <xdr:row>12</xdr:row>
                    <xdr:rowOff>0</xdr:rowOff>
                  </from>
                  <to>
                    <xdr:col>11</xdr:col>
                    <xdr:colOff>85725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0" name="Check Box 24">
              <controlPr defaultSize="0" autoFill="0" autoLine="0" autoPict="0">
                <anchor moveWithCells="1">
                  <from>
                    <xdr:col>10</xdr:col>
                    <xdr:colOff>0</xdr:colOff>
                    <xdr:row>15</xdr:row>
                    <xdr:rowOff>0</xdr:rowOff>
                  </from>
                  <to>
                    <xdr:col>11</xdr:col>
                    <xdr:colOff>85725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1" name="Check Box 25">
              <controlPr defaultSize="0" autoFill="0" autoLine="0" autoPict="0">
                <anchor moveWithCells="1">
                  <from>
                    <xdr:col>10</xdr:col>
                    <xdr:colOff>0</xdr:colOff>
                    <xdr:row>15</xdr:row>
                    <xdr:rowOff>0</xdr:rowOff>
                  </from>
                  <to>
                    <xdr:col>11</xdr:col>
                    <xdr:colOff>85725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2" name="Check Box 26">
              <controlPr defaultSize="0" autoFill="0" autoLine="0" autoPict="0">
                <anchor moveWithCells="1">
                  <from>
                    <xdr:col>10</xdr:col>
                    <xdr:colOff>0</xdr:colOff>
                    <xdr:row>15</xdr:row>
                    <xdr:rowOff>0</xdr:rowOff>
                  </from>
                  <to>
                    <xdr:col>11</xdr:col>
                    <xdr:colOff>85725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23" name="Check Box 27">
              <controlPr defaultSize="0" autoFill="0" autoLine="0" autoPict="0">
                <anchor moveWithCells="1">
                  <from>
                    <xdr:col>10</xdr:col>
                    <xdr:colOff>0</xdr:colOff>
                    <xdr:row>15</xdr:row>
                    <xdr:rowOff>0</xdr:rowOff>
                  </from>
                  <to>
                    <xdr:col>11</xdr:col>
                    <xdr:colOff>85725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4" name="Check Box 28">
              <controlPr defaultSize="0" autoFill="0" autoLine="0" autoPict="0">
                <anchor mov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85725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25" name="Check Box 29">
              <controlPr defaultSize="0" autoFill="0" autoLine="0" autoPict="0">
                <anchor mov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85725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26" name="Check Box 30">
              <controlPr defaultSize="0" autoFill="0" autoLine="0" autoPict="0">
                <anchor mov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85725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27" name="Check Box 31">
              <controlPr defaultSize="0" autoFill="0" autoLine="0" autoPict="0">
                <anchor mov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85725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28" name="Check Box 32">
              <controlPr defaultSize="0" autoFill="0" autoLine="0" autoPict="0">
                <anchor mov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85725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9" name="Check Box 33">
              <controlPr defaultSize="0" autoFill="0" autoLine="0" autoPict="0">
                <anchor mov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85725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30" name="Check Box 34">
              <controlPr defaultSize="0" autoFill="0" autoLine="0" autoPict="0">
                <anchor mov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85725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31" name="Check Box 35">
              <controlPr defaultSize="0" autoFill="0" autoLine="0" autoPict="0">
                <anchor mov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85725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32" name="Check Box 36">
              <controlPr defaultSize="0" autoFill="0" autoLine="0" autoPict="0">
                <anchor mov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85725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33" name="Check Box 37">
              <controlPr defaultSize="0" autoFill="0" autoLine="0" autoPict="0">
                <anchor mov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85725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34" name="Check Box 38">
              <controlPr defaultSize="0" autoFill="0" autoLine="0" autoPict="0">
                <anchor mov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85725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35" name="Check Box 39">
              <controlPr defaultSize="0" autoFill="0" autoLine="0" autoPict="0">
                <anchor mov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85725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36" name="Check Box 40">
              <controlPr defaultSize="0" autoFill="0" autoLine="0" autoPict="0">
                <anchor mov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85725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37" name="Check Box 41">
              <controlPr defaultSize="0" autoFill="0" autoLine="0" autoPict="0">
                <anchor mov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85725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38" name="Check Box 42">
              <controlPr defaultSize="0" autoFill="0" autoLine="0" autoPict="0">
                <anchor mov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85725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39" name="Check Box 43">
              <controlPr defaultSize="0" autoFill="0" autoLine="0" autoPict="0">
                <anchor mov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85725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40" name="Check Box 44">
              <controlPr defaultSize="0" autoFill="0" autoLine="0" autoPict="0">
                <anchor mov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85725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41" name="Check Box 45">
              <controlPr defaultSize="0" autoFill="0" autoLine="0" autoPict="0">
                <anchor mov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85725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42" name="Check Box 46">
              <controlPr defaultSize="0" autoFill="0" autoLine="0" autoPict="0">
                <anchor mov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85725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43" name="Check Box 47">
              <controlPr defaultSize="0" autoFill="0" autoLine="0" autoPict="0">
                <anchor mov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85725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44" name="Check Box 48">
              <controlPr defaultSize="0" autoFill="0" autoLine="0" autoPict="0">
                <anchor mov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85725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45" name="Check Box 49">
              <controlPr defaultSize="0" autoFill="0" autoLine="0" autoPict="0">
                <anchor mov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85725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46" name="Check Box 50">
              <controlPr defaultSize="0" autoFill="0" autoLine="0" autoPict="0">
                <anchor mov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85725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47" name="Check Box 51">
              <controlPr defaultSize="0" autoFill="0" autoLine="0" autoPict="0">
                <anchor mov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85725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48" name="Check Box 52">
              <controlPr defaultSize="0" autoFill="0" autoLine="0" autoPict="0">
                <anchor mov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85725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49" name="Check Box 53">
              <controlPr defaultSize="0" autoFill="0" autoLine="0" autoPict="0">
                <anchor mov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85725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50" name="Check Box 54">
              <controlPr defaultSize="0" autoFill="0" autoLine="0" autoPict="0">
                <anchor mov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85725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51" name="Check Box 55">
              <controlPr defaultSize="0" autoFill="0" autoLine="0" autoPict="0">
                <anchor mov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85725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52" name="Check Box 56">
              <controlPr defaultSize="0" autoFill="0" autoLine="0" autoPict="0">
                <anchor mov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85725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G604"/>
  <sheetViews>
    <sheetView showGridLines="0" topLeftCell="Q1" workbookViewId="0">
      <selection activeCell="AC22" sqref="AC22"/>
    </sheetView>
  </sheetViews>
  <sheetFormatPr defaultColWidth="9.140625" defaultRowHeight="12.75" x14ac:dyDescent="0.2"/>
  <cols>
    <col min="1" max="1" width="5.7109375" style="2" customWidth="1"/>
    <col min="2" max="2" width="6.7109375" style="2" bestFit="1" customWidth="1"/>
    <col min="3" max="3" width="4.28515625" style="2" bestFit="1" customWidth="1"/>
    <col min="4" max="4" width="4" style="2" bestFit="1" customWidth="1"/>
    <col min="5" max="5" width="9.42578125" style="2" bestFit="1" customWidth="1"/>
    <col min="6" max="6" width="10.42578125" style="2" bestFit="1" customWidth="1"/>
    <col min="7" max="7" width="8.85546875" style="2" bestFit="1" customWidth="1"/>
    <col min="8" max="8" width="9.42578125" style="2" bestFit="1" customWidth="1"/>
    <col min="9" max="9" width="11.85546875" style="2" bestFit="1" customWidth="1"/>
    <col min="10" max="10" width="9.85546875" style="2" bestFit="1" customWidth="1"/>
    <col min="11" max="11" width="11.85546875" style="2" bestFit="1" customWidth="1"/>
    <col min="12" max="12" width="14" style="2" bestFit="1" customWidth="1"/>
    <col min="13" max="13" width="5.140625" style="2" customWidth="1"/>
    <col min="14" max="14" width="9.42578125" style="2" bestFit="1" customWidth="1"/>
    <col min="15" max="15" width="11.85546875" style="2" bestFit="1" customWidth="1"/>
    <col min="16" max="16" width="4.7109375" style="2" customWidth="1"/>
    <col min="17" max="17" width="11.42578125" style="2" customWidth="1"/>
    <col min="18" max="18" width="12.42578125" style="2" bestFit="1" customWidth="1"/>
    <col min="19" max="19" width="16.28515625" style="2" bestFit="1" customWidth="1"/>
    <col min="20" max="20" width="4.28515625" style="2" bestFit="1" customWidth="1"/>
    <col min="21" max="21" width="6.7109375" style="2" bestFit="1" customWidth="1"/>
    <col min="22" max="22" width="12.85546875" style="2" bestFit="1" customWidth="1"/>
    <col min="23" max="23" width="4" style="2" bestFit="1" customWidth="1"/>
    <col min="24" max="24" width="6.42578125" style="2" bestFit="1" customWidth="1"/>
    <col min="25" max="26" width="5.7109375" style="2" customWidth="1"/>
    <col min="27" max="27" width="12" style="44" customWidth="1"/>
    <col min="28" max="28" width="11.140625" style="44" customWidth="1"/>
    <col min="29" max="29" width="13" style="2" customWidth="1"/>
    <col min="30" max="30" width="12.42578125" style="2" customWidth="1"/>
    <col min="31" max="31" width="11.28515625" style="2" bestFit="1" customWidth="1"/>
    <col min="32" max="16384" width="9.140625" style="2"/>
  </cols>
  <sheetData>
    <row r="1" spans="2:33" x14ac:dyDescent="0.2">
      <c r="G1" s="5"/>
      <c r="H1" s="5"/>
      <c r="I1" s="5"/>
      <c r="J1" s="5"/>
      <c r="K1" s="5"/>
      <c r="L1" s="5"/>
      <c r="M1" s="5"/>
      <c r="N1" s="5"/>
      <c r="O1" s="5"/>
      <c r="P1" s="20"/>
      <c r="Q1" s="20"/>
      <c r="R1" s="20"/>
      <c r="S1" s="20"/>
    </row>
    <row r="2" spans="2:33" ht="18.75" x14ac:dyDescent="0.3">
      <c r="B2" s="1" t="s">
        <v>15</v>
      </c>
    </row>
    <row r="3" spans="2:33" ht="13.5" thickBot="1" x14ac:dyDescent="0.25">
      <c r="AA3" s="55" t="s">
        <v>55</v>
      </c>
    </row>
    <row r="4" spans="2:33" x14ac:dyDescent="0.2">
      <c r="B4" s="4" t="s">
        <v>4</v>
      </c>
      <c r="C4" s="4" t="s">
        <v>4</v>
      </c>
      <c r="D4" s="4" t="s">
        <v>5</v>
      </c>
      <c r="E4" s="4" t="s">
        <v>6</v>
      </c>
      <c r="F4" s="4" t="s">
        <v>7</v>
      </c>
      <c r="G4" s="4" t="s">
        <v>30</v>
      </c>
      <c r="H4" s="4" t="s">
        <v>8</v>
      </c>
      <c r="I4" s="4" t="s">
        <v>7</v>
      </c>
      <c r="J4" s="4" t="s">
        <v>31</v>
      </c>
      <c r="K4" s="4" t="s">
        <v>39</v>
      </c>
      <c r="L4" s="4" t="s">
        <v>40</v>
      </c>
      <c r="M4" s="4" t="s">
        <v>41</v>
      </c>
      <c r="N4" s="4" t="s">
        <v>1</v>
      </c>
      <c r="O4" s="4" t="s">
        <v>7</v>
      </c>
      <c r="P4" s="4" t="s">
        <v>32</v>
      </c>
      <c r="Q4" s="4" t="s">
        <v>9</v>
      </c>
      <c r="R4" s="4" t="s">
        <v>10</v>
      </c>
      <c r="S4" s="4" t="s">
        <v>11</v>
      </c>
      <c r="T4" s="4" t="s">
        <v>4</v>
      </c>
      <c r="U4" s="4" t="s">
        <v>4</v>
      </c>
      <c r="V4" s="4" t="s">
        <v>38</v>
      </c>
      <c r="W4" s="4" t="s">
        <v>5</v>
      </c>
      <c r="X4" s="4" t="s">
        <v>5</v>
      </c>
      <c r="AA4" s="2"/>
      <c r="AB4" s="128" t="s">
        <v>63</v>
      </c>
      <c r="AC4" s="129">
        <f>$AF$29*12-1</f>
        <v>239</v>
      </c>
      <c r="AE4" s="19" t="s">
        <v>25</v>
      </c>
      <c r="AF4" s="18">
        <f ca="1">DATE(YEAR(TODAY()),MONTH(TODAY()),1)</f>
        <v>45505</v>
      </c>
    </row>
    <row r="5" spans="2:33" x14ac:dyDescent="0.2">
      <c r="B5" s="16">
        <f ca="1">DATE(YEAR(Mês_Atual),MONTH(Mês_Atual)+$AE$31,1)</f>
        <v>45505</v>
      </c>
      <c r="C5" s="8">
        <v>1</v>
      </c>
      <c r="D5" s="8"/>
      <c r="E5" s="10">
        <f>IF($AE$33,IF($AE$34,Aportes*(1+Inflação)*(1+Crescimento_Salário),Aportes*(1+Inflação)),IF($AE$34,Aportes*(1+Crescimento_Salário),Aportes))</f>
        <v>1004.0741237836484</v>
      </c>
      <c r="F5" s="11">
        <f>Capital_Inicial+E5</f>
        <v>36004.074123783648</v>
      </c>
      <c r="G5" s="12">
        <f>IF(F5&lt;=0,0,F5/S5)</f>
        <v>0.99395151448054675</v>
      </c>
      <c r="H5" s="10">
        <f>Capital_Inicial*Taxa</f>
        <v>348.51877836563801</v>
      </c>
      <c r="I5" s="10">
        <f>H5</f>
        <v>348.51877836563801</v>
      </c>
      <c r="J5" s="12">
        <f t="shared" ref="J5:J68" si="0">1-G5</f>
        <v>6.0484855194532505E-3</v>
      </c>
      <c r="K5" s="13">
        <f>R5-F5</f>
        <v>219.09531582416821</v>
      </c>
      <c r="L5" s="10">
        <f>K5</f>
        <v>219.09531582416821</v>
      </c>
      <c r="M5" s="12">
        <f>K5/R5</f>
        <v>6.0484855194532176E-3</v>
      </c>
      <c r="N5" s="10">
        <f t="shared" ref="N5:N68" si="1">Q5*Inflação</f>
        <v>133.58885012707216</v>
      </c>
      <c r="O5" s="10">
        <f>Q5-R5</f>
        <v>129.42346254146833</v>
      </c>
      <c r="P5" s="12">
        <f t="shared" ref="P5:P68" si="2">O5/Q5</f>
        <v>3.5602264435397779E-3</v>
      </c>
      <c r="Q5" s="6">
        <f>Capital_Inicial+E5+H5</f>
        <v>36352.592902149285</v>
      </c>
      <c r="R5" s="6">
        <f>AD26+E5+AD26*((1+Taxa)/(1+Inflação)-1)</f>
        <v>36223.169439607816</v>
      </c>
      <c r="S5" s="10">
        <f>IF(Calc!$AD$32="Sim",R5,Q5)</f>
        <v>36223.169439607816</v>
      </c>
      <c r="T5" s="8">
        <f>C5</f>
        <v>1</v>
      </c>
      <c r="U5" s="16">
        <f ca="1">DATE(YEAR(AF4),MONTH(AF4)+1,1)</f>
        <v>45536</v>
      </c>
      <c r="V5" s="123">
        <f t="shared" ref="V5:V34" si="3">INDEX($S$5:$S$997,Y5,0)</f>
        <v>50546.629891801866</v>
      </c>
      <c r="W5" s="67">
        <v>1</v>
      </c>
      <c r="X5" s="131">
        <f ca="1">DATE(YEAR(TODAY())+W5,MONTH(TODAY()),1)</f>
        <v>45870</v>
      </c>
      <c r="Y5" s="5">
        <f>W5*12</f>
        <v>12</v>
      </c>
      <c r="Z5" s="5"/>
      <c r="AB5" s="128" t="s">
        <v>4</v>
      </c>
      <c r="AC5" s="126">
        <f ca="1">INDEX($U$5:$U$1000,AC4+1,0)</f>
        <v>52810</v>
      </c>
    </row>
    <row r="6" spans="2:33" x14ac:dyDescent="0.2">
      <c r="B6" s="17">
        <f t="shared" ref="B6:B69" ca="1" si="4">DATE(YEAR(B5),MONTH(B5)+1,1)</f>
        <v>45536</v>
      </c>
      <c r="C6" s="9">
        <f>C5+1</f>
        <v>2</v>
      </c>
      <c r="D6" s="9"/>
      <c r="E6" s="13">
        <f t="shared" ref="E6:E69" si="5">IF($AE$33,IF($AE$34,$E5*(1+Inflação)*(1+Crescimento_Salário),$E5*(1+Inflação)),IF($AE$34,$E5*(1+Crescimento_Salário),$E5))</f>
        <v>1008.1648460519012</v>
      </c>
      <c r="F6" s="14">
        <f>F5+E6</f>
        <v>37012.238969835547</v>
      </c>
      <c r="G6" s="15">
        <f t="shared" ref="G6:G69" si="6">IF(F6&lt;=0,0,F6/S6)</f>
        <v>0.98793098204271568</v>
      </c>
      <c r="H6" s="13">
        <f t="shared" ref="H6:H69" si="7">Q5*Taxa</f>
        <v>361.98746481944096</v>
      </c>
      <c r="I6" s="13">
        <f t="shared" ref="I6:I69" si="8">I5+H6</f>
        <v>710.50624318507903</v>
      </c>
      <c r="J6" s="15">
        <f t="shared" si="0"/>
        <v>1.2069017957284323E-2</v>
      </c>
      <c r="K6" s="13">
        <f t="shared" ref="K6:K69" si="9">R6-F6</f>
        <v>452.15848564908083</v>
      </c>
      <c r="L6" s="13">
        <f>L5+K6</f>
        <v>671.25380147324904</v>
      </c>
      <c r="M6" s="15">
        <f t="shared" ref="M6:M69" si="10">K6/R6</f>
        <v>1.2069017957284316E-2</v>
      </c>
      <c r="N6" s="13">
        <f t="shared" si="1"/>
        <v>138.62389871909241</v>
      </c>
      <c r="O6" s="13">
        <f t="shared" ref="O6:O69" si="11">Q6-R6</f>
        <v>258.34775753599388</v>
      </c>
      <c r="P6" s="15">
        <f t="shared" si="2"/>
        <v>6.8485937615913733E-3</v>
      </c>
      <c r="Q6" s="7">
        <f t="shared" ref="Q6:Q37" si="12">Q5+E6+H6</f>
        <v>37722.745213020622</v>
      </c>
      <c r="R6" s="7">
        <f t="shared" ref="R6:R69" si="13">(R5+E6)*(1+((1+Taxa)/(1+Inflação)-1))</f>
        <v>37464.397455484628</v>
      </c>
      <c r="S6" s="13">
        <f>IF(Calc!$AD$32="Sim",R6,Q6)</f>
        <v>37464.397455484628</v>
      </c>
      <c r="T6" s="9">
        <f t="shared" ref="T6:T69" si="14">C6</f>
        <v>2</v>
      </c>
      <c r="U6" s="17">
        <f t="shared" ref="U6:U69" ca="1" si="15">DATE(YEAR(U5),MONTH(U5)+1,1)</f>
        <v>45566</v>
      </c>
      <c r="V6" s="124">
        <f t="shared" si="3"/>
        <v>67950.477493168975</v>
      </c>
      <c r="W6" s="68">
        <v>2</v>
      </c>
      <c r="X6" s="125">
        <f t="shared" ref="X6:X54" ca="1" si="16">DATE(YEAR(TODAY())+W6,MONTH(TODAY()),1)</f>
        <v>46235</v>
      </c>
      <c r="Y6" s="5">
        <f t="shared" ref="Y6:Y54" si="17">W6*12</f>
        <v>24</v>
      </c>
      <c r="Z6" s="5"/>
      <c r="AB6" s="128" t="s">
        <v>64</v>
      </c>
      <c r="AC6" s="130">
        <f>$AF$29-1</f>
        <v>19</v>
      </c>
      <c r="AE6" s="55" t="s">
        <v>86</v>
      </c>
    </row>
    <row r="7" spans="2:33" x14ac:dyDescent="0.2">
      <c r="B7" s="17">
        <f t="shared" ca="1" si="4"/>
        <v>45566</v>
      </c>
      <c r="C7" s="9">
        <f t="shared" ref="C7:C70" si="18">C6+1</f>
        <v>3</v>
      </c>
      <c r="D7" s="9"/>
      <c r="E7" s="13">
        <f t="shared" si="5"/>
        <v>1012.2722344290395</v>
      </c>
      <c r="F7" s="14">
        <f t="shared" ref="F7:F69" si="19">F6+E7</f>
        <v>38024.511204264585</v>
      </c>
      <c r="G7" s="15">
        <f t="shared" si="6"/>
        <v>0.98210068371054349</v>
      </c>
      <c r="H7" s="13">
        <f t="shared" si="7"/>
        <v>375.63100223543336</v>
      </c>
      <c r="I7" s="13">
        <f t="shared" si="8"/>
        <v>1086.1372454205125</v>
      </c>
      <c r="J7" s="15">
        <f t="shared" si="0"/>
        <v>1.7899316289456513E-2</v>
      </c>
      <c r="K7" s="13">
        <f t="shared" si="9"/>
        <v>693.01728843690944</v>
      </c>
      <c r="L7" s="13">
        <f t="shared" ref="L7:L70" si="20">L6+K7</f>
        <v>1364.2710899101585</v>
      </c>
      <c r="M7" s="15">
        <f t="shared" si="10"/>
        <v>1.7899316289456537E-2</v>
      </c>
      <c r="N7" s="13">
        <f t="shared" si="1"/>
        <v>143.72417858008373</v>
      </c>
      <c r="O7" s="13">
        <f t="shared" si="11"/>
        <v>393.11995698359533</v>
      </c>
      <c r="P7" s="15">
        <f t="shared" si="2"/>
        <v>1.0051481439622121E-2</v>
      </c>
      <c r="Q7" s="7">
        <f t="shared" si="12"/>
        <v>39110.64844968509</v>
      </c>
      <c r="R7" s="7">
        <f t="shared" si="13"/>
        <v>38717.528492701495</v>
      </c>
      <c r="S7" s="13">
        <f>IF(Calc!$AD$32="Sim",R7,Q7)</f>
        <v>38717.528492701495</v>
      </c>
      <c r="T7" s="9">
        <f t="shared" si="14"/>
        <v>3</v>
      </c>
      <c r="U7" s="17">
        <f t="shared" ca="1" si="15"/>
        <v>45597</v>
      </c>
      <c r="V7" s="124">
        <f t="shared" si="3"/>
        <v>87381.306418388762</v>
      </c>
      <c r="W7" s="68">
        <v>3</v>
      </c>
      <c r="X7" s="125">
        <f t="shared" ca="1" si="16"/>
        <v>46600</v>
      </c>
      <c r="Y7" s="5">
        <f t="shared" si="17"/>
        <v>36</v>
      </c>
      <c r="Z7" s="5"/>
      <c r="AB7" s="128" t="s">
        <v>5</v>
      </c>
      <c r="AC7" s="127">
        <f ca="1">DATE(YEAR(TODAY())+Período,MONTH(TODAY()),1)</f>
        <v>52810</v>
      </c>
      <c r="AE7" s="157" t="s">
        <v>87</v>
      </c>
      <c r="AF7" s="154"/>
      <c r="AG7" s="151" t="str">
        <f>IF(AE32,AE7,AE8)</f>
        <v>Patrimônio Real</v>
      </c>
    </row>
    <row r="8" spans="2:33" x14ac:dyDescent="0.2">
      <c r="B8" s="17">
        <f t="shared" ca="1" si="4"/>
        <v>45597</v>
      </c>
      <c r="C8" s="9">
        <f t="shared" si="18"/>
        <v>4</v>
      </c>
      <c r="D8" s="9"/>
      <c r="E8" s="13">
        <f t="shared" si="5"/>
        <v>1016.3963568148537</v>
      </c>
      <c r="F8" s="14">
        <f t="shared" si="19"/>
        <v>39040.907561079439</v>
      </c>
      <c r="G8" s="15">
        <f t="shared" si="6"/>
        <v>0.97644612729848579</v>
      </c>
      <c r="H8" s="13">
        <f t="shared" si="7"/>
        <v>389.4512976792052</v>
      </c>
      <c r="I8" s="13">
        <f t="shared" si="8"/>
        <v>1475.5885430997178</v>
      </c>
      <c r="J8" s="15">
        <f t="shared" si="0"/>
        <v>2.3553872701514211E-2</v>
      </c>
      <c r="K8" s="13">
        <f t="shared" si="9"/>
        <v>941.74634026087006</v>
      </c>
      <c r="L8" s="13">
        <f t="shared" si="20"/>
        <v>2306.0174301710285</v>
      </c>
      <c r="M8" s="15">
        <f t="shared" si="10"/>
        <v>2.3553872701514208E-2</v>
      </c>
      <c r="N8" s="13">
        <f t="shared" si="1"/>
        <v>148.8904007564006</v>
      </c>
      <c r="O8" s="13">
        <f t="shared" si="11"/>
        <v>533.84220283883769</v>
      </c>
      <c r="P8" s="15">
        <f t="shared" si="2"/>
        <v>1.3175922258089183E-2</v>
      </c>
      <c r="Q8" s="7">
        <f t="shared" si="12"/>
        <v>40516.496104179147</v>
      </c>
      <c r="R8" s="7">
        <f t="shared" si="13"/>
        <v>39982.653901340309</v>
      </c>
      <c r="S8" s="13">
        <f>IF(Calc!$AD$32="Sim",R8,Q8)</f>
        <v>39982.653901340309</v>
      </c>
      <c r="T8" s="9">
        <f t="shared" si="14"/>
        <v>4</v>
      </c>
      <c r="U8" s="17">
        <f t="shared" ca="1" si="15"/>
        <v>45627</v>
      </c>
      <c r="V8" s="124">
        <f t="shared" si="3"/>
        <v>109030.41694607867</v>
      </c>
      <c r="W8" s="68">
        <v>4</v>
      </c>
      <c r="X8" s="125">
        <f t="shared" ca="1" si="16"/>
        <v>46966</v>
      </c>
      <c r="Y8" s="5">
        <f t="shared" si="17"/>
        <v>48</v>
      </c>
      <c r="Z8" s="5"/>
      <c r="AA8" s="92"/>
      <c r="AB8" s="94" t="s">
        <v>51</v>
      </c>
      <c r="AC8" s="121">
        <f ca="1">OFFSET(Calc!I5,Calc!$AC$4,0)</f>
        <v>1322458.8874836881</v>
      </c>
      <c r="AE8" s="158" t="s">
        <v>88</v>
      </c>
      <c r="AF8" s="155"/>
      <c r="AG8" s="151"/>
    </row>
    <row r="9" spans="2:33" x14ac:dyDescent="0.2">
      <c r="B9" s="17">
        <f t="shared" ca="1" si="4"/>
        <v>45627</v>
      </c>
      <c r="C9" s="9">
        <f t="shared" si="18"/>
        <v>5</v>
      </c>
      <c r="D9" s="9"/>
      <c r="E9" s="13">
        <f t="shared" si="5"/>
        <v>1020.5372813857666</v>
      </c>
      <c r="F9" s="14">
        <f t="shared" si="19"/>
        <v>40061.444842465207</v>
      </c>
      <c r="G9" s="15">
        <f t="shared" si="6"/>
        <v>0.97095432062262654</v>
      </c>
      <c r="H9" s="13">
        <f t="shared" si="7"/>
        <v>403.4502778824185</v>
      </c>
      <c r="I9" s="13">
        <f t="shared" si="8"/>
        <v>1879.0388209821363</v>
      </c>
      <c r="J9" s="15">
        <f t="shared" si="0"/>
        <v>2.9045679377373457E-2</v>
      </c>
      <c r="K9" s="13">
        <f t="shared" si="9"/>
        <v>1198.4208294602431</v>
      </c>
      <c r="L9" s="13">
        <f t="shared" si="20"/>
        <v>3504.4382596312716</v>
      </c>
      <c r="M9" s="15">
        <f t="shared" si="10"/>
        <v>2.9045679377373432E-2</v>
      </c>
      <c r="N9" s="13">
        <f t="shared" si="1"/>
        <v>154.12328362530445</v>
      </c>
      <c r="O9" s="13">
        <f t="shared" si="11"/>
        <v>680.61799152188178</v>
      </c>
      <c r="P9" s="15">
        <f t="shared" si="2"/>
        <v>1.6228186517435544E-2</v>
      </c>
      <c r="Q9" s="7">
        <f t="shared" si="12"/>
        <v>41940.483663447332</v>
      </c>
      <c r="R9" s="7">
        <f t="shared" si="13"/>
        <v>41259.86567192545</v>
      </c>
      <c r="S9" s="13">
        <f>IF(Calc!$AD$32="Sim",R9,Q9)</f>
        <v>41259.86567192545</v>
      </c>
      <c r="T9" s="9">
        <f t="shared" si="14"/>
        <v>5</v>
      </c>
      <c r="U9" s="17">
        <f t="shared" ca="1" si="15"/>
        <v>45658</v>
      </c>
      <c r="V9" s="124">
        <f t="shared" si="3"/>
        <v>133105.66892095667</v>
      </c>
      <c r="W9" s="68">
        <v>5</v>
      </c>
      <c r="X9" s="125">
        <f t="shared" ca="1" si="16"/>
        <v>47331</v>
      </c>
      <c r="Y9" s="5">
        <f t="shared" si="17"/>
        <v>60</v>
      </c>
      <c r="Z9" s="5"/>
      <c r="AA9" s="98"/>
      <c r="AB9" s="100" t="s">
        <v>52</v>
      </c>
      <c r="AC9" s="122">
        <f ca="1">AC13-AC11</f>
        <v>554394.54640935617</v>
      </c>
      <c r="AE9" s="158" t="s">
        <v>91</v>
      </c>
      <c r="AF9" s="155"/>
      <c r="AG9" s="151" t="str">
        <f>IF(AE34,AE9,AE10)</f>
        <v>Com Crescimento Salárial</v>
      </c>
    </row>
    <row r="10" spans="2:33" x14ac:dyDescent="0.2">
      <c r="B10" s="17">
        <f t="shared" ca="1" si="4"/>
        <v>45658</v>
      </c>
      <c r="C10" s="9">
        <f t="shared" si="18"/>
        <v>6</v>
      </c>
      <c r="D10" s="9"/>
      <c r="E10" s="13">
        <f t="shared" si="5"/>
        <v>1024.6950765959602</v>
      </c>
      <c r="F10" s="14">
        <f t="shared" si="19"/>
        <v>41086.13991906117</v>
      </c>
      <c r="G10" s="15">
        <f t="shared" si="6"/>
        <v>0.9656135819265308</v>
      </c>
      <c r="H10" s="13">
        <f t="shared" si="7"/>
        <v>417.62988944139039</v>
      </c>
      <c r="I10" s="13">
        <f t="shared" si="8"/>
        <v>2296.6687104235266</v>
      </c>
      <c r="J10" s="15">
        <f t="shared" si="0"/>
        <v>3.4386418073469205E-2</v>
      </c>
      <c r="K10" s="13">
        <f t="shared" si="9"/>
        <v>1463.1165206512014</v>
      </c>
      <c r="L10" s="13">
        <f t="shared" si="20"/>
        <v>4967.5547802824731</v>
      </c>
      <c r="M10" s="15">
        <f t="shared" si="10"/>
        <v>3.4386418073469205E-2</v>
      </c>
      <c r="N10" s="13">
        <f t="shared" si="1"/>
        <v>159.4235529689833</v>
      </c>
      <c r="O10" s="13">
        <f t="shared" si="11"/>
        <v>833.55218977231561</v>
      </c>
      <c r="P10" s="15">
        <f t="shared" si="2"/>
        <v>1.9213882551758078E-2</v>
      </c>
      <c r="Q10" s="7">
        <f t="shared" si="12"/>
        <v>43382.808629484687</v>
      </c>
      <c r="R10" s="7">
        <f t="shared" si="13"/>
        <v>42549.256439712372</v>
      </c>
      <c r="S10" s="13">
        <f>IF(Calc!$AD$32="Sim",R10,Q10)</f>
        <v>42549.256439712372</v>
      </c>
      <c r="T10" s="9">
        <f t="shared" si="14"/>
        <v>6</v>
      </c>
      <c r="U10" s="17">
        <f t="shared" ca="1" si="15"/>
        <v>45689</v>
      </c>
      <c r="V10" s="124">
        <f t="shared" si="3"/>
        <v>159832.85362431579</v>
      </c>
      <c r="W10" s="68">
        <v>6</v>
      </c>
      <c r="X10" s="125">
        <f t="shared" ca="1" si="16"/>
        <v>47696</v>
      </c>
      <c r="Y10" s="5">
        <f t="shared" si="17"/>
        <v>72</v>
      </c>
      <c r="Z10" s="5"/>
      <c r="AA10" s="98"/>
      <c r="AB10" s="100" t="s">
        <v>139</v>
      </c>
      <c r="AC10" s="122">
        <f ca="1">IF(AE32,AC9,AC8)</f>
        <v>554394.54640935617</v>
      </c>
      <c r="AE10" s="158" t="s">
        <v>92</v>
      </c>
      <c r="AF10" s="155"/>
      <c r="AG10" s="151"/>
    </row>
    <row r="11" spans="2:33" x14ac:dyDescent="0.2">
      <c r="B11" s="17">
        <f t="shared" ca="1" si="4"/>
        <v>45689</v>
      </c>
      <c r="C11" s="9">
        <f t="shared" si="18"/>
        <v>7</v>
      </c>
      <c r="D11" s="9"/>
      <c r="E11" s="13">
        <f t="shared" si="5"/>
        <v>1028.8698111785072</v>
      </c>
      <c r="F11" s="14">
        <f t="shared" si="19"/>
        <v>42115.009730239675</v>
      </c>
      <c r="G11" s="15">
        <f t="shared" si="6"/>
        <v>0.96041337835117091</v>
      </c>
      <c r="H11" s="13">
        <f t="shared" si="7"/>
        <v>431.99209901766466</v>
      </c>
      <c r="I11" s="13">
        <f t="shared" si="8"/>
        <v>2728.6608094411913</v>
      </c>
      <c r="J11" s="15">
        <f t="shared" si="0"/>
        <v>3.958662164882909E-2</v>
      </c>
      <c r="K11" s="13">
        <f t="shared" si="9"/>
        <v>1735.9097587644719</v>
      </c>
      <c r="L11" s="13">
        <f t="shared" si="20"/>
        <v>6703.464539046945</v>
      </c>
      <c r="M11" s="15">
        <f t="shared" si="10"/>
        <v>3.9586621648829062E-2</v>
      </c>
      <c r="N11" s="13">
        <f t="shared" si="1"/>
        <v>164.7919420493123</v>
      </c>
      <c r="O11" s="13">
        <f t="shared" si="11"/>
        <v>992.75105067670665</v>
      </c>
      <c r="P11" s="15">
        <f t="shared" si="2"/>
        <v>2.213804175102594E-2</v>
      </c>
      <c r="Q11" s="7">
        <f t="shared" si="12"/>
        <v>44843.670539680854</v>
      </c>
      <c r="R11" s="7">
        <f t="shared" si="13"/>
        <v>43850.919489004147</v>
      </c>
      <c r="S11" s="13">
        <f>IF(Calc!$AD$32="Sim",R11,Q11)</f>
        <v>43850.919489004147</v>
      </c>
      <c r="T11" s="9">
        <f t="shared" si="14"/>
        <v>7</v>
      </c>
      <c r="U11" s="17">
        <f t="shared" ca="1" si="15"/>
        <v>45717</v>
      </c>
      <c r="V11" s="124">
        <f t="shared" si="3"/>
        <v>189457.17653074997</v>
      </c>
      <c r="W11" s="68">
        <v>7</v>
      </c>
      <c r="X11" s="125">
        <f t="shared" ca="1" si="16"/>
        <v>48061</v>
      </c>
      <c r="Y11" s="5">
        <f t="shared" si="17"/>
        <v>84</v>
      </c>
      <c r="Z11" s="5"/>
      <c r="AA11" s="98"/>
      <c r="AB11" s="100" t="s">
        <v>50</v>
      </c>
      <c r="AC11" s="122">
        <f ca="1">OFFSET(Calc!F5,Calc!$AC$4,0)</f>
        <v>442457.78302295093</v>
      </c>
      <c r="AE11" s="158" t="s">
        <v>89</v>
      </c>
      <c r="AF11" s="155"/>
      <c r="AG11" s="151" t="str">
        <f>IF(AF36,AE11,AE12)</f>
        <v>Com IR</v>
      </c>
    </row>
    <row r="12" spans="2:33" x14ac:dyDescent="0.2">
      <c r="B12" s="17">
        <f t="shared" ca="1" si="4"/>
        <v>45717</v>
      </c>
      <c r="C12" s="9">
        <f t="shared" si="18"/>
        <v>8</v>
      </c>
      <c r="D12" s="9"/>
      <c r="E12" s="13">
        <f t="shared" si="5"/>
        <v>1033.0615541465074</v>
      </c>
      <c r="F12" s="14">
        <f t="shared" si="19"/>
        <v>43148.071284386184</v>
      </c>
      <c r="G12" s="15">
        <f t="shared" si="6"/>
        <v>0.95534418772532537</v>
      </c>
      <c r="H12" s="13">
        <f t="shared" si="7"/>
        <v>446.53889354059208</v>
      </c>
      <c r="I12" s="13">
        <f t="shared" si="8"/>
        <v>3175.1997029817835</v>
      </c>
      <c r="J12" s="15">
        <f t="shared" si="0"/>
        <v>4.4655812274674633E-2</v>
      </c>
      <c r="K12" s="13">
        <f t="shared" si="9"/>
        <v>2016.8774731100493</v>
      </c>
      <c r="L12" s="13">
        <f t="shared" si="20"/>
        <v>8720.3420121569943</v>
      </c>
      <c r="M12" s="15">
        <f t="shared" si="10"/>
        <v>4.4655812274674592E-2</v>
      </c>
      <c r="N12" s="13">
        <f t="shared" si="1"/>
        <v>170.22919168336344</v>
      </c>
      <c r="O12" s="13">
        <f t="shared" si="11"/>
        <v>1158.3222298717228</v>
      </c>
      <c r="P12" s="15">
        <f t="shared" si="2"/>
        <v>2.5005190807609191E-2</v>
      </c>
      <c r="Q12" s="7">
        <f t="shared" si="12"/>
        <v>46323.270987367956</v>
      </c>
      <c r="R12" s="7">
        <f t="shared" si="13"/>
        <v>45164.948757496233</v>
      </c>
      <c r="S12" s="13">
        <f>IF(Calc!$AD$32="Sim",R12,Q12)</f>
        <v>45164.948757496233</v>
      </c>
      <c r="T12" s="9">
        <f t="shared" si="14"/>
        <v>8</v>
      </c>
      <c r="U12" s="17">
        <f t="shared" ca="1" si="15"/>
        <v>45748</v>
      </c>
      <c r="V12" s="124">
        <f t="shared" si="3"/>
        <v>222244.85978410122</v>
      </c>
      <c r="W12" s="68">
        <v>8</v>
      </c>
      <c r="X12" s="125">
        <f t="shared" ca="1" si="16"/>
        <v>48427</v>
      </c>
      <c r="Y12" s="5">
        <f t="shared" si="17"/>
        <v>96</v>
      </c>
      <c r="Z12" s="5"/>
      <c r="AA12" s="98"/>
      <c r="AB12" s="100" t="s">
        <v>49</v>
      </c>
      <c r="AC12" s="122">
        <f ca="1">OFFSET(Calc!Q5,Calc!$AC$4,0)</f>
        <v>1764916.6705066387</v>
      </c>
      <c r="AE12" s="159" t="s">
        <v>90</v>
      </c>
      <c r="AF12" s="156"/>
      <c r="AG12" s="151"/>
    </row>
    <row r="13" spans="2:33" x14ac:dyDescent="0.2">
      <c r="B13" s="17">
        <f t="shared" ca="1" si="4"/>
        <v>45748</v>
      </c>
      <c r="C13" s="9">
        <f t="shared" si="18"/>
        <v>9</v>
      </c>
      <c r="D13" s="9"/>
      <c r="E13" s="13">
        <f t="shared" si="5"/>
        <v>1037.2703747942285</v>
      </c>
      <c r="F13" s="14">
        <f t="shared" si="19"/>
        <v>44185.341659180413</v>
      </c>
      <c r="G13" s="15">
        <f t="shared" si="6"/>
        <v>0.95039737984076378</v>
      </c>
      <c r="H13" s="13">
        <f t="shared" si="7"/>
        <v>461.27228041193951</v>
      </c>
      <c r="I13" s="13">
        <f t="shared" si="8"/>
        <v>3636.4719833937229</v>
      </c>
      <c r="J13" s="15">
        <f t="shared" si="0"/>
        <v>4.9602620159236221E-2</v>
      </c>
      <c r="K13" s="13">
        <f t="shared" si="9"/>
        <v>2306.0971814691002</v>
      </c>
      <c r="L13" s="13">
        <f t="shared" si="20"/>
        <v>11026.439193626094</v>
      </c>
      <c r="M13" s="15">
        <f t="shared" si="10"/>
        <v>4.9602620159236235E-2</v>
      </c>
      <c r="N13" s="13">
        <f t="shared" si="1"/>
        <v>175.73605031967065</v>
      </c>
      <c r="O13" s="13">
        <f t="shared" si="11"/>
        <v>1330.3748019246123</v>
      </c>
      <c r="P13" s="15">
        <f t="shared" si="2"/>
        <v>2.7819413372064689E-2</v>
      </c>
      <c r="Q13" s="7">
        <f t="shared" si="12"/>
        <v>47821.813642574125</v>
      </c>
      <c r="R13" s="7">
        <f t="shared" si="13"/>
        <v>46491.438840649513</v>
      </c>
      <c r="S13" s="13">
        <f>IF(Calc!$AD$32="Sim",R13,Q13)</f>
        <v>46491.438840649513</v>
      </c>
      <c r="T13" s="9">
        <f t="shared" si="14"/>
        <v>9</v>
      </c>
      <c r="U13" s="17">
        <f t="shared" ca="1" si="15"/>
        <v>45778</v>
      </c>
      <c r="V13" s="124">
        <f t="shared" si="3"/>
        <v>258484.87392297029</v>
      </c>
      <c r="W13" s="68">
        <v>9</v>
      </c>
      <c r="X13" s="125">
        <f t="shared" ca="1" si="16"/>
        <v>48792</v>
      </c>
      <c r="Y13" s="5">
        <f t="shared" si="17"/>
        <v>108</v>
      </c>
      <c r="Z13" s="5"/>
      <c r="AA13" s="98"/>
      <c r="AB13" s="100" t="s">
        <v>10</v>
      </c>
      <c r="AC13" s="122">
        <f ca="1">OFFSET(Calc!R5,Calc!$AC$4,0)</f>
        <v>996852.32943230704</v>
      </c>
      <c r="AE13" s="157" t="s">
        <v>93</v>
      </c>
      <c r="AF13" s="154"/>
      <c r="AG13" s="2" t="str">
        <f>CONCATENATE(AG7, " | ",AG9, " | ",AG11)</f>
        <v>Patrimônio Real | Com Crescimento Salárial | Com IR</v>
      </c>
    </row>
    <row r="14" spans="2:33" x14ac:dyDescent="0.2">
      <c r="B14" s="17">
        <f t="shared" ca="1" si="4"/>
        <v>45778</v>
      </c>
      <c r="C14" s="9">
        <f t="shared" si="18"/>
        <v>10</v>
      </c>
      <c r="D14" s="9"/>
      <c r="E14" s="13">
        <f t="shared" si="5"/>
        <v>1041.4963426982515</v>
      </c>
      <c r="F14" s="14">
        <f t="shared" si="19"/>
        <v>45226.838001878663</v>
      </c>
      <c r="G14" s="15">
        <f t="shared" si="6"/>
        <v>0.94556511408098853</v>
      </c>
      <c r="H14" s="13">
        <f t="shared" si="7"/>
        <v>476.19428771254672</v>
      </c>
      <c r="I14" s="13">
        <f t="shared" si="8"/>
        <v>4112.66627110627</v>
      </c>
      <c r="J14" s="15">
        <f t="shared" si="0"/>
        <v>5.4434885919011466E-2</v>
      </c>
      <c r="K14" s="13">
        <f t="shared" si="9"/>
        <v>2603.6469942132535</v>
      </c>
      <c r="L14" s="13">
        <f t="shared" si="20"/>
        <v>13630.086187839348</v>
      </c>
      <c r="M14" s="15">
        <f t="shared" si="10"/>
        <v>5.4434885919011473E-2</v>
      </c>
      <c r="N14" s="13">
        <f t="shared" si="1"/>
        <v>181.31327411525919</v>
      </c>
      <c r="O14" s="13">
        <f t="shared" si="11"/>
        <v>1509.0192768930065</v>
      </c>
      <c r="P14" s="15">
        <f t="shared" si="2"/>
        <v>3.0584402886253692E-2</v>
      </c>
      <c r="Q14" s="7">
        <f t="shared" si="12"/>
        <v>49339.504272984923</v>
      </c>
      <c r="R14" s="7">
        <f t="shared" si="13"/>
        <v>47830.484996091916</v>
      </c>
      <c r="S14" s="13">
        <f>IF(Calc!$AD$32="Sim",R14,Q14)</f>
        <v>47830.484996091916</v>
      </c>
      <c r="T14" s="9">
        <f t="shared" si="14"/>
        <v>10</v>
      </c>
      <c r="U14" s="17">
        <f t="shared" ca="1" si="15"/>
        <v>45809</v>
      </c>
      <c r="V14" s="124">
        <f t="shared" si="3"/>
        <v>298490.80913825921</v>
      </c>
      <c r="W14" s="68">
        <v>10</v>
      </c>
      <c r="X14" s="125">
        <f t="shared" ca="1" si="16"/>
        <v>49157</v>
      </c>
      <c r="Y14" s="5">
        <f t="shared" si="17"/>
        <v>120</v>
      </c>
      <c r="Z14" s="5"/>
      <c r="AA14" s="66"/>
      <c r="AB14" s="86" t="s">
        <v>138</v>
      </c>
      <c r="AC14" s="87">
        <f ca="1">IF(Calc!$AD$32="Sim",AC13,AC12)</f>
        <v>996852.32943230704</v>
      </c>
    </row>
    <row r="15" spans="2:33" x14ac:dyDescent="0.2">
      <c r="B15" s="17">
        <f t="shared" ca="1" si="4"/>
        <v>45809</v>
      </c>
      <c r="C15" s="9">
        <f t="shared" si="18"/>
        <v>11</v>
      </c>
      <c r="E15" s="13">
        <f t="shared" si="5"/>
        <v>1045.7395277186213</v>
      </c>
      <c r="F15" s="14">
        <f t="shared" si="19"/>
        <v>46272.577529597285</v>
      </c>
      <c r="G15" s="15">
        <f t="shared" si="6"/>
        <v>0.94084025083447531</v>
      </c>
      <c r="H15" s="13">
        <f t="shared" si="7"/>
        <v>491.3069644110538</v>
      </c>
      <c r="I15" s="13">
        <f t="shared" si="8"/>
        <v>4603.9732355173237</v>
      </c>
      <c r="J15" s="15">
        <f t="shared" si="0"/>
        <v>5.9159749165524689E-2</v>
      </c>
      <c r="K15" s="13">
        <f t="shared" si="9"/>
        <v>2909.60561845146</v>
      </c>
      <c r="L15" s="13">
        <f t="shared" si="20"/>
        <v>16539.691806290808</v>
      </c>
      <c r="M15" s="15">
        <f t="shared" si="10"/>
        <v>5.915974916552471E-2</v>
      </c>
      <c r="N15" s="13">
        <f t="shared" si="1"/>
        <v>186.96162701344579</v>
      </c>
      <c r="O15" s="13">
        <f t="shared" si="11"/>
        <v>1694.3676170658509</v>
      </c>
      <c r="P15" s="15">
        <f t="shared" si="2"/>
        <v>3.3303508032381336E-2</v>
      </c>
      <c r="Q15" s="7">
        <f t="shared" si="12"/>
        <v>50876.550765114596</v>
      </c>
      <c r="R15" s="7">
        <f t="shared" si="13"/>
        <v>49182.183148048745</v>
      </c>
      <c r="S15" s="13">
        <f>IF(Calc!$AD$32="Sim",R15,Q15)</f>
        <v>49182.183148048745</v>
      </c>
      <c r="T15" s="9">
        <f t="shared" si="14"/>
        <v>11</v>
      </c>
      <c r="U15" s="17">
        <f t="shared" ca="1" si="15"/>
        <v>45839</v>
      </c>
      <c r="V15" s="124">
        <f t="shared" si="3"/>
        <v>342602.89715637639</v>
      </c>
      <c r="W15" s="68">
        <v>11</v>
      </c>
      <c r="X15" s="125">
        <f t="shared" ca="1" si="16"/>
        <v>49522</v>
      </c>
      <c r="Y15" s="5">
        <f t="shared" si="17"/>
        <v>132</v>
      </c>
      <c r="Z15" s="5"/>
    </row>
    <row r="16" spans="2:33" x14ac:dyDescent="0.2">
      <c r="B16" s="17">
        <f t="shared" ca="1" si="4"/>
        <v>45839</v>
      </c>
      <c r="C16" s="9">
        <f t="shared" si="18"/>
        <v>12</v>
      </c>
      <c r="D16" s="9">
        <v>1</v>
      </c>
      <c r="E16" s="13">
        <f t="shared" si="5"/>
        <v>1050.0000000000009</v>
      </c>
      <c r="F16" s="14">
        <f t="shared" si="19"/>
        <v>47322.577529597285</v>
      </c>
      <c r="G16" s="15">
        <f t="shared" si="6"/>
        <v>0.93621627457446999</v>
      </c>
      <c r="H16" s="13">
        <f t="shared" si="7"/>
        <v>506.61238057471729</v>
      </c>
      <c r="I16" s="13">
        <f t="shared" si="8"/>
        <v>5110.5856160920412</v>
      </c>
      <c r="J16" s="15">
        <f t="shared" si="0"/>
        <v>6.3783725425530013E-2</v>
      </c>
      <c r="K16" s="13">
        <f t="shared" si="9"/>
        <v>3224.0523622045803</v>
      </c>
      <c r="L16" s="13">
        <f t="shared" si="20"/>
        <v>19763.744168495388</v>
      </c>
      <c r="M16" s="15">
        <f t="shared" si="10"/>
        <v>6.3783725425530055E-2</v>
      </c>
      <c r="N16" s="13">
        <f t="shared" si="1"/>
        <v>192.68188082241818</v>
      </c>
      <c r="O16" s="13">
        <f t="shared" si="11"/>
        <v>1886.53325388745</v>
      </c>
      <c r="P16" s="15">
        <f t="shared" si="2"/>
        <v>3.5979771974572305E-2</v>
      </c>
      <c r="Q16" s="7">
        <f t="shared" si="12"/>
        <v>52433.163145689316</v>
      </c>
      <c r="R16" s="7">
        <f t="shared" si="13"/>
        <v>50546.629891801866</v>
      </c>
      <c r="S16" s="13">
        <f>IF(Calc!$AD$32="Sim",R16,Q16)</f>
        <v>50546.629891801866</v>
      </c>
      <c r="T16" s="9">
        <f t="shared" si="14"/>
        <v>12</v>
      </c>
      <c r="U16" s="17">
        <f t="shared" ca="1" si="15"/>
        <v>45870</v>
      </c>
      <c r="V16" s="124">
        <f t="shared" si="3"/>
        <v>391190.19571655762</v>
      </c>
      <c r="W16" s="68">
        <v>12</v>
      </c>
      <c r="X16" s="125">
        <f t="shared" ca="1" si="16"/>
        <v>49888</v>
      </c>
      <c r="Y16" s="5">
        <f t="shared" si="17"/>
        <v>144</v>
      </c>
      <c r="Z16" s="5"/>
      <c r="AA16" s="55" t="s">
        <v>62</v>
      </c>
    </row>
    <row r="17" spans="2:33" x14ac:dyDescent="0.2">
      <c r="B17" s="17">
        <f t="shared" ca="1" si="4"/>
        <v>45870</v>
      </c>
      <c r="C17" s="9">
        <f t="shared" si="18"/>
        <v>13</v>
      </c>
      <c r="D17" s="9"/>
      <c r="E17" s="13">
        <f t="shared" si="5"/>
        <v>1054.2778299728318</v>
      </c>
      <c r="F17" s="14">
        <f t="shared" si="19"/>
        <v>48376.855359570116</v>
      </c>
      <c r="G17" s="15">
        <f t="shared" si="6"/>
        <v>0.93168722685131578</v>
      </c>
      <c r="H17" s="13">
        <f t="shared" si="7"/>
        <v>522.11262758233818</v>
      </c>
      <c r="I17" s="13">
        <f t="shared" si="8"/>
        <v>5632.6982436743792</v>
      </c>
      <c r="J17" s="15">
        <f t="shared" si="0"/>
        <v>6.8312773148684225E-2</v>
      </c>
      <c r="K17" s="13">
        <f t="shared" si="9"/>
        <v>3547.0671386078975</v>
      </c>
      <c r="L17" s="13">
        <f t="shared" si="20"/>
        <v>23310.811307103286</v>
      </c>
      <c r="M17" s="15">
        <f t="shared" si="10"/>
        <v>6.8312773148684253E-2</v>
      </c>
      <c r="N17" s="13">
        <f t="shared" si="1"/>
        <v>198.47481529460086</v>
      </c>
      <c r="O17" s="13">
        <f t="shared" si="11"/>
        <v>2085.6311050664735</v>
      </c>
      <c r="P17" s="15">
        <f t="shared" si="2"/>
        <v>3.8615966360091979E-2</v>
      </c>
      <c r="Q17" s="7">
        <f t="shared" si="12"/>
        <v>54009.553603244487</v>
      </c>
      <c r="R17" s="7">
        <f t="shared" si="13"/>
        <v>51923.922498178013</v>
      </c>
      <c r="S17" s="13">
        <f>IF(Calc!$AD$32="Sim",R17,Q17)</f>
        <v>51923.922498178013</v>
      </c>
      <c r="T17" s="9">
        <f t="shared" si="14"/>
        <v>13</v>
      </c>
      <c r="U17" s="17">
        <f t="shared" ca="1" si="15"/>
        <v>45901</v>
      </c>
      <c r="V17" s="124">
        <f t="shared" si="3"/>
        <v>444652.94855420542</v>
      </c>
      <c r="W17" s="68">
        <v>13</v>
      </c>
      <c r="X17" s="125">
        <f t="shared" ca="1" si="16"/>
        <v>50253</v>
      </c>
      <c r="Y17" s="5">
        <f t="shared" si="17"/>
        <v>156</v>
      </c>
      <c r="Z17" s="5"/>
      <c r="AA17" s="73" t="s">
        <v>2</v>
      </c>
      <c r="AB17" s="56" t="s">
        <v>61</v>
      </c>
      <c r="AC17" s="56" t="s">
        <v>4</v>
      </c>
      <c r="AD17" s="56" t="s">
        <v>46</v>
      </c>
      <c r="AE17" s="56" t="s">
        <v>44</v>
      </c>
      <c r="AF17" s="57" t="s">
        <v>45</v>
      </c>
    </row>
    <row r="18" spans="2:33" x14ac:dyDescent="0.2">
      <c r="B18" s="17">
        <f t="shared" ca="1" si="4"/>
        <v>45901</v>
      </c>
      <c r="C18" s="9">
        <f t="shared" si="18"/>
        <v>14</v>
      </c>
      <c r="D18" s="9"/>
      <c r="E18" s="13">
        <f t="shared" si="5"/>
        <v>1058.5730883544973</v>
      </c>
      <c r="F18" s="14">
        <f t="shared" si="19"/>
        <v>49435.428447924613</v>
      </c>
      <c r="G18" s="15">
        <f t="shared" si="6"/>
        <v>0.92724764773833179</v>
      </c>
      <c r="H18" s="13">
        <f t="shared" si="7"/>
        <v>537.80981833932037</v>
      </c>
      <c r="I18" s="13">
        <f t="shared" si="8"/>
        <v>6170.5080620136996</v>
      </c>
      <c r="J18" s="15">
        <f t="shared" si="0"/>
        <v>7.2752352261668207E-2</v>
      </c>
      <c r="K18" s="13">
        <f t="shared" si="9"/>
        <v>3878.7304701417233</v>
      </c>
      <c r="L18" s="13">
        <f t="shared" si="20"/>
        <v>27189.541777245009</v>
      </c>
      <c r="M18" s="15">
        <f t="shared" si="10"/>
        <v>7.2752352261668235E-2</v>
      </c>
      <c r="N18" s="13">
        <f t="shared" si="1"/>
        <v>204.34121820681602</v>
      </c>
      <c r="O18" s="13">
        <f t="shared" si="11"/>
        <v>2291.7775918719708</v>
      </c>
      <c r="P18" s="15">
        <f t="shared" si="2"/>
        <v>4.1214620878876257E-2</v>
      </c>
      <c r="Q18" s="7">
        <f t="shared" si="12"/>
        <v>55605.936509938307</v>
      </c>
      <c r="R18" s="7">
        <f t="shared" si="13"/>
        <v>53314.158918066336</v>
      </c>
      <c r="S18" s="13">
        <f>IF(Calc!$AD$32="Sim",R18,Q18)</f>
        <v>53314.158918066336</v>
      </c>
      <c r="T18" s="9">
        <f t="shared" si="14"/>
        <v>14</v>
      </c>
      <c r="U18" s="17">
        <f t="shared" ca="1" si="15"/>
        <v>45931</v>
      </c>
      <c r="V18" s="124">
        <f t="shared" si="3"/>
        <v>503425.13481960917</v>
      </c>
      <c r="W18" s="68">
        <v>14</v>
      </c>
      <c r="X18" s="125">
        <f t="shared" ca="1" si="16"/>
        <v>50618</v>
      </c>
      <c r="Y18" s="5">
        <f t="shared" si="17"/>
        <v>168</v>
      </c>
      <c r="Z18" s="5"/>
      <c r="AA18" s="75">
        <f>Período</f>
        <v>20</v>
      </c>
      <c r="AB18" s="71">
        <f>AA18*12</f>
        <v>240</v>
      </c>
      <c r="AC18" s="72">
        <f ca="1">INDEX($U$5:$U$997,AB18,0)</f>
        <v>52810</v>
      </c>
      <c r="AD18" s="78">
        <f ca="1">INDEX($S$5:$S$997,MATCH(AC18,$U$5:$U$997,0),0)</f>
        <v>996852.32943230704</v>
      </c>
      <c r="AE18" s="82">
        <f>INDEX($G$5:$G$997,AB18,0)</f>
        <v>0.44385489200283479</v>
      </c>
      <c r="AF18" s="83">
        <f>INDEX($J$5:$J$997,AB18,0)</f>
        <v>0.55614510799716521</v>
      </c>
    </row>
    <row r="19" spans="2:33" x14ac:dyDescent="0.2">
      <c r="B19" s="17">
        <f t="shared" ca="1" si="4"/>
        <v>45931</v>
      </c>
      <c r="C19" s="9">
        <f t="shared" si="18"/>
        <v>15</v>
      </c>
      <c r="D19" s="9"/>
      <c r="E19" s="13">
        <f t="shared" si="5"/>
        <v>1062.8858461504924</v>
      </c>
      <c r="F19" s="14">
        <f t="shared" si="19"/>
        <v>50498.314294075106</v>
      </c>
      <c r="G19" s="15">
        <f t="shared" si="6"/>
        <v>0.92289252451262638</v>
      </c>
      <c r="H19" s="13">
        <f t="shared" si="7"/>
        <v>553.70608749488372</v>
      </c>
      <c r="I19" s="13">
        <f t="shared" si="8"/>
        <v>6724.2141495085834</v>
      </c>
      <c r="J19" s="15">
        <f t="shared" si="0"/>
        <v>7.7107475487373622E-2</v>
      </c>
      <c r="K19" s="13">
        <f t="shared" si="9"/>
        <v>4219.1234928903286</v>
      </c>
      <c r="L19" s="13">
        <f t="shared" si="20"/>
        <v>31408.665270135338</v>
      </c>
      <c r="M19" s="15">
        <f t="shared" si="10"/>
        <v>7.7107475487373622E-2</v>
      </c>
      <c r="N19" s="13">
        <f t="shared" si="1"/>
        <v>210.28188544124643</v>
      </c>
      <c r="O19" s="13">
        <f t="shared" si="11"/>
        <v>2505.0906566182457</v>
      </c>
      <c r="P19" s="15">
        <f t="shared" si="2"/>
        <v>4.3778049043883861E-2</v>
      </c>
      <c r="Q19" s="7">
        <f t="shared" si="12"/>
        <v>57222.52844358368</v>
      </c>
      <c r="R19" s="7">
        <f t="shared" si="13"/>
        <v>54717.437786965434</v>
      </c>
      <c r="S19" s="13">
        <f>IF(Calc!$AD$32="Sim",R19,Q19)</f>
        <v>54717.437786965434</v>
      </c>
      <c r="T19" s="9">
        <f t="shared" si="14"/>
        <v>15</v>
      </c>
      <c r="U19" s="17">
        <f t="shared" ca="1" si="15"/>
        <v>45962</v>
      </c>
      <c r="V19" s="124">
        <f t="shared" si="3"/>
        <v>567977.2229586537</v>
      </c>
      <c r="W19" s="68">
        <v>15</v>
      </c>
      <c r="X19" s="125">
        <f t="shared" ca="1" si="16"/>
        <v>50983</v>
      </c>
      <c r="Y19" s="5">
        <f t="shared" si="17"/>
        <v>180</v>
      </c>
      <c r="Z19" s="5"/>
    </row>
    <row r="20" spans="2:33" x14ac:dyDescent="0.2">
      <c r="B20" s="17">
        <f t="shared" ca="1" si="4"/>
        <v>45962</v>
      </c>
      <c r="C20" s="9">
        <f t="shared" si="18"/>
        <v>16</v>
      </c>
      <c r="D20" s="9"/>
      <c r="E20" s="13">
        <f t="shared" si="5"/>
        <v>1067.2161746555973</v>
      </c>
      <c r="F20" s="14">
        <f t="shared" si="19"/>
        <v>51565.5304687307</v>
      </c>
      <c r="G20" s="15">
        <f t="shared" si="6"/>
        <v>0.9186172465489455</v>
      </c>
      <c r="H20" s="13">
        <f t="shared" si="7"/>
        <v>569.80359166145024</v>
      </c>
      <c r="I20" s="13">
        <f t="shared" si="8"/>
        <v>7294.0177411700333</v>
      </c>
      <c r="J20" s="15">
        <f t="shared" si="0"/>
        <v>8.1382753451054501E-2</v>
      </c>
      <c r="K20" s="13">
        <f t="shared" si="9"/>
        <v>4568.3279608292796</v>
      </c>
      <c r="L20" s="13">
        <f t="shared" si="20"/>
        <v>35976.993230964617</v>
      </c>
      <c r="M20" s="15">
        <f t="shared" si="10"/>
        <v>8.1382753451054543E-2</v>
      </c>
      <c r="N20" s="13">
        <f t="shared" si="1"/>
        <v>216.29762106720923</v>
      </c>
      <c r="O20" s="13">
        <f t="shared" si="11"/>
        <v>2725.6897803407483</v>
      </c>
      <c r="P20" s="15">
        <f t="shared" si="2"/>
        <v>4.6308370744209376E-2</v>
      </c>
      <c r="Q20" s="7">
        <f t="shared" si="12"/>
        <v>58859.548209900728</v>
      </c>
      <c r="R20" s="7">
        <f t="shared" si="13"/>
        <v>56133.858429559979</v>
      </c>
      <c r="S20" s="13">
        <f>IF(Calc!$AD$32="Sim",R20,Q20)</f>
        <v>56133.858429559979</v>
      </c>
      <c r="T20" s="9">
        <f t="shared" si="14"/>
        <v>16</v>
      </c>
      <c r="U20" s="17">
        <f t="shared" ca="1" si="15"/>
        <v>45992</v>
      </c>
      <c r="V20" s="124">
        <f t="shared" si="3"/>
        <v>638819.14526539179</v>
      </c>
      <c r="W20" s="68">
        <v>16</v>
      </c>
      <c r="X20" s="125">
        <f t="shared" ca="1" si="16"/>
        <v>51349</v>
      </c>
      <c r="Y20" s="5">
        <f t="shared" si="17"/>
        <v>192</v>
      </c>
      <c r="Z20" s="5"/>
      <c r="AA20" s="55" t="s">
        <v>54</v>
      </c>
      <c r="AE20" s="19" t="s">
        <v>2</v>
      </c>
      <c r="AF20" s="255" t="s">
        <v>21</v>
      </c>
    </row>
    <row r="21" spans="2:33" x14ac:dyDescent="0.2">
      <c r="B21" s="17">
        <f t="shared" ca="1" si="4"/>
        <v>45992</v>
      </c>
      <c r="C21" s="9">
        <f t="shared" si="18"/>
        <v>17</v>
      </c>
      <c r="D21" s="9"/>
      <c r="E21" s="13">
        <f t="shared" si="5"/>
        <v>1071.564145455056</v>
      </c>
      <c r="F21" s="14">
        <f t="shared" si="19"/>
        <v>52637.094614185757</v>
      </c>
      <c r="G21" s="15">
        <f t="shared" si="6"/>
        <v>0.91441756556634701</v>
      </c>
      <c r="H21" s="13">
        <f t="shared" si="7"/>
        <v>586.10450963622793</v>
      </c>
      <c r="I21" s="13">
        <f t="shared" si="8"/>
        <v>7880.122250806261</v>
      </c>
      <c r="J21" s="15">
        <f t="shared" si="0"/>
        <v>8.5582434433652987E-2</v>
      </c>
      <c r="K21" s="13">
        <f t="shared" si="9"/>
        <v>4926.4262501415069</v>
      </c>
      <c r="L21" s="13">
        <f t="shared" si="20"/>
        <v>40903.419481106124</v>
      </c>
      <c r="M21" s="15">
        <f t="shared" si="10"/>
        <v>8.5582434433653043E-2</v>
      </c>
      <c r="N21" s="13">
        <f t="shared" si="1"/>
        <v>222.38923742374823</v>
      </c>
      <c r="O21" s="13">
        <f t="shared" si="11"/>
        <v>2953.6960006647496</v>
      </c>
      <c r="P21" s="15">
        <f t="shared" si="2"/>
        <v>4.8807532032647108E-2</v>
      </c>
      <c r="Q21" s="7">
        <f t="shared" si="12"/>
        <v>60517.216864992013</v>
      </c>
      <c r="R21" s="7">
        <f t="shared" si="13"/>
        <v>57563.520864327264</v>
      </c>
      <c r="S21" s="13">
        <f>IF(Calc!$AD$32="Sim",R21,Q21)</f>
        <v>57563.520864327264</v>
      </c>
      <c r="T21" s="9">
        <f t="shared" si="14"/>
        <v>17</v>
      </c>
      <c r="U21" s="17">
        <f t="shared" ca="1" si="15"/>
        <v>46023</v>
      </c>
      <c r="V21" s="124">
        <f t="shared" si="3"/>
        <v>716503.51059237809</v>
      </c>
      <c r="W21" s="68">
        <v>17</v>
      </c>
      <c r="X21" s="125">
        <f t="shared" ca="1" si="16"/>
        <v>51714</v>
      </c>
      <c r="Y21" s="5">
        <f t="shared" si="17"/>
        <v>204</v>
      </c>
      <c r="Z21" s="5"/>
      <c r="AA21" s="117" t="s">
        <v>53</v>
      </c>
      <c r="AB21" s="70">
        <f ca="1">INDEX(Calc!$B$5:$B$997,MATCH(1000000,Calc!$S$5:$S$997,1)+1,0)</f>
        <v>52810</v>
      </c>
      <c r="AC21" s="118" t="str">
        <f ca="1">"Aprox. "&amp; TEXT(AE21,"0") &amp; " anos ou " &amp; TEXT(AF21,"0") &amp; " meses"</f>
        <v>Aprox. 20 anos ou 240 meses</v>
      </c>
      <c r="AD21" s="96"/>
      <c r="AE21" s="253">
        <f ca="1">(AB21-Mês_Atual_2)/365.25</f>
        <v>20</v>
      </c>
      <c r="AF21" s="254">
        <f ca="1">(AB21-Mês_Atual_2)/365.25*12</f>
        <v>240</v>
      </c>
    </row>
    <row r="22" spans="2:33" x14ac:dyDescent="0.2">
      <c r="B22" s="17">
        <f t="shared" ca="1" si="4"/>
        <v>46023</v>
      </c>
      <c r="C22" s="9">
        <f t="shared" si="18"/>
        <v>18</v>
      </c>
      <c r="D22" s="9"/>
      <c r="E22" s="13">
        <f t="shared" si="5"/>
        <v>1075.9298304257593</v>
      </c>
      <c r="F22" s="14">
        <f t="shared" si="19"/>
        <v>53713.024444611518</v>
      </c>
      <c r="G22" s="15">
        <f t="shared" si="6"/>
        <v>0.91028956050096932</v>
      </c>
      <c r="H22" s="13">
        <f t="shared" si="7"/>
        <v>602.61104262501146</v>
      </c>
      <c r="I22" s="13">
        <f t="shared" si="8"/>
        <v>8482.7332934312726</v>
      </c>
      <c r="J22" s="15">
        <f t="shared" si="0"/>
        <v>8.9710439499030681E-2</v>
      </c>
      <c r="K22" s="13">
        <f t="shared" si="9"/>
        <v>5293.5013635621581</v>
      </c>
      <c r="L22" s="13">
        <f t="shared" si="20"/>
        <v>46196.920844668282</v>
      </c>
      <c r="M22" s="15">
        <f t="shared" si="10"/>
        <v>8.9710439499030695E-2</v>
      </c>
      <c r="N22" s="13">
        <f t="shared" si="1"/>
        <v>228.55755520305266</v>
      </c>
      <c r="O22" s="13">
        <f t="shared" si="11"/>
        <v>3189.2319298691073</v>
      </c>
      <c r="P22" s="15">
        <f t="shared" si="2"/>
        <v>5.1277322535430339E-2</v>
      </c>
      <c r="Q22" s="7">
        <f t="shared" si="12"/>
        <v>62195.757738042783</v>
      </c>
      <c r="R22" s="7">
        <f t="shared" si="13"/>
        <v>59006.525808173676</v>
      </c>
      <c r="S22" s="13">
        <f>IF(Calc!$AD$32="Sim",R22,Q22)</f>
        <v>59006.525808173676</v>
      </c>
      <c r="T22" s="9">
        <f t="shared" si="14"/>
        <v>18</v>
      </c>
      <c r="U22" s="17">
        <f t="shared" ca="1" si="15"/>
        <v>46054</v>
      </c>
      <c r="V22" s="124">
        <f t="shared" si="3"/>
        <v>801629.07408069156</v>
      </c>
      <c r="W22" s="68">
        <v>18</v>
      </c>
      <c r="X22" s="125">
        <f t="shared" ca="1" si="16"/>
        <v>52079</v>
      </c>
      <c r="Y22" s="5">
        <f t="shared" si="17"/>
        <v>216</v>
      </c>
      <c r="Z22" s="5"/>
      <c r="AA22" s="119" t="s">
        <v>36</v>
      </c>
      <c r="AB22" s="72">
        <f ca="1">INDEX(Calc!$B$5:$B$997,MATCH(50%,Calc!$G$5:$G$997,-1)+1,0)</f>
        <v>51561</v>
      </c>
      <c r="AC22" s="120" t="str">
        <f ca="1">"Aproximadamente "&amp; ROUND((AB22-Calc!$B$5)/365.25,0) &amp; " anos"</f>
        <v>Aproximadamente 17 anos</v>
      </c>
      <c r="AD22" s="115"/>
      <c r="AE22" s="115"/>
      <c r="AF22" s="114"/>
    </row>
    <row r="23" spans="2:33" x14ac:dyDescent="0.2">
      <c r="B23" s="17">
        <f t="shared" ca="1" si="4"/>
        <v>46054</v>
      </c>
      <c r="C23" s="9">
        <f t="shared" si="18"/>
        <v>19</v>
      </c>
      <c r="D23" s="9"/>
      <c r="E23" s="13">
        <f t="shared" si="5"/>
        <v>1080.3133017374337</v>
      </c>
      <c r="F23" s="14">
        <f t="shared" si="19"/>
        <v>54793.337746348952</v>
      </c>
      <c r="G23" s="15">
        <f t="shared" si="6"/>
        <v>0.90622960638877359</v>
      </c>
      <c r="H23" s="13">
        <f t="shared" si="7"/>
        <v>619.32541446822427</v>
      </c>
      <c r="I23" s="13">
        <f t="shared" si="8"/>
        <v>9102.0587078994977</v>
      </c>
      <c r="J23" s="15">
        <f t="shared" si="0"/>
        <v>9.377039361122641E-2</v>
      </c>
      <c r="K23" s="13">
        <f t="shared" si="9"/>
        <v>5669.6369347525033</v>
      </c>
      <c r="L23" s="13">
        <f t="shared" si="20"/>
        <v>51866.557779420786</v>
      </c>
      <c r="M23" s="15">
        <f t="shared" si="10"/>
        <v>9.3770393611226466E-2</v>
      </c>
      <c r="N23" s="13">
        <f t="shared" si="1"/>
        <v>234.80340353471163</v>
      </c>
      <c r="O23" s="13">
        <f t="shared" si="11"/>
        <v>3432.4217731469835</v>
      </c>
      <c r="P23" s="15">
        <f t="shared" si="2"/>
        <v>5.3719390810959743E-2</v>
      </c>
      <c r="Q23" s="7">
        <f t="shared" si="12"/>
        <v>63895.396454248439</v>
      </c>
      <c r="R23" s="7">
        <f t="shared" si="13"/>
        <v>60462.974681101456</v>
      </c>
      <c r="S23" s="13">
        <f>IF(Calc!$AD$32="Sim",R23,Q23)</f>
        <v>60462.974681101456</v>
      </c>
      <c r="T23" s="9">
        <f t="shared" si="14"/>
        <v>19</v>
      </c>
      <c r="U23" s="17">
        <f t="shared" ca="1" si="15"/>
        <v>46082</v>
      </c>
      <c r="V23" s="124">
        <f t="shared" si="3"/>
        <v>894844.48425540049</v>
      </c>
      <c r="W23" s="68">
        <v>19</v>
      </c>
      <c r="X23" s="125">
        <f t="shared" ca="1" si="16"/>
        <v>52444</v>
      </c>
      <c r="Y23" s="5">
        <f t="shared" si="17"/>
        <v>228</v>
      </c>
      <c r="Z23" s="5"/>
      <c r="AA23" s="91" t="s">
        <v>37</v>
      </c>
      <c r="AB23" s="23">
        <f ca="1">INDEX(Calc!$B$5:$B$997,MATCH(Calc!$AF$27,Calc!$H$5:$H$997,1)+1,0)</f>
        <v>46661</v>
      </c>
      <c r="AC23" s="89" t="str">
        <f ca="1">"Aproximadamente "&amp; ROUND((AB23-Calc!$B$5)/365.25,0) &amp; " anos"</f>
        <v>Aproximadamente 3 anos</v>
      </c>
      <c r="AD23" s="90"/>
      <c r="AE23" s="90"/>
      <c r="AF23" s="65"/>
    </row>
    <row r="24" spans="2:33" x14ac:dyDescent="0.2">
      <c r="B24" s="17">
        <f t="shared" ca="1" si="4"/>
        <v>46082</v>
      </c>
      <c r="C24" s="9">
        <f t="shared" si="18"/>
        <v>20</v>
      </c>
      <c r="D24" s="9"/>
      <c r="E24" s="13">
        <f t="shared" si="5"/>
        <v>1084.7146318538339</v>
      </c>
      <c r="F24" s="14">
        <f t="shared" si="19"/>
        <v>55878.052378202789</v>
      </c>
      <c r="G24" s="15">
        <f t="shared" si="6"/>
        <v>0.90223434673416902</v>
      </c>
      <c r="H24" s="13">
        <f t="shared" si="7"/>
        <v>636.24987186922249</v>
      </c>
      <c r="I24" s="13">
        <f t="shared" si="8"/>
        <v>9738.3085797687199</v>
      </c>
      <c r="J24" s="15">
        <f t="shared" si="0"/>
        <v>9.7765653265830976E-2</v>
      </c>
      <c r="K24" s="13">
        <f t="shared" si="9"/>
        <v>6054.9172327030683</v>
      </c>
      <c r="L24" s="13">
        <f t="shared" si="20"/>
        <v>57921.475012123854</v>
      </c>
      <c r="M24" s="15">
        <f t="shared" si="10"/>
        <v>9.7765653265830962E-2</v>
      </c>
      <c r="N24" s="13">
        <f t="shared" si="1"/>
        <v>241.12762007081128</v>
      </c>
      <c r="O24" s="13">
        <f t="shared" si="11"/>
        <v>3683.3913470656407</v>
      </c>
      <c r="P24" s="15">
        <f t="shared" si="2"/>
        <v>5.6135257933991822E-2</v>
      </c>
      <c r="Q24" s="7">
        <f t="shared" si="12"/>
        <v>65616.360957971498</v>
      </c>
      <c r="R24" s="7">
        <f t="shared" si="13"/>
        <v>61932.969610905857</v>
      </c>
      <c r="S24" s="13">
        <f>IF(Calc!$AD$32="Sim",R24,Q24)</f>
        <v>61932.969610905857</v>
      </c>
      <c r="T24" s="9">
        <f t="shared" si="14"/>
        <v>20</v>
      </c>
      <c r="U24" s="17">
        <f t="shared" ca="1" si="15"/>
        <v>46113</v>
      </c>
      <c r="V24" s="124">
        <f t="shared" si="3"/>
        <v>996852.32943230704</v>
      </c>
      <c r="W24" s="68">
        <v>20</v>
      </c>
      <c r="X24" s="125">
        <f t="shared" ca="1" si="16"/>
        <v>52810</v>
      </c>
      <c r="Y24" s="5">
        <f t="shared" si="17"/>
        <v>240</v>
      </c>
      <c r="Z24" s="5"/>
    </row>
    <row r="25" spans="2:33" x14ac:dyDescent="0.2">
      <c r="B25" s="17">
        <f t="shared" ca="1" si="4"/>
        <v>46113</v>
      </c>
      <c r="C25" s="9">
        <f t="shared" si="18"/>
        <v>21</v>
      </c>
      <c r="D25" s="9"/>
      <c r="E25" s="13">
        <f t="shared" si="5"/>
        <v>1089.1338935339411</v>
      </c>
      <c r="F25" s="14">
        <f t="shared" si="19"/>
        <v>56967.186271736733</v>
      </c>
      <c r="G25" s="15">
        <f t="shared" si="6"/>
        <v>0.89830066891727967</v>
      </c>
      <c r="H25" s="13">
        <f t="shared" si="7"/>
        <v>653.38668462488488</v>
      </c>
      <c r="I25" s="13">
        <f t="shared" si="8"/>
        <v>10391.695264393606</v>
      </c>
      <c r="J25" s="15">
        <f t="shared" si="0"/>
        <v>0.10169933108272033</v>
      </c>
      <c r="K25" s="13">
        <f t="shared" si="9"/>
        <v>6449.4271661661769</v>
      </c>
      <c r="L25" s="13">
        <f t="shared" si="20"/>
        <v>64370.902178290031</v>
      </c>
      <c r="M25" s="15">
        <f t="shared" si="10"/>
        <v>0.10169933108272029</v>
      </c>
      <c r="N25" s="13">
        <f t="shared" si="1"/>
        <v>247.53105107188398</v>
      </c>
      <c r="O25" s="13">
        <f t="shared" si="11"/>
        <v>3942.2680982274178</v>
      </c>
      <c r="P25" s="15">
        <f t="shared" si="2"/>
        <v>5.8526329539970792E-2</v>
      </c>
      <c r="Q25" s="7">
        <f t="shared" si="12"/>
        <v>67358.881536130328</v>
      </c>
      <c r="R25" s="7">
        <f t="shared" si="13"/>
        <v>63416.61343790291</v>
      </c>
      <c r="S25" s="13">
        <f>IF(Calc!$AD$32="Sim",R25,Q25)</f>
        <v>63416.61343790291</v>
      </c>
      <c r="T25" s="9">
        <f t="shared" si="14"/>
        <v>21</v>
      </c>
      <c r="U25" s="17">
        <f t="shared" ca="1" si="15"/>
        <v>46143</v>
      </c>
      <c r="V25" s="124">
        <f t="shared" si="3"/>
        <v>1108413.5071072108</v>
      </c>
      <c r="W25" s="68">
        <v>21</v>
      </c>
      <c r="X25" s="125">
        <f t="shared" ca="1" si="16"/>
        <v>53175</v>
      </c>
      <c r="Y25" s="5">
        <f t="shared" si="17"/>
        <v>252</v>
      </c>
      <c r="Z25" s="5"/>
      <c r="AA25" s="55" t="s">
        <v>48</v>
      </c>
    </row>
    <row r="26" spans="2:33" x14ac:dyDescent="0.2">
      <c r="B26" s="17">
        <f t="shared" ca="1" si="4"/>
        <v>46143</v>
      </c>
      <c r="C26" s="9">
        <f t="shared" si="18"/>
        <v>22</v>
      </c>
      <c r="D26" s="9"/>
      <c r="E26" s="13">
        <f t="shared" si="5"/>
        <v>1093.5711598331652</v>
      </c>
      <c r="F26" s="14">
        <f t="shared" si="19"/>
        <v>58060.757431569895</v>
      </c>
      <c r="G26" s="15">
        <f t="shared" si="6"/>
        <v>0.89442568225700692</v>
      </c>
      <c r="H26" s="13">
        <f t="shared" si="7"/>
        <v>670.73814585851062</v>
      </c>
      <c r="I26" s="13">
        <f t="shared" si="8"/>
        <v>11062.433410252117</v>
      </c>
      <c r="J26" s="15">
        <f t="shared" si="0"/>
        <v>0.10557431774299308</v>
      </c>
      <c r="K26" s="13">
        <f t="shared" si="9"/>
        <v>6853.2522881180776</v>
      </c>
      <c r="L26" s="13">
        <f t="shared" si="20"/>
        <v>71224.154466408101</v>
      </c>
      <c r="M26" s="15">
        <f t="shared" si="10"/>
        <v>0.10557431774299306</v>
      </c>
      <c r="N26" s="13">
        <f t="shared" si="1"/>
        <v>254.01455149371802</v>
      </c>
      <c r="O26" s="13">
        <f t="shared" si="11"/>
        <v>4209.1811221340395</v>
      </c>
      <c r="P26" s="15">
        <f t="shared" si="2"/>
        <v>6.0893906529374708E-2</v>
      </c>
      <c r="Q26" s="7">
        <f t="shared" si="12"/>
        <v>69123.190841822012</v>
      </c>
      <c r="R26" s="7">
        <f t="shared" si="13"/>
        <v>64914.009719687972</v>
      </c>
      <c r="S26" s="13">
        <f>IF(Calc!$AD$32="Sim",R26,Q26)</f>
        <v>64914.009719687972</v>
      </c>
      <c r="T26" s="9">
        <f t="shared" si="14"/>
        <v>22</v>
      </c>
      <c r="U26" s="17">
        <f t="shared" ca="1" si="15"/>
        <v>46174</v>
      </c>
      <c r="V26" s="124">
        <f t="shared" si="3"/>
        <v>1230351.9418594281</v>
      </c>
      <c r="W26" s="68">
        <v>22</v>
      </c>
      <c r="X26" s="125">
        <f t="shared" ca="1" si="16"/>
        <v>53540</v>
      </c>
      <c r="Y26" s="5">
        <f t="shared" si="17"/>
        <v>264</v>
      </c>
      <c r="Z26" s="5"/>
      <c r="AA26" s="92"/>
      <c r="AB26" s="93"/>
      <c r="AC26" s="94" t="s">
        <v>0</v>
      </c>
      <c r="AD26" s="95">
        <f>'Dados de Entrada'!F4</f>
        <v>35000</v>
      </c>
      <c r="AE26" s="96"/>
      <c r="AF26" s="96"/>
      <c r="AG26" s="97"/>
    </row>
    <row r="27" spans="2:33" x14ac:dyDescent="0.2">
      <c r="B27" s="17">
        <f t="shared" ca="1" si="4"/>
        <v>46174</v>
      </c>
      <c r="C27" s="9">
        <f t="shared" si="18"/>
        <v>23</v>
      </c>
      <c r="D27" s="9"/>
      <c r="E27" s="13">
        <f t="shared" si="5"/>
        <v>1098.0265041045534</v>
      </c>
      <c r="F27" s="14">
        <f t="shared" si="19"/>
        <v>59158.783935674452</v>
      </c>
      <c r="G27" s="15">
        <f t="shared" si="6"/>
        <v>0.89060669840119588</v>
      </c>
      <c r="H27" s="13">
        <f t="shared" si="7"/>
        <v>688.30657225504763</v>
      </c>
      <c r="I27" s="13">
        <f t="shared" si="8"/>
        <v>11750.739982507164</v>
      </c>
      <c r="J27" s="15">
        <f t="shared" si="0"/>
        <v>0.10939330159880412</v>
      </c>
      <c r="K27" s="13">
        <f t="shared" si="9"/>
        <v>7266.4788002508867</v>
      </c>
      <c r="L27" s="13">
        <f t="shared" si="20"/>
        <v>78490.633266658988</v>
      </c>
      <c r="M27" s="15">
        <f t="shared" si="10"/>
        <v>0.10939330159880414</v>
      </c>
      <c r="N27" s="13">
        <f t="shared" si="1"/>
        <v>260.57898507503558</v>
      </c>
      <c r="O27" s="13">
        <f t="shared" si="11"/>
        <v>4484.2611822562758</v>
      </c>
      <c r="P27" s="15">
        <f t="shared" si="2"/>
        <v>6.3239194602835086E-2</v>
      </c>
      <c r="Q27" s="7">
        <f t="shared" si="12"/>
        <v>70909.523918181614</v>
      </c>
      <c r="R27" s="7">
        <f t="shared" si="13"/>
        <v>66425.262735925338</v>
      </c>
      <c r="S27" s="13">
        <f>IF(Calc!$AD$32="Sim",R27,Q27)</f>
        <v>66425.262735925338</v>
      </c>
      <c r="T27" s="9">
        <f t="shared" si="14"/>
        <v>23</v>
      </c>
      <c r="U27" s="17">
        <f t="shared" ca="1" si="15"/>
        <v>46204</v>
      </c>
      <c r="V27" s="124">
        <f t="shared" si="3"/>
        <v>1363559.6793074924</v>
      </c>
      <c r="W27" s="68">
        <v>23</v>
      </c>
      <c r="X27" s="125">
        <f t="shared" ca="1" si="16"/>
        <v>53905</v>
      </c>
      <c r="Y27" s="5">
        <f t="shared" si="17"/>
        <v>276</v>
      </c>
      <c r="Z27" s="5"/>
      <c r="AA27" s="98"/>
      <c r="AB27" s="99"/>
      <c r="AC27" s="100" t="s">
        <v>33</v>
      </c>
      <c r="AD27" s="101">
        <f>'Dados de Entrada'!F7</f>
        <v>1000</v>
      </c>
      <c r="AE27" s="102" t="str">
        <f>'Dados de Entrada'!H7</f>
        <v>Mensal</v>
      </c>
      <c r="AF27" s="103">
        <f>IF(AG27,AD27/12,AD27)</f>
        <v>1000</v>
      </c>
      <c r="AG27" s="104" t="b">
        <f>IF(AE27="anual",TRUE,FALSE)</f>
        <v>0</v>
      </c>
    </row>
    <row r="28" spans="2:33" x14ac:dyDescent="0.2">
      <c r="B28" s="17">
        <f t="shared" ca="1" si="4"/>
        <v>46204</v>
      </c>
      <c r="C28" s="9">
        <f t="shared" si="18"/>
        <v>24</v>
      </c>
      <c r="D28" s="9">
        <v>2</v>
      </c>
      <c r="E28" s="13">
        <f t="shared" si="5"/>
        <v>1102.500000000002</v>
      </c>
      <c r="F28" s="14">
        <f t="shared" si="19"/>
        <v>60261.283935674452</v>
      </c>
      <c r="G28" s="15">
        <f t="shared" si="6"/>
        <v>0.88684121376089642</v>
      </c>
      <c r="H28" s="13">
        <f t="shared" si="7"/>
        <v>706.09430429867564</v>
      </c>
      <c r="I28" s="13">
        <f t="shared" si="8"/>
        <v>12456.834286805841</v>
      </c>
      <c r="J28" s="15">
        <f t="shared" si="0"/>
        <v>0.11315878623910358</v>
      </c>
      <c r="K28" s="13">
        <f t="shared" si="9"/>
        <v>7689.1935574945237</v>
      </c>
      <c r="L28" s="13">
        <f t="shared" si="20"/>
        <v>86179.826824153512</v>
      </c>
      <c r="M28" s="15">
        <f t="shared" si="10"/>
        <v>0.11315878623910353</v>
      </c>
      <c r="N28" s="13">
        <f t="shared" si="1"/>
        <v>267.2252244260489</v>
      </c>
      <c r="O28" s="13">
        <f t="shared" si="11"/>
        <v>4767.6407293113152</v>
      </c>
      <c r="P28" s="15">
        <f t="shared" si="2"/>
        <v>6.5563312773369228E-2</v>
      </c>
      <c r="Q28" s="7">
        <f t="shared" si="12"/>
        <v>72718.118222480291</v>
      </c>
      <c r="R28" s="7">
        <f t="shared" si="13"/>
        <v>67950.477493168975</v>
      </c>
      <c r="S28" s="13">
        <f>IF(Calc!$AD$32="Sim",R28,Q28)</f>
        <v>67950.477493168975</v>
      </c>
      <c r="T28" s="9">
        <f t="shared" si="14"/>
        <v>24</v>
      </c>
      <c r="U28" s="17">
        <f t="shared" ca="1" si="15"/>
        <v>46235</v>
      </c>
      <c r="V28" s="124">
        <f t="shared" si="3"/>
        <v>1509002.3858181634</v>
      </c>
      <c r="W28" s="68">
        <v>24</v>
      </c>
      <c r="X28" s="125">
        <f t="shared" ca="1" si="16"/>
        <v>54271</v>
      </c>
      <c r="Y28" s="5">
        <f t="shared" si="17"/>
        <v>288</v>
      </c>
      <c r="Z28" s="5"/>
      <c r="AA28" s="98"/>
      <c r="AB28" s="99"/>
      <c r="AC28" s="100" t="s">
        <v>12</v>
      </c>
      <c r="AD28" s="105">
        <f>'Dados de Entrada'!F10</f>
        <v>0.15</v>
      </c>
      <c r="AE28" s="102" t="str">
        <f>'Dados de Entrada'!H10</f>
        <v>Anual</v>
      </c>
      <c r="AF28" s="106">
        <f>IF(AF36,IF(AG28,(1+AD28)^(1/12)-1,AD28)*(1-AE36),IF(AG28,(1+AD28)^(1/12)-1,AD28))</f>
        <v>9.9576793818753721E-3</v>
      </c>
      <c r="AG28" s="104" t="b">
        <f>IF(AE28="anual",TRUE,FALSE)</f>
        <v>1</v>
      </c>
    </row>
    <row r="29" spans="2:33" x14ac:dyDescent="0.2">
      <c r="B29" s="17">
        <f t="shared" ca="1" si="4"/>
        <v>46235</v>
      </c>
      <c r="C29" s="9">
        <f t="shared" si="18"/>
        <v>25</v>
      </c>
      <c r="D29" s="9"/>
      <c r="E29" s="13">
        <f t="shared" si="5"/>
        <v>1106.9917214714744</v>
      </c>
      <c r="F29" s="14">
        <f t="shared" si="19"/>
        <v>61368.275657145925</v>
      </c>
      <c r="G29" s="15">
        <f t="shared" si="6"/>
        <v>0.88312689374437492</v>
      </c>
      <c r="H29" s="13">
        <f t="shared" si="7"/>
        <v>724.10370651276776</v>
      </c>
      <c r="I29" s="13">
        <f t="shared" si="8"/>
        <v>13180.937993318608</v>
      </c>
      <c r="J29" s="15">
        <f t="shared" si="0"/>
        <v>0.11687310625562508</v>
      </c>
      <c r="K29" s="13">
        <f t="shared" si="9"/>
        <v>8121.4840725688045</v>
      </c>
      <c r="L29" s="13">
        <f t="shared" si="20"/>
        <v>94301.310896722309</v>
      </c>
      <c r="M29" s="15">
        <f t="shared" si="10"/>
        <v>0.11687310625562505</v>
      </c>
      <c r="N29" s="13">
        <f t="shared" si="1"/>
        <v>273.95415111790237</v>
      </c>
      <c r="O29" s="13">
        <f t="shared" si="11"/>
        <v>5059.4539207498165</v>
      </c>
      <c r="P29" s="15">
        <f t="shared" si="2"/>
        <v>6.7867300981494516E-2</v>
      </c>
      <c r="Q29" s="7">
        <f t="shared" si="12"/>
        <v>74549.213650464546</v>
      </c>
      <c r="R29" s="7">
        <f t="shared" si="13"/>
        <v>69489.759729714729</v>
      </c>
      <c r="S29" s="13">
        <f>IF(Calc!$AD$32="Sim",R29,Q29)</f>
        <v>69489.759729714729</v>
      </c>
      <c r="T29" s="9">
        <f t="shared" si="14"/>
        <v>25</v>
      </c>
      <c r="U29" s="17">
        <f t="shared" ca="1" si="15"/>
        <v>46266</v>
      </c>
      <c r="V29" s="124">
        <f t="shared" si="3"/>
        <v>1667725.2860024006</v>
      </c>
      <c r="W29" s="68">
        <v>25</v>
      </c>
      <c r="X29" s="125">
        <f t="shared" ca="1" si="16"/>
        <v>54636</v>
      </c>
      <c r="Y29" s="5">
        <f t="shared" si="17"/>
        <v>300</v>
      </c>
      <c r="Z29" s="5"/>
      <c r="AA29" s="98"/>
      <c r="AB29" s="99"/>
      <c r="AC29" s="100" t="s">
        <v>13</v>
      </c>
      <c r="AD29" s="107">
        <f>'Dados de Entrada'!F13</f>
        <v>20</v>
      </c>
      <c r="AE29" s="102" t="str">
        <f>'Dados de Entrada'!H13</f>
        <v>Anos</v>
      </c>
      <c r="AF29" s="108">
        <f>IF(AG29,AD29,AD29/12)</f>
        <v>20</v>
      </c>
      <c r="AG29" s="104" t="b">
        <f>IF(AE29="anos",TRUE,FALSE)</f>
        <v>1</v>
      </c>
    </row>
    <row r="30" spans="2:33" x14ac:dyDescent="0.2">
      <c r="B30" s="17">
        <f t="shared" ca="1" si="4"/>
        <v>46266</v>
      </c>
      <c r="C30" s="9">
        <f t="shared" si="18"/>
        <v>26</v>
      </c>
      <c r="D30" s="9"/>
      <c r="E30" s="13">
        <f t="shared" si="5"/>
        <v>1111.5017427722232</v>
      </c>
      <c r="F30" s="14">
        <f t="shared" si="19"/>
        <v>62479.777399918152</v>
      </c>
      <c r="G30" s="15">
        <f t="shared" si="6"/>
        <v>0.87946155857934916</v>
      </c>
      <c r="H30" s="13">
        <f t="shared" si="7"/>
        <v>742.33716770225283</v>
      </c>
      <c r="I30" s="13">
        <f t="shared" si="8"/>
        <v>13923.275161020862</v>
      </c>
      <c r="J30" s="15">
        <f t="shared" si="0"/>
        <v>0.12053844142065084</v>
      </c>
      <c r="K30" s="13">
        <f t="shared" si="9"/>
        <v>8563.43852056592</v>
      </c>
      <c r="L30" s="13">
        <f t="shared" si="20"/>
        <v>102864.74941728823</v>
      </c>
      <c r="M30" s="15">
        <f t="shared" si="10"/>
        <v>0.12053844142065086</v>
      </c>
      <c r="N30" s="13">
        <f t="shared" si="1"/>
        <v>280.76665577300957</v>
      </c>
      <c r="O30" s="13">
        <f t="shared" si="11"/>
        <v>5359.8366404549452</v>
      </c>
      <c r="P30" s="15">
        <f t="shared" si="2"/>
        <v>7.0152126921629782E-2</v>
      </c>
      <c r="Q30" s="7">
        <f t="shared" si="12"/>
        <v>76403.052560939017</v>
      </c>
      <c r="R30" s="7">
        <f t="shared" si="13"/>
        <v>71043.215920484072</v>
      </c>
      <c r="S30" s="13">
        <f>IF(Calc!$AD$32="Sim",R30,Q30)</f>
        <v>71043.215920484072</v>
      </c>
      <c r="T30" s="9">
        <f t="shared" si="14"/>
        <v>26</v>
      </c>
      <c r="U30" s="17">
        <f t="shared" ca="1" si="15"/>
        <v>46296</v>
      </c>
      <c r="V30" s="124">
        <f t="shared" si="3"/>
        <v>1840859.572546995</v>
      </c>
      <c r="W30" s="68">
        <v>26</v>
      </c>
      <c r="X30" s="125">
        <f t="shared" ca="1" si="16"/>
        <v>55001</v>
      </c>
      <c r="Y30" s="5">
        <f t="shared" si="17"/>
        <v>312</v>
      </c>
      <c r="Z30" s="5"/>
      <c r="AA30" s="66"/>
      <c r="AB30" s="88"/>
      <c r="AC30" s="86" t="s">
        <v>1</v>
      </c>
      <c r="AD30" s="61">
        <f>'Dados de Entrada'!F16</f>
        <v>4.4999999999999998E-2</v>
      </c>
      <c r="AE30" s="62" t="str">
        <f>'Dados de Entrada'!H16</f>
        <v>Anual</v>
      </c>
      <c r="AF30" s="63">
        <f>(1+AD30)^(1/12)-1</f>
        <v>3.6748094004368514E-3</v>
      </c>
      <c r="AG30" s="64" t="b">
        <f>IF(AE30="anual",TRUE,FALSE)</f>
        <v>1</v>
      </c>
    </row>
    <row r="31" spans="2:33" x14ac:dyDescent="0.2">
      <c r="B31" s="17">
        <f t="shared" ca="1" si="4"/>
        <v>46296</v>
      </c>
      <c r="C31" s="9">
        <f t="shared" si="18"/>
        <v>27</v>
      </c>
      <c r="D31" s="9"/>
      <c r="E31" s="13">
        <f t="shared" si="5"/>
        <v>1116.0301384580182</v>
      </c>
      <c r="F31" s="14">
        <f t="shared" si="19"/>
        <v>63595.807538376168</v>
      </c>
      <c r="G31" s="15">
        <f t="shared" si="6"/>
        <v>0.8758431705398656</v>
      </c>
      <c r="H31" s="13">
        <f t="shared" si="7"/>
        <v>760.79710119840274</v>
      </c>
      <c r="I31" s="13">
        <f t="shared" si="8"/>
        <v>14684.072262219264</v>
      </c>
      <c r="J31" s="15">
        <f t="shared" si="0"/>
        <v>0.1241568294601344</v>
      </c>
      <c r="K31" s="13">
        <f t="shared" si="9"/>
        <v>9015.1457435635748</v>
      </c>
      <c r="L31" s="13">
        <f t="shared" si="20"/>
        <v>111879.8951608518</v>
      </c>
      <c r="M31" s="15">
        <f t="shared" si="10"/>
        <v>0.12415682946013434</v>
      </c>
      <c r="N31" s="13">
        <f t="shared" si="1"/>
        <v>287.66363815629495</v>
      </c>
      <c r="O31" s="13">
        <f t="shared" si="11"/>
        <v>5668.9265186557022</v>
      </c>
      <c r="P31" s="15">
        <f t="shared" si="2"/>
        <v>7.2418692173471896E-2</v>
      </c>
      <c r="Q31" s="7">
        <f t="shared" si="12"/>
        <v>78279.879800595445</v>
      </c>
      <c r="R31" s="7">
        <f t="shared" si="13"/>
        <v>72610.953281939743</v>
      </c>
      <c r="S31" s="13">
        <f>IF(Calc!$AD$32="Sim",R31,Q31)</f>
        <v>72610.953281939743</v>
      </c>
      <c r="T31" s="9">
        <f t="shared" si="14"/>
        <v>27</v>
      </c>
      <c r="U31" s="17">
        <f t="shared" ca="1" si="15"/>
        <v>46327</v>
      </c>
      <c r="V31" s="124">
        <f t="shared" si="3"/>
        <v>2029629.3256423739</v>
      </c>
      <c r="W31" s="68">
        <v>27</v>
      </c>
      <c r="X31" s="125">
        <f t="shared" ca="1" si="16"/>
        <v>55366</v>
      </c>
      <c r="Y31" s="5">
        <f t="shared" si="17"/>
        <v>324</v>
      </c>
      <c r="Z31" s="5"/>
      <c r="AA31" s="92"/>
      <c r="AB31" s="93"/>
      <c r="AC31" s="94" t="s">
        <v>22</v>
      </c>
      <c r="AD31" s="109" t="str">
        <f>'Dados de Entrada'!H21</f>
        <v>Este mês</v>
      </c>
      <c r="AE31" s="110">
        <f>IF(AD31=AF31,0,1)</f>
        <v>0</v>
      </c>
      <c r="AF31" s="250" t="s">
        <v>143</v>
      </c>
      <c r="AG31" s="97"/>
    </row>
    <row r="32" spans="2:33" x14ac:dyDescent="0.2">
      <c r="B32" s="17">
        <f t="shared" ca="1" si="4"/>
        <v>46327</v>
      </c>
      <c r="C32" s="9">
        <f t="shared" si="18"/>
        <v>28</v>
      </c>
      <c r="D32" s="9"/>
      <c r="E32" s="13">
        <f t="shared" si="5"/>
        <v>1120.5769833883783</v>
      </c>
      <c r="F32" s="14">
        <f t="shared" si="19"/>
        <v>64716.384521764543</v>
      </c>
      <c r="G32" s="15">
        <f t="shared" si="6"/>
        <v>0.87226982241809703</v>
      </c>
      <c r="H32" s="13">
        <f t="shared" si="7"/>
        <v>779.48594510607165</v>
      </c>
      <c r="I32" s="13">
        <f t="shared" si="8"/>
        <v>15463.558207325335</v>
      </c>
      <c r="J32" s="15">
        <f t="shared" si="0"/>
        <v>0.12773017758190297</v>
      </c>
      <c r="K32" s="13">
        <f t="shared" si="9"/>
        <v>9476.695255268758</v>
      </c>
      <c r="L32" s="13">
        <f t="shared" si="20"/>
        <v>121356.59041612055</v>
      </c>
      <c r="M32" s="15">
        <f t="shared" si="10"/>
        <v>0.12773017758190297</v>
      </c>
      <c r="N32" s="13">
        <f t="shared" si="1"/>
        <v>294.64600726734795</v>
      </c>
      <c r="O32" s="13">
        <f t="shared" si="11"/>
        <v>5986.8629520566028</v>
      </c>
      <c r="P32" s="15">
        <f t="shared" si="2"/>
        <v>7.466783771952637E-2</v>
      </c>
      <c r="Q32" s="7">
        <f t="shared" si="12"/>
        <v>80179.942729089904</v>
      </c>
      <c r="R32" s="7">
        <f t="shared" si="13"/>
        <v>74193.079777033301</v>
      </c>
      <c r="S32" s="13">
        <f>IF(Calc!$AD$32="Sim",R32,Q32)</f>
        <v>74193.079777033301</v>
      </c>
      <c r="T32" s="9">
        <f t="shared" si="14"/>
        <v>28</v>
      </c>
      <c r="U32" s="17">
        <f t="shared" ca="1" si="15"/>
        <v>46357</v>
      </c>
      <c r="V32" s="124">
        <f t="shared" si="3"/>
        <v>2235358.9821910476</v>
      </c>
      <c r="W32" s="68">
        <v>28</v>
      </c>
      <c r="X32" s="125">
        <f t="shared" ca="1" si="16"/>
        <v>55732</v>
      </c>
      <c r="Y32" s="5">
        <f t="shared" si="17"/>
        <v>336</v>
      </c>
      <c r="Z32" s="5"/>
      <c r="AA32" s="98"/>
      <c r="AB32" s="99"/>
      <c r="AC32" s="100" t="s">
        <v>18</v>
      </c>
      <c r="AD32" s="111" t="str">
        <f>'Dados de Entrada'!H24</f>
        <v>Sim</v>
      </c>
      <c r="AE32" s="112" t="b">
        <f>IF(AD32="sim",TRUE,FALSE)</f>
        <v>1</v>
      </c>
      <c r="AF32" s="113"/>
      <c r="AG32" s="114"/>
    </row>
    <row r="33" spans="2:33" x14ac:dyDescent="0.2">
      <c r="B33" s="17">
        <f t="shared" ca="1" si="4"/>
        <v>46357</v>
      </c>
      <c r="C33" s="9">
        <f t="shared" si="18"/>
        <v>29</v>
      </c>
      <c r="D33" s="9"/>
      <c r="E33" s="13">
        <f t="shared" si="5"/>
        <v>1125.1423527278098</v>
      </c>
      <c r="F33" s="14">
        <f t="shared" si="19"/>
        <v>65841.526874492352</v>
      </c>
      <c r="G33" s="15">
        <f t="shared" si="6"/>
        <v>0.8687397271017564</v>
      </c>
      <c r="H33" s="13">
        <f t="shared" si="7"/>
        <v>798.40616255340672</v>
      </c>
      <c r="I33" s="13">
        <f t="shared" si="8"/>
        <v>16261.964369878742</v>
      </c>
      <c r="J33" s="15">
        <f t="shared" si="0"/>
        <v>0.1312602728982436</v>
      </c>
      <c r="K33" s="13">
        <f t="shared" si="9"/>
        <v>9948.1772456926119</v>
      </c>
      <c r="L33" s="13">
        <f t="shared" si="20"/>
        <v>131304.76766181318</v>
      </c>
      <c r="M33" s="15">
        <f t="shared" si="10"/>
        <v>0.13126027289824355</v>
      </c>
      <c r="N33" s="13">
        <f t="shared" si="1"/>
        <v>301.71468143349972</v>
      </c>
      <c r="O33" s="13">
        <f t="shared" si="11"/>
        <v>6313.7871241861576</v>
      </c>
      <c r="P33" s="15">
        <f t="shared" si="2"/>
        <v>7.6900348919316144E-2</v>
      </c>
      <c r="Q33" s="7">
        <f t="shared" si="12"/>
        <v>82103.491244371122</v>
      </c>
      <c r="R33" s="7">
        <f t="shared" si="13"/>
        <v>75789.704120184964</v>
      </c>
      <c r="S33" s="13">
        <f>IF(Calc!$AD$32="Sim",R33,Q33)</f>
        <v>75789.704120184964</v>
      </c>
      <c r="T33" s="9">
        <f t="shared" si="14"/>
        <v>29</v>
      </c>
      <c r="U33" s="17">
        <f t="shared" ca="1" si="15"/>
        <v>46388</v>
      </c>
      <c r="V33" s="124">
        <f t="shared" si="3"/>
        <v>2459481.3981338139</v>
      </c>
      <c r="W33" s="68">
        <v>29</v>
      </c>
      <c r="X33" s="125">
        <f t="shared" ca="1" si="16"/>
        <v>56097</v>
      </c>
      <c r="Y33" s="5">
        <f t="shared" si="17"/>
        <v>348</v>
      </c>
      <c r="Z33" s="5"/>
      <c r="AA33" s="98"/>
      <c r="AB33" s="99"/>
      <c r="AC33" s="100" t="s">
        <v>17</v>
      </c>
      <c r="AD33" s="111" t="str">
        <f>'Dados de Entrada'!H27</f>
        <v>Não</v>
      </c>
      <c r="AE33" s="112" t="b">
        <f>IF(AD33="sim",TRUE,FALSE)</f>
        <v>0</v>
      </c>
      <c r="AF33" s="115"/>
      <c r="AG33" s="114"/>
    </row>
    <row r="34" spans="2:33" x14ac:dyDescent="0.2">
      <c r="B34" s="17">
        <f t="shared" ca="1" si="4"/>
        <v>46388</v>
      </c>
      <c r="C34" s="9">
        <f t="shared" si="18"/>
        <v>30</v>
      </c>
      <c r="D34" s="9"/>
      <c r="E34" s="13">
        <f t="shared" si="5"/>
        <v>1129.7263219470483</v>
      </c>
      <c r="F34" s="14">
        <f t="shared" si="19"/>
        <v>66971.2531964394</v>
      </c>
      <c r="G34" s="15">
        <f t="shared" si="6"/>
        <v>0.8652512081353666</v>
      </c>
      <c r="H34" s="13">
        <f t="shared" si="7"/>
        <v>817.5602419440595</v>
      </c>
      <c r="I34" s="13">
        <f t="shared" si="8"/>
        <v>17079.524611822802</v>
      </c>
      <c r="J34" s="15">
        <f>1-G34</f>
        <v>0.1347487918646334</v>
      </c>
      <c r="K34" s="13">
        <f t="shared" si="9"/>
        <v>10429.682585856441</v>
      </c>
      <c r="L34" s="13">
        <f t="shared" si="20"/>
        <v>141734.45024766962</v>
      </c>
      <c r="M34" s="15">
        <f t="shared" si="10"/>
        <v>0.13474879186463343</v>
      </c>
      <c r="N34" s="13">
        <f t="shared" si="1"/>
        <v>308.87058840383111</v>
      </c>
      <c r="O34" s="13">
        <f t="shared" si="11"/>
        <v>6649.8420259663835</v>
      </c>
      <c r="P34" s="15">
        <f t="shared" si="2"/>
        <v>7.9116960001680101E-2</v>
      </c>
      <c r="Q34" s="7">
        <f t="shared" si="12"/>
        <v>84050.777808262224</v>
      </c>
      <c r="R34" s="7">
        <f t="shared" si="13"/>
        <v>77400.935782295841</v>
      </c>
      <c r="S34" s="13">
        <f>IF(Calc!$AD$32="Sim",R34,Q34)</f>
        <v>77400.935782295841</v>
      </c>
      <c r="T34" s="9">
        <f t="shared" si="14"/>
        <v>30</v>
      </c>
      <c r="U34" s="17">
        <f t="shared" ca="1" si="15"/>
        <v>46419</v>
      </c>
      <c r="V34" s="124">
        <f t="shared" si="3"/>
        <v>2703546.5506300251</v>
      </c>
      <c r="W34" s="68">
        <v>30</v>
      </c>
      <c r="X34" s="125">
        <f t="shared" ca="1" si="16"/>
        <v>56462</v>
      </c>
      <c r="Y34" s="5">
        <f t="shared" si="17"/>
        <v>360</v>
      </c>
      <c r="Z34" s="5"/>
      <c r="AA34" s="98"/>
      <c r="AB34" s="99"/>
      <c r="AC34" s="100" t="s">
        <v>124</v>
      </c>
      <c r="AD34" s="111" t="str">
        <f>'Dados de Entrada'!H30</f>
        <v>Sim</v>
      </c>
      <c r="AE34" s="112" t="b">
        <f>IF(AD34="sim",TRUE,FALSE)</f>
        <v>1</v>
      </c>
      <c r="AF34" s="115"/>
      <c r="AG34" s="114"/>
    </row>
    <row r="35" spans="2:33" x14ac:dyDescent="0.2">
      <c r="B35" s="17">
        <f t="shared" ca="1" si="4"/>
        <v>46419</v>
      </c>
      <c r="C35" s="9">
        <f t="shared" si="18"/>
        <v>31</v>
      </c>
      <c r="D35" s="9"/>
      <c r="E35" s="13">
        <f t="shared" si="5"/>
        <v>1134.3289668243062</v>
      </c>
      <c r="F35" s="14">
        <f t="shared" si="19"/>
        <v>68105.582163263709</v>
      </c>
      <c r="G35" s="15">
        <f t="shared" si="6"/>
        <v>0.86180269115870467</v>
      </c>
      <c r="H35" s="13">
        <f t="shared" si="7"/>
        <v>836.95069721192078</v>
      </c>
      <c r="I35" s="13">
        <f t="shared" si="8"/>
        <v>17916.475309034722</v>
      </c>
      <c r="J35" s="15">
        <f t="shared" si="0"/>
        <v>0.13819730884129533</v>
      </c>
      <c r="K35" s="13">
        <f t="shared" si="9"/>
        <v>10921.302832529109</v>
      </c>
      <c r="L35" s="13">
        <f t="shared" si="20"/>
        <v>152655.75308019872</v>
      </c>
      <c r="M35" s="15">
        <f t="shared" si="10"/>
        <v>0.13819730884129533</v>
      </c>
      <c r="N35" s="13">
        <f t="shared" si="1"/>
        <v>316.1146654441215</v>
      </c>
      <c r="O35" s="13">
        <f t="shared" si="11"/>
        <v>6995.1724765056424</v>
      </c>
      <c r="P35" s="15">
        <f t="shared" si="2"/>
        <v>8.1318358128765825E-2</v>
      </c>
      <c r="Q35" s="7">
        <f t="shared" si="12"/>
        <v>86022.05747229846</v>
      </c>
      <c r="R35" s="7">
        <f t="shared" si="13"/>
        <v>79026.884995792818</v>
      </c>
      <c r="S35" s="13">
        <f>IF(Calc!$AD$32="Sim",R35,Q35)</f>
        <v>79026.884995792818</v>
      </c>
      <c r="T35" s="9">
        <f t="shared" si="14"/>
        <v>31</v>
      </c>
      <c r="U35" s="17">
        <f t="shared" ca="1" si="15"/>
        <v>46447</v>
      </c>
      <c r="V35" s="124">
        <f t="shared" ref="V35:V54" si="21">INDEX($S$5:$S$997,Y35,0)</f>
        <v>2969230.9304932244</v>
      </c>
      <c r="W35" s="68">
        <v>31</v>
      </c>
      <c r="X35" s="125">
        <f t="shared" ca="1" si="16"/>
        <v>56827</v>
      </c>
      <c r="Y35" s="5">
        <f t="shared" si="17"/>
        <v>372</v>
      </c>
      <c r="AA35" s="98"/>
      <c r="AB35" s="99"/>
      <c r="AC35" s="100" t="s">
        <v>14</v>
      </c>
      <c r="AD35" s="105">
        <f>'Dados de Entrada'!J30</f>
        <v>0.05</v>
      </c>
      <c r="AE35" s="116" t="s">
        <v>19</v>
      </c>
      <c r="AF35" s="106">
        <f>(1+AD35)^(1/12)-1</f>
        <v>4.0741237836483535E-3</v>
      </c>
      <c r="AG35" s="104" t="b">
        <f>IF(AE35="anual",TRUE,FALSE)</f>
        <v>1</v>
      </c>
    </row>
    <row r="36" spans="2:33" x14ac:dyDescent="0.2">
      <c r="B36" s="17">
        <f t="shared" ca="1" si="4"/>
        <v>46447</v>
      </c>
      <c r="C36" s="9">
        <f t="shared" si="18"/>
        <v>32</v>
      </c>
      <c r="D36" s="9"/>
      <c r="E36" s="13">
        <f t="shared" si="5"/>
        <v>1138.9503634465264</v>
      </c>
      <c r="F36" s="14">
        <f t="shared" si="19"/>
        <v>69244.532526710231</v>
      </c>
      <c r="G36" s="15">
        <f t="shared" si="6"/>
        <v>0.85839269612876545</v>
      </c>
      <c r="H36" s="13">
        <f t="shared" si="7"/>
        <v>856.58006807840468</v>
      </c>
      <c r="I36" s="13">
        <f t="shared" si="8"/>
        <v>18773.055377113127</v>
      </c>
      <c r="J36" s="15">
        <f t="shared" si="0"/>
        <v>0.14160730387123455</v>
      </c>
      <c r="K36" s="13">
        <f t="shared" si="9"/>
        <v>11423.130232995987</v>
      </c>
      <c r="L36" s="13">
        <f t="shared" si="20"/>
        <v>164078.8833131947</v>
      </c>
      <c r="M36" s="15">
        <f t="shared" si="10"/>
        <v>0.14160730387123452</v>
      </c>
      <c r="N36" s="13">
        <f t="shared" si="1"/>
        <v>323.44785943274707</v>
      </c>
      <c r="O36" s="13">
        <f t="shared" si="11"/>
        <v>7349.9251441171655</v>
      </c>
      <c r="P36" s="15">
        <f t="shared" si="2"/>
        <v>8.3505187078614471E-2</v>
      </c>
      <c r="Q36" s="7">
        <f t="shared" si="12"/>
        <v>88017.587903823383</v>
      </c>
      <c r="R36" s="7">
        <f t="shared" si="13"/>
        <v>80667.662759706218</v>
      </c>
      <c r="S36" s="13">
        <f>IF(Calc!$AD$32="Sim",R36,Q36)</f>
        <v>80667.662759706218</v>
      </c>
      <c r="T36" s="9">
        <f t="shared" si="14"/>
        <v>32</v>
      </c>
      <c r="U36" s="17">
        <f t="shared" ca="1" si="15"/>
        <v>46478</v>
      </c>
      <c r="V36" s="124">
        <f t="shared" si="21"/>
        <v>3258347.6792349191</v>
      </c>
      <c r="W36" s="68">
        <v>32</v>
      </c>
      <c r="X36" s="125">
        <f t="shared" ca="1" si="16"/>
        <v>57193</v>
      </c>
      <c r="Y36" s="5">
        <f t="shared" si="17"/>
        <v>384</v>
      </c>
      <c r="AA36" s="66"/>
      <c r="AB36" s="88"/>
      <c r="AC36" s="86" t="s">
        <v>26</v>
      </c>
      <c r="AD36" s="58" t="str">
        <f>'Dados de Entrada'!H33</f>
        <v>Sim</v>
      </c>
      <c r="AE36" s="59">
        <f>'Dados de Entrada'!J33</f>
        <v>0.15</v>
      </c>
      <c r="AF36" s="60" t="b">
        <f>IF(AD36="sim",TRUE,FALSE)</f>
        <v>1</v>
      </c>
      <c r="AG36" s="65"/>
    </row>
    <row r="37" spans="2:33" x14ac:dyDescent="0.2">
      <c r="B37" s="17">
        <f t="shared" ca="1" si="4"/>
        <v>46478</v>
      </c>
      <c r="C37" s="9">
        <f t="shared" si="18"/>
        <v>33</v>
      </c>
      <c r="D37" s="9"/>
      <c r="E37" s="13">
        <f t="shared" si="5"/>
        <v>1143.5905882106388</v>
      </c>
      <c r="F37" s="14">
        <f t="shared" si="19"/>
        <v>70388.123114920876</v>
      </c>
      <c r="G37" s="15">
        <f t="shared" si="6"/>
        <v>0.85501983024283812</v>
      </c>
      <c r="H37" s="13">
        <f t="shared" si="7"/>
        <v>876.45092031230524</v>
      </c>
      <c r="I37" s="13">
        <f t="shared" si="8"/>
        <v>19649.506297425432</v>
      </c>
      <c r="J37" s="15">
        <f t="shared" si="0"/>
        <v>0.14498016975716188</v>
      </c>
      <c r="K37" s="13">
        <f t="shared" si="9"/>
        <v>11935.25772985979</v>
      </c>
      <c r="L37" s="13">
        <f t="shared" si="20"/>
        <v>176014.14104305449</v>
      </c>
      <c r="M37" s="15">
        <f t="shared" si="10"/>
        <v>0.14498016975716188</v>
      </c>
      <c r="N37" s="13">
        <f t="shared" si="1"/>
        <v>330.87112695753984</v>
      </c>
      <c r="O37" s="13">
        <f t="shared" si="11"/>
        <v>7714.2485675656644</v>
      </c>
      <c r="P37" s="15">
        <f t="shared" si="2"/>
        <v>8.5678050587456436E-2</v>
      </c>
      <c r="Q37" s="7">
        <f t="shared" si="12"/>
        <v>90037.62941234633</v>
      </c>
      <c r="R37" s="7">
        <f t="shared" si="13"/>
        <v>82323.380844780666</v>
      </c>
      <c r="S37" s="13">
        <f>IF(Calc!$AD$32="Sim",R37,Q37)</f>
        <v>82323.380844780666</v>
      </c>
      <c r="T37" s="9">
        <f t="shared" si="14"/>
        <v>33</v>
      </c>
      <c r="U37" s="17">
        <f t="shared" ca="1" si="15"/>
        <v>46508</v>
      </c>
      <c r="V37" s="124">
        <f t="shared" si="21"/>
        <v>3572857.529329699</v>
      </c>
      <c r="W37" s="68">
        <v>33</v>
      </c>
      <c r="X37" s="125">
        <f t="shared" ca="1" si="16"/>
        <v>57558</v>
      </c>
      <c r="Y37" s="5">
        <f t="shared" si="17"/>
        <v>396</v>
      </c>
    </row>
    <row r="38" spans="2:33" x14ac:dyDescent="0.2">
      <c r="B38" s="17">
        <f t="shared" ca="1" si="4"/>
        <v>46508</v>
      </c>
      <c r="C38" s="9">
        <f t="shared" si="18"/>
        <v>34</v>
      </c>
      <c r="D38" s="9"/>
      <c r="E38" s="13">
        <f t="shared" si="5"/>
        <v>1148.2497178248241</v>
      </c>
      <c r="F38" s="14">
        <f t="shared" si="19"/>
        <v>71536.372832745707</v>
      </c>
      <c r="G38" s="15">
        <f t="shared" si="6"/>
        <v>0.85168278149005461</v>
      </c>
      <c r="H38" s="13">
        <f t="shared" si="7"/>
        <v>896.56584599225664</v>
      </c>
      <c r="I38" s="13">
        <f t="shared" si="8"/>
        <v>20546.072143417688</v>
      </c>
      <c r="J38" s="15">
        <f t="shared" si="0"/>
        <v>0.14831721850994539</v>
      </c>
      <c r="K38" s="13">
        <f t="shared" si="9"/>
        <v>12457.778965873295</v>
      </c>
      <c r="L38" s="13">
        <f t="shared" si="20"/>
        <v>188471.92000892779</v>
      </c>
      <c r="M38" s="15">
        <f t="shared" si="10"/>
        <v>0.14831721850994536</v>
      </c>
      <c r="N38" s="13">
        <f t="shared" si="1"/>
        <v>338.38543441361446</v>
      </c>
      <c r="O38" s="13">
        <f t="shared" si="11"/>
        <v>8088.2931775444158</v>
      </c>
      <c r="P38" s="15">
        <f t="shared" si="2"/>
        <v>8.7837515387847939E-2</v>
      </c>
      <c r="Q38" s="7">
        <f t="shared" ref="Q38:Q69" si="22">Q37+E38+H38</f>
        <v>92082.444976163417</v>
      </c>
      <c r="R38" s="7">
        <f t="shared" si="13"/>
        <v>83994.151798619001</v>
      </c>
      <c r="S38" s="13">
        <f>IF(Calc!$AD$32="Sim",R38,Q38)</f>
        <v>83994.151798619001</v>
      </c>
      <c r="T38" s="9">
        <f t="shared" si="14"/>
        <v>34</v>
      </c>
      <c r="U38" s="17">
        <f t="shared" ca="1" si="15"/>
        <v>46539</v>
      </c>
      <c r="V38" s="124">
        <f t="shared" si="21"/>
        <v>3914880.6109082233</v>
      </c>
      <c r="W38" s="68">
        <v>34</v>
      </c>
      <c r="X38" s="125">
        <f t="shared" ca="1" si="16"/>
        <v>57923</v>
      </c>
      <c r="Y38" s="5">
        <f t="shared" si="17"/>
        <v>408</v>
      </c>
      <c r="AA38" s="55" t="s">
        <v>47</v>
      </c>
      <c r="AB38" s="2"/>
    </row>
    <row r="39" spans="2:33" x14ac:dyDescent="0.2">
      <c r="B39" s="17">
        <f t="shared" ca="1" si="4"/>
        <v>46539</v>
      </c>
      <c r="C39" s="9">
        <f t="shared" si="18"/>
        <v>35</v>
      </c>
      <c r="D39" s="9"/>
      <c r="E39" s="13">
        <f t="shared" si="5"/>
        <v>1152.9278293097816</v>
      </c>
      <c r="F39" s="14">
        <f t="shared" si="19"/>
        <v>72689.300662055495</v>
      </c>
      <c r="G39" s="15">
        <f t="shared" si="6"/>
        <v>0.84838031276724102</v>
      </c>
      <c r="H39" s="13">
        <f t="shared" si="7"/>
        <v>916.92746377181595</v>
      </c>
      <c r="I39" s="13">
        <f t="shared" si="8"/>
        <v>21462.999607189504</v>
      </c>
      <c r="J39" s="15">
        <f t="shared" si="0"/>
        <v>0.15161968723275898</v>
      </c>
      <c r="K39" s="13">
        <f t="shared" si="9"/>
        <v>12990.788288804339</v>
      </c>
      <c r="L39" s="13">
        <f t="shared" si="20"/>
        <v>201462.70829773211</v>
      </c>
      <c r="M39" s="15">
        <f t="shared" si="10"/>
        <v>0.15161968723275901</v>
      </c>
      <c r="N39" s="13">
        <f t="shared" si="1"/>
        <v>345.99175810217474</v>
      </c>
      <c r="O39" s="13">
        <f t="shared" si="11"/>
        <v>8472.2113183851907</v>
      </c>
      <c r="P39" s="15">
        <f t="shared" si="2"/>
        <v>8.9984113974458574E-2</v>
      </c>
      <c r="Q39" s="7">
        <f t="shared" si="22"/>
        <v>94152.300269245025</v>
      </c>
      <c r="R39" s="7">
        <f t="shared" si="13"/>
        <v>85680.088950859834</v>
      </c>
      <c r="S39" s="13">
        <f>IF(Calc!$AD$32="Sim",R39,Q39)</f>
        <v>85680.088950859834</v>
      </c>
      <c r="T39" s="9">
        <f t="shared" si="14"/>
        <v>35</v>
      </c>
      <c r="U39" s="17">
        <f t="shared" ca="1" si="15"/>
        <v>46569</v>
      </c>
      <c r="V39" s="124">
        <f t="shared" si="21"/>
        <v>4286709.1930370051</v>
      </c>
      <c r="W39" s="68">
        <v>35</v>
      </c>
      <c r="X39" s="125">
        <f t="shared" ca="1" si="16"/>
        <v>58288</v>
      </c>
      <c r="Y39" s="5">
        <f t="shared" si="17"/>
        <v>420</v>
      </c>
      <c r="AA39" s="73" t="s">
        <v>2</v>
      </c>
      <c r="AB39" s="56" t="s">
        <v>61</v>
      </c>
      <c r="AC39" s="56" t="s">
        <v>4</v>
      </c>
      <c r="AD39" s="56" t="s">
        <v>46</v>
      </c>
      <c r="AE39" s="56" t="s">
        <v>44</v>
      </c>
      <c r="AF39" s="57" t="s">
        <v>45</v>
      </c>
    </row>
    <row r="40" spans="2:33" x14ac:dyDescent="0.2">
      <c r="B40" s="17">
        <f t="shared" ca="1" si="4"/>
        <v>46569</v>
      </c>
      <c r="C40" s="9">
        <f t="shared" si="18"/>
        <v>36</v>
      </c>
      <c r="D40" s="9">
        <v>3</v>
      </c>
      <c r="E40" s="13">
        <f t="shared" si="5"/>
        <v>1157.6250000000027</v>
      </c>
      <c r="F40" s="14">
        <f t="shared" si="19"/>
        <v>73846.925662055495</v>
      </c>
      <c r="G40" s="15">
        <f t="shared" si="6"/>
        <v>0.84511125650228258</v>
      </c>
      <c r="H40" s="13">
        <f t="shared" si="7"/>
        <v>937.53841914720022</v>
      </c>
      <c r="I40" s="13">
        <f t="shared" si="8"/>
        <v>22400.538026336704</v>
      </c>
      <c r="J40" s="15">
        <f t="shared" si="0"/>
        <v>0.15488874349771742</v>
      </c>
      <c r="K40" s="13">
        <f t="shared" si="9"/>
        <v>13534.380756333267</v>
      </c>
      <c r="L40" s="13">
        <f t="shared" si="20"/>
        <v>214997.08905406538</v>
      </c>
      <c r="M40" s="15">
        <f t="shared" si="10"/>
        <v>0.15488874349771742</v>
      </c>
      <c r="N40" s="13">
        <f t="shared" si="1"/>
        <v>353.69108433030823</v>
      </c>
      <c r="O40" s="13">
        <f t="shared" si="11"/>
        <v>8866.1572700034594</v>
      </c>
      <c r="P40" s="15">
        <f t="shared" si="2"/>
        <v>9.2118347125574679E-2</v>
      </c>
      <c r="Q40" s="7">
        <f t="shared" si="22"/>
        <v>96247.463688392221</v>
      </c>
      <c r="R40" s="7">
        <f t="shared" si="13"/>
        <v>87381.306418388762</v>
      </c>
      <c r="S40" s="13">
        <f>IF(Calc!$AD$32="Sim",R40,Q40)</f>
        <v>87381.306418388762</v>
      </c>
      <c r="T40" s="9">
        <f t="shared" si="14"/>
        <v>36</v>
      </c>
      <c r="U40" s="17">
        <f t="shared" ca="1" si="15"/>
        <v>46600</v>
      </c>
      <c r="V40" s="124">
        <f t="shared" si="21"/>
        <v>4690821.4330831142</v>
      </c>
      <c r="W40" s="68">
        <v>36</v>
      </c>
      <c r="X40" s="125">
        <f t="shared" ca="1" si="16"/>
        <v>58654</v>
      </c>
      <c r="Y40" s="5">
        <f t="shared" si="17"/>
        <v>432</v>
      </c>
      <c r="AA40" s="74">
        <v>5</v>
      </c>
      <c r="AB40" s="69">
        <f>AA40*12</f>
        <v>60</v>
      </c>
      <c r="AC40" s="70">
        <f ca="1">INDEX($U$5:$U$997,AB40,0)</f>
        <v>47331</v>
      </c>
      <c r="AD40" s="77">
        <f ca="1">INDEX($S$5:$S$997,MATCH(AC40,$U$5:$U$997,0),0)</f>
        <v>133105.66892095667</v>
      </c>
      <c r="AE40" s="80">
        <f t="shared" ref="AE40:AE49" si="23">INDEX($G$5:$G$997,AB40,0)</f>
        <v>0.7744975876219784</v>
      </c>
      <c r="AF40" s="81">
        <f t="shared" ref="AF40:AF49" si="24">INDEX($J$5:$J$997,AB40,0)</f>
        <v>0.2255024123780216</v>
      </c>
    </row>
    <row r="41" spans="2:33" x14ac:dyDescent="0.2">
      <c r="B41" s="17">
        <f t="shared" ca="1" si="4"/>
        <v>46600</v>
      </c>
      <c r="C41" s="9">
        <f t="shared" si="18"/>
        <v>37</v>
      </c>
      <c r="D41" s="9"/>
      <c r="E41" s="13">
        <f t="shared" si="5"/>
        <v>1162.3413075450487</v>
      </c>
      <c r="F41" s="14">
        <f t="shared" si="19"/>
        <v>75009.266969600547</v>
      </c>
      <c r="G41" s="15">
        <f t="shared" si="6"/>
        <v>0.84187450973465661</v>
      </c>
      <c r="H41" s="13">
        <f t="shared" si="7"/>
        <v>958.40138472770172</v>
      </c>
      <c r="I41" s="13">
        <f t="shared" si="8"/>
        <v>23358.939411064406</v>
      </c>
      <c r="J41" s="15">
        <f t="shared" si="0"/>
        <v>0.15812549026534339</v>
      </c>
      <c r="K41" s="13">
        <f t="shared" si="9"/>
        <v>14088.652140982915</v>
      </c>
      <c r="L41" s="13">
        <f t="shared" si="20"/>
        <v>229085.74119504829</v>
      </c>
      <c r="M41" s="15">
        <f t="shared" si="10"/>
        <v>0.15812549026534337</v>
      </c>
      <c r="N41" s="13">
        <f t="shared" si="1"/>
        <v>361.48440951177992</v>
      </c>
      <c r="O41" s="13">
        <f t="shared" si="11"/>
        <v>9270.287270081506</v>
      </c>
      <c r="P41" s="15">
        <f t="shared" si="2"/>
        <v>9.4240686205127891E-2</v>
      </c>
      <c r="Q41" s="7">
        <f t="shared" si="22"/>
        <v>98368.206380664968</v>
      </c>
      <c r="R41" s="7">
        <f t="shared" si="13"/>
        <v>89097.919110583462</v>
      </c>
      <c r="S41" s="13">
        <f>IF(Calc!$AD$32="Sim",R41,Q41)</f>
        <v>89097.919110583462</v>
      </c>
      <c r="T41" s="9">
        <f t="shared" si="14"/>
        <v>37</v>
      </c>
      <c r="U41" s="17">
        <f t="shared" ca="1" si="15"/>
        <v>46631</v>
      </c>
      <c r="V41" s="124">
        <f t="shared" si="21"/>
        <v>5129896.2134184595</v>
      </c>
      <c r="W41" s="68">
        <v>37</v>
      </c>
      <c r="X41" s="125">
        <f t="shared" ca="1" si="16"/>
        <v>59019</v>
      </c>
      <c r="Y41" s="5">
        <f t="shared" si="17"/>
        <v>444</v>
      </c>
      <c r="AA41" s="75">
        <v>10</v>
      </c>
      <c r="AB41" s="71">
        <f>AA41*12</f>
        <v>120</v>
      </c>
      <c r="AC41" s="72">
        <f t="shared" ref="AC41:AC49" ca="1" si="25">INDEX($U$5:$U$997,AB41,0)</f>
        <v>49157</v>
      </c>
      <c r="AD41" s="78">
        <f t="shared" ref="AD41:AD49" ca="1" si="26">INDEX($S$5:$S$997,MATCH(AC41,$U$5:$U$997,0),0)</f>
        <v>298490.80913825921</v>
      </c>
      <c r="AE41" s="82">
        <f t="shared" si="23"/>
        <v>0.63650889780073838</v>
      </c>
      <c r="AF41" s="83">
        <f t="shared" si="24"/>
        <v>0.36349110219926162</v>
      </c>
    </row>
    <row r="42" spans="2:33" x14ac:dyDescent="0.2">
      <c r="B42" s="17">
        <f t="shared" ca="1" si="4"/>
        <v>46631</v>
      </c>
      <c r="C42" s="9">
        <f t="shared" si="18"/>
        <v>38</v>
      </c>
      <c r="D42" s="9"/>
      <c r="E42" s="13">
        <f t="shared" si="5"/>
        <v>1167.0768299108349</v>
      </c>
      <c r="F42" s="14">
        <f t="shared" si="19"/>
        <v>76176.343799511378</v>
      </c>
      <c r="G42" s="15">
        <f t="shared" si="6"/>
        <v>0.83866902960840972</v>
      </c>
      <c r="H42" s="13">
        <f t="shared" si="7"/>
        <v>979.51906050880893</v>
      </c>
      <c r="I42" s="13">
        <f t="shared" si="8"/>
        <v>24338.458471573216</v>
      </c>
      <c r="J42" s="15">
        <f t="shared" si="0"/>
        <v>0.16133097039159028</v>
      </c>
      <c r="K42" s="13">
        <f t="shared" si="9"/>
        <v>14653.698935081484</v>
      </c>
      <c r="L42" s="13">
        <f t="shared" si="20"/>
        <v>243739.44013012978</v>
      </c>
      <c r="M42" s="15">
        <f t="shared" si="10"/>
        <v>0.16133097039159031</v>
      </c>
      <c r="N42" s="13">
        <f t="shared" si="1"/>
        <v>369.37274026883313</v>
      </c>
      <c r="O42" s="13">
        <f t="shared" si="11"/>
        <v>9684.7595364917506</v>
      </c>
      <c r="P42" s="15">
        <f t="shared" si="2"/>
        <v>9.6351575267216077E-2</v>
      </c>
      <c r="Q42" s="7">
        <f t="shared" si="22"/>
        <v>100514.80227108461</v>
      </c>
      <c r="R42" s="7">
        <f t="shared" si="13"/>
        <v>90830.042734592862</v>
      </c>
      <c r="S42" s="13">
        <f>IF(Calc!$AD$32="Sim",R42,Q42)</f>
        <v>90830.042734592862</v>
      </c>
      <c r="T42" s="9">
        <f t="shared" si="14"/>
        <v>38</v>
      </c>
      <c r="U42" s="17">
        <f t="shared" ca="1" si="15"/>
        <v>46661</v>
      </c>
      <c r="V42" s="124">
        <f t="shared" si="21"/>
        <v>5606829.1509243483</v>
      </c>
      <c r="W42" s="68">
        <v>38</v>
      </c>
      <c r="X42" s="125">
        <f t="shared" ca="1" si="16"/>
        <v>59384</v>
      </c>
      <c r="Y42" s="5">
        <f t="shared" si="17"/>
        <v>456</v>
      </c>
      <c r="AA42" s="75">
        <v>15</v>
      </c>
      <c r="AB42" s="71">
        <f t="shared" ref="AB42:AB49" si="27">AA42*12</f>
        <v>180</v>
      </c>
      <c r="AC42" s="72">
        <f t="shared" ca="1" si="25"/>
        <v>50983</v>
      </c>
      <c r="AD42" s="78">
        <f t="shared" ca="1" si="26"/>
        <v>567977.2229586537</v>
      </c>
      <c r="AE42" s="82">
        <f t="shared" si="23"/>
        <v>0.52978096766951255</v>
      </c>
      <c r="AF42" s="83">
        <f t="shared" si="24"/>
        <v>0.47021903233048745</v>
      </c>
    </row>
    <row r="43" spans="2:33" x14ac:dyDescent="0.2">
      <c r="B43" s="17">
        <f t="shared" ca="1" si="4"/>
        <v>46661</v>
      </c>
      <c r="C43" s="9">
        <f t="shared" si="18"/>
        <v>39</v>
      </c>
      <c r="D43" s="9"/>
      <c r="E43" s="13">
        <f t="shared" si="5"/>
        <v>1171.8316453809196</v>
      </c>
      <c r="F43" s="14">
        <f t="shared" si="19"/>
        <v>77348.175444892302</v>
      </c>
      <c r="G43" s="15">
        <f t="shared" si="6"/>
        <v>0.83549382923779025</v>
      </c>
      <c r="H43" s="13">
        <f t="shared" si="7"/>
        <v>1000.8941741480591</v>
      </c>
      <c r="I43" s="13">
        <f t="shared" si="8"/>
        <v>25339.352645721276</v>
      </c>
      <c r="J43" s="15">
        <f t="shared" si="0"/>
        <v>0.16450617076220975</v>
      </c>
      <c r="K43" s="13">
        <f t="shared" si="9"/>
        <v>15229.618355758503</v>
      </c>
      <c r="L43" s="13">
        <f t="shared" si="20"/>
        <v>258969.05848588829</v>
      </c>
      <c r="M43" s="15">
        <f t="shared" si="10"/>
        <v>0.16450617076220972</v>
      </c>
      <c r="N43" s="13">
        <f t="shared" si="1"/>
        <v>377.35709353501005</v>
      </c>
      <c r="O43" s="13">
        <f t="shared" si="11"/>
        <v>10109.734289962784</v>
      </c>
      <c r="P43" s="15">
        <f t="shared" si="2"/>
        <v>9.8451432982608625E-2</v>
      </c>
      <c r="Q43" s="7">
        <f t="shared" si="22"/>
        <v>102687.52809061359</v>
      </c>
      <c r="R43" s="7">
        <f t="shared" si="13"/>
        <v>92577.793800650805</v>
      </c>
      <c r="S43" s="13">
        <f>IF(Calc!$AD$32="Sim",R43,Q43)</f>
        <v>92577.793800650805</v>
      </c>
      <c r="T43" s="9">
        <f t="shared" si="14"/>
        <v>39</v>
      </c>
      <c r="U43" s="17">
        <f t="shared" ca="1" si="15"/>
        <v>46692</v>
      </c>
      <c r="V43" s="124">
        <f t="shared" si="21"/>
        <v>6124749.8714479543</v>
      </c>
      <c r="W43" s="68">
        <v>39</v>
      </c>
      <c r="X43" s="125">
        <f t="shared" ca="1" si="16"/>
        <v>59749</v>
      </c>
      <c r="Y43" s="5">
        <f t="shared" si="17"/>
        <v>468</v>
      </c>
      <c r="AA43" s="75">
        <v>20</v>
      </c>
      <c r="AB43" s="71">
        <f t="shared" si="27"/>
        <v>240</v>
      </c>
      <c r="AC43" s="72">
        <f t="shared" ca="1" si="25"/>
        <v>52810</v>
      </c>
      <c r="AD43" s="78">
        <f t="shared" ca="1" si="26"/>
        <v>996852.32943230704</v>
      </c>
      <c r="AE43" s="82">
        <f t="shared" si="23"/>
        <v>0.44385489200283479</v>
      </c>
      <c r="AF43" s="83">
        <f t="shared" si="24"/>
        <v>0.55614510799716521</v>
      </c>
    </row>
    <row r="44" spans="2:33" x14ac:dyDescent="0.2">
      <c r="B44" s="17">
        <f t="shared" ca="1" si="4"/>
        <v>46692</v>
      </c>
      <c r="C44" s="9">
        <f t="shared" si="18"/>
        <v>40</v>
      </c>
      <c r="D44" s="9"/>
      <c r="E44" s="13">
        <f t="shared" si="5"/>
        <v>1176.6058325577978</v>
      </c>
      <c r="F44" s="14">
        <f t="shared" si="19"/>
        <v>78524.781277450093</v>
      </c>
      <c r="G44" s="15">
        <f t="shared" si="6"/>
        <v>0.83234797391007542</v>
      </c>
      <c r="H44" s="13">
        <f t="shared" si="7"/>
        <v>1022.529481243651</v>
      </c>
      <c r="I44" s="13">
        <f t="shared" si="8"/>
        <v>26361.882126964927</v>
      </c>
      <c r="J44" s="15">
        <f t="shared" si="0"/>
        <v>0.16765202608992458</v>
      </c>
      <c r="K44" s="13">
        <f t="shared" si="9"/>
        <v>15816.508349974043</v>
      </c>
      <c r="L44" s="13">
        <f t="shared" si="20"/>
        <v>274785.56683586235</v>
      </c>
      <c r="M44" s="15">
        <f t="shared" si="10"/>
        <v>0.16765202608992458</v>
      </c>
      <c r="N44" s="13">
        <f t="shared" si="1"/>
        <v>385.43849665900024</v>
      </c>
      <c r="O44" s="13">
        <f t="shared" si="11"/>
        <v>10545.373776990891</v>
      </c>
      <c r="P44" s="15">
        <f t="shared" si="2"/>
        <v>0.10054065440456181</v>
      </c>
      <c r="Q44" s="7">
        <f t="shared" si="22"/>
        <v>104886.66340441503</v>
      </c>
      <c r="R44" s="7">
        <f t="shared" si="13"/>
        <v>94341.289627424136</v>
      </c>
      <c r="S44" s="13">
        <f>IF(Calc!$AD$32="Sim",R44,Q44)</f>
        <v>94341.289627424136</v>
      </c>
      <c r="T44" s="9">
        <f t="shared" si="14"/>
        <v>40</v>
      </c>
      <c r="U44" s="17">
        <f t="shared" ca="1" si="15"/>
        <v>46722</v>
      </c>
      <c r="V44" s="124">
        <f t="shared" si="21"/>
        <v>6687040.6485756859</v>
      </c>
      <c r="W44" s="68">
        <v>40</v>
      </c>
      <c r="X44" s="125">
        <f t="shared" ca="1" si="16"/>
        <v>60115</v>
      </c>
      <c r="Y44" s="5">
        <f t="shared" si="17"/>
        <v>480</v>
      </c>
      <c r="AA44" s="75">
        <v>25</v>
      </c>
      <c r="AB44" s="71">
        <f t="shared" si="27"/>
        <v>300</v>
      </c>
      <c r="AC44" s="72">
        <f t="shared" ca="1" si="25"/>
        <v>54636</v>
      </c>
      <c r="AD44" s="78">
        <f t="shared" ca="1" si="26"/>
        <v>1667725.2860024006</v>
      </c>
      <c r="AE44" s="82">
        <f t="shared" si="23"/>
        <v>0.37363520279833029</v>
      </c>
      <c r="AF44" s="83">
        <f t="shared" si="24"/>
        <v>0.62636479720166971</v>
      </c>
    </row>
    <row r="45" spans="2:33" x14ac:dyDescent="0.2">
      <c r="B45" s="17">
        <f t="shared" ca="1" si="4"/>
        <v>46722</v>
      </c>
      <c r="C45" s="9">
        <f t="shared" si="18"/>
        <v>41</v>
      </c>
      <c r="D45" s="9"/>
      <c r="E45" s="13">
        <f t="shared" si="5"/>
        <v>1181.3994703642009</v>
      </c>
      <c r="F45" s="14">
        <f t="shared" si="19"/>
        <v>79706.180747814287</v>
      </c>
      <c r="G45" s="15">
        <f t="shared" si="6"/>
        <v>0.82923057759393426</v>
      </c>
      <c r="H45" s="13">
        <f t="shared" si="7"/>
        <v>1044.4277656158456</v>
      </c>
      <c r="I45" s="13">
        <f t="shared" si="8"/>
        <v>27406.309892580772</v>
      </c>
      <c r="J45" s="15">
        <f t="shared" si="0"/>
        <v>0.17076942240606574</v>
      </c>
      <c r="K45" s="13">
        <f t="shared" si="9"/>
        <v>16414.467599581301</v>
      </c>
      <c r="L45" s="13">
        <f t="shared" si="20"/>
        <v>291200.03443544364</v>
      </c>
      <c r="M45" s="15">
        <f t="shared" si="10"/>
        <v>0.17076942240606574</v>
      </c>
      <c r="N45" s="13">
        <f t="shared" si="1"/>
        <v>393.61798750952806</v>
      </c>
      <c r="O45" s="13">
        <f t="shared" si="11"/>
        <v>10991.842292999485</v>
      </c>
      <c r="P45" s="15">
        <f t="shared" si="2"/>
        <v>0.10261961258936647</v>
      </c>
      <c r="Q45" s="7">
        <f t="shared" si="22"/>
        <v>107112.49064039507</v>
      </c>
      <c r="R45" s="7">
        <f t="shared" si="13"/>
        <v>96120.648347395589</v>
      </c>
      <c r="S45" s="13">
        <f>IF(Calc!$AD$32="Sim",R45,Q45)</f>
        <v>96120.648347395589</v>
      </c>
      <c r="T45" s="9">
        <f t="shared" si="14"/>
        <v>41</v>
      </c>
      <c r="U45" s="17">
        <f t="shared" ca="1" si="15"/>
        <v>46753</v>
      </c>
      <c r="V45" s="124">
        <f t="shared" si="21"/>
        <v>7297356.513865198</v>
      </c>
      <c r="W45" s="68">
        <v>41</v>
      </c>
      <c r="X45" s="125">
        <f t="shared" ca="1" si="16"/>
        <v>60480</v>
      </c>
      <c r="Y45" s="5">
        <f t="shared" si="17"/>
        <v>492</v>
      </c>
      <c r="AA45" s="75">
        <v>30</v>
      </c>
      <c r="AB45" s="71">
        <f>AA45*12</f>
        <v>360</v>
      </c>
      <c r="AC45" s="72">
        <f t="shared" ca="1" si="25"/>
        <v>56462</v>
      </c>
      <c r="AD45" s="78">
        <f t="shared" ca="1" si="26"/>
        <v>2703546.5506300251</v>
      </c>
      <c r="AE45" s="82">
        <f t="shared" si="23"/>
        <v>0.31576961348567806</v>
      </c>
      <c r="AF45" s="83">
        <f t="shared" si="24"/>
        <v>0.684230386514322</v>
      </c>
    </row>
    <row r="46" spans="2:33" x14ac:dyDescent="0.2">
      <c r="B46" s="17">
        <f t="shared" ca="1" si="4"/>
        <v>46753</v>
      </c>
      <c r="C46" s="9">
        <f t="shared" si="18"/>
        <v>42</v>
      </c>
      <c r="D46" s="9"/>
      <c r="E46" s="13">
        <f t="shared" si="5"/>
        <v>1186.2126380444013</v>
      </c>
      <c r="F46" s="14">
        <f t="shared" si="19"/>
        <v>80892.393385858682</v>
      </c>
      <c r="G46" s="15">
        <f t="shared" si="6"/>
        <v>0.82614079972502008</v>
      </c>
      <c r="H46" s="13">
        <f t="shared" si="7"/>
        <v>1066.5918395911808</v>
      </c>
      <c r="I46" s="13">
        <f t="shared" si="8"/>
        <v>28472.901732171951</v>
      </c>
      <c r="J46" s="15">
        <f t="shared" si="0"/>
        <v>0.17385920027497992</v>
      </c>
      <c r="K46" s="13">
        <f t="shared" si="9"/>
        <v>17023.595526423116</v>
      </c>
      <c r="L46" s="13">
        <f t="shared" si="20"/>
        <v>308223.62996186677</v>
      </c>
      <c r="M46" s="15">
        <f t="shared" si="10"/>
        <v>0.17385920027497995</v>
      </c>
      <c r="N46" s="13">
        <f t="shared" si="1"/>
        <v>401.89661458128955</v>
      </c>
      <c r="O46" s="13">
        <f t="shared" si="11"/>
        <v>11449.306205748857</v>
      </c>
      <c r="P46" s="15">
        <f t="shared" si="2"/>
        <v>0.10468866008538071</v>
      </c>
      <c r="Q46" s="7">
        <f t="shared" si="22"/>
        <v>109365.29511803066</v>
      </c>
      <c r="R46" s="7">
        <f t="shared" si="13"/>
        <v>97915.988912281799</v>
      </c>
      <c r="S46" s="13">
        <f>IF(Calc!$AD$32="Sim",R46,Q46)</f>
        <v>97915.988912281799</v>
      </c>
      <c r="T46" s="9">
        <f t="shared" si="14"/>
        <v>42</v>
      </c>
      <c r="U46" s="17">
        <f t="shared" ca="1" si="15"/>
        <v>46784</v>
      </c>
      <c r="V46" s="124">
        <f t="shared" si="21"/>
        <v>7959646.9540617624</v>
      </c>
      <c r="W46" s="68">
        <v>42</v>
      </c>
      <c r="X46" s="125">
        <f t="shared" ca="1" si="16"/>
        <v>60845</v>
      </c>
      <c r="Y46" s="5">
        <f t="shared" si="17"/>
        <v>504</v>
      </c>
      <c r="AA46" s="75">
        <v>35</v>
      </c>
      <c r="AB46" s="71">
        <f t="shared" si="27"/>
        <v>420</v>
      </c>
      <c r="AC46" s="72">
        <f t="shared" ca="1" si="25"/>
        <v>58288</v>
      </c>
      <c r="AD46" s="78">
        <f t="shared" ca="1" si="26"/>
        <v>4286709.1930370051</v>
      </c>
      <c r="AE46" s="82">
        <f t="shared" si="23"/>
        <v>0.26779959594760205</v>
      </c>
      <c r="AF46" s="83">
        <f t="shared" si="24"/>
        <v>0.73220040405239795</v>
      </c>
    </row>
    <row r="47" spans="2:33" x14ac:dyDescent="0.2">
      <c r="B47" s="17">
        <f t="shared" ca="1" si="4"/>
        <v>46784</v>
      </c>
      <c r="C47" s="9">
        <f t="shared" si="18"/>
        <v>43</v>
      </c>
      <c r="D47" s="9"/>
      <c r="E47" s="13">
        <f t="shared" si="5"/>
        <v>1191.0454151655222</v>
      </c>
      <c r="F47" s="14">
        <f t="shared" si="19"/>
        <v>82083.438801024211</v>
      </c>
      <c r="G47" s="15">
        <f t="shared" si="6"/>
        <v>0.8230778422434466</v>
      </c>
      <c r="H47" s="13">
        <f t="shared" si="7"/>
        <v>1089.0245442895291</v>
      </c>
      <c r="I47" s="13">
        <f t="shared" si="8"/>
        <v>29561.92627646148</v>
      </c>
      <c r="J47" s="15">
        <f t="shared" si="0"/>
        <v>0.1769221577565534</v>
      </c>
      <c r="K47" s="13">
        <f t="shared" si="9"/>
        <v>17643.992297462231</v>
      </c>
      <c r="L47" s="13">
        <f t="shared" si="20"/>
        <v>325867.62225932901</v>
      </c>
      <c r="M47" s="15">
        <f t="shared" si="10"/>
        <v>0.17692215775655343</v>
      </c>
      <c r="N47" s="13">
        <f t="shared" si="1"/>
        <v>410.27543710194863</v>
      </c>
      <c r="O47" s="13">
        <f t="shared" si="11"/>
        <v>11917.933978999266</v>
      </c>
      <c r="P47" s="15">
        <f t="shared" si="2"/>
        <v>0.10674813030283713</v>
      </c>
      <c r="Q47" s="7">
        <f t="shared" si="22"/>
        <v>111645.36507748571</v>
      </c>
      <c r="R47" s="7">
        <f t="shared" si="13"/>
        <v>99727.431098486442</v>
      </c>
      <c r="S47" s="13">
        <f>IF(Calc!$AD$32="Sim",R47,Q47)</f>
        <v>99727.431098486442</v>
      </c>
      <c r="T47" s="9">
        <f t="shared" si="14"/>
        <v>43</v>
      </c>
      <c r="U47" s="17">
        <f t="shared" ca="1" si="15"/>
        <v>46813</v>
      </c>
      <c r="V47" s="124">
        <f t="shared" si="21"/>
        <v>8678179.319863148</v>
      </c>
      <c r="W47" s="68">
        <v>43</v>
      </c>
      <c r="X47" s="125">
        <f t="shared" ca="1" si="16"/>
        <v>61210</v>
      </c>
      <c r="Y47" s="5">
        <f t="shared" si="17"/>
        <v>516</v>
      </c>
      <c r="AA47" s="75">
        <v>40</v>
      </c>
      <c r="AB47" s="71">
        <f t="shared" si="27"/>
        <v>480</v>
      </c>
      <c r="AC47" s="72">
        <f t="shared" ca="1" si="25"/>
        <v>60115</v>
      </c>
      <c r="AD47" s="78">
        <f t="shared" ca="1" si="26"/>
        <v>6687040.6485756859</v>
      </c>
      <c r="AE47" s="82">
        <f t="shared" si="23"/>
        <v>0.22783839125989255</v>
      </c>
      <c r="AF47" s="83">
        <f t="shared" si="24"/>
        <v>0.77216160874010742</v>
      </c>
    </row>
    <row r="48" spans="2:33" x14ac:dyDescent="0.2">
      <c r="B48" s="17">
        <f t="shared" ca="1" si="4"/>
        <v>46813</v>
      </c>
      <c r="C48" s="9">
        <f t="shared" si="18"/>
        <v>44</v>
      </c>
      <c r="D48" s="9"/>
      <c r="E48" s="13">
        <f t="shared" si="5"/>
        <v>1195.8978816188533</v>
      </c>
      <c r="F48" s="14">
        <f t="shared" si="19"/>
        <v>83279.336682643057</v>
      </c>
      <c r="G48" s="15">
        <f t="shared" si="6"/>
        <v>0.82004094686041362</v>
      </c>
      <c r="H48" s="13">
        <f t="shared" si="7"/>
        <v>1111.7287499140282</v>
      </c>
      <c r="I48" s="13">
        <f t="shared" si="8"/>
        <v>30673.655026375509</v>
      </c>
      <c r="J48" s="15">
        <f t="shared" si="0"/>
        <v>0.17995905313958638</v>
      </c>
      <c r="K48" s="13">
        <f t="shared" si="9"/>
        <v>18275.758829945742</v>
      </c>
      <c r="L48" s="13">
        <f t="shared" si="20"/>
        <v>344143.38108927477</v>
      </c>
      <c r="M48" s="15">
        <f t="shared" si="10"/>
        <v>0.17995905313958641</v>
      </c>
      <c r="N48" s="13">
        <f t="shared" si="1"/>
        <v>418.75552514020404</v>
      </c>
      <c r="O48" s="13">
        <f t="shared" si="11"/>
        <v>12397.896196429778</v>
      </c>
      <c r="P48" s="15">
        <f t="shared" si="2"/>
        <v>0.10879833877541428</v>
      </c>
      <c r="Q48" s="7">
        <f t="shared" si="22"/>
        <v>113952.99170901858</v>
      </c>
      <c r="R48" s="7">
        <f t="shared" si="13"/>
        <v>101555.0955125888</v>
      </c>
      <c r="S48" s="13">
        <f>IF(Calc!$AD$32="Sim",R48,Q48)</f>
        <v>101555.0955125888</v>
      </c>
      <c r="T48" s="9">
        <f t="shared" si="14"/>
        <v>44</v>
      </c>
      <c r="U48" s="17">
        <f t="shared" ca="1" si="15"/>
        <v>46844</v>
      </c>
      <c r="V48" s="124">
        <f t="shared" si="21"/>
        <v>9457564.0805413034</v>
      </c>
      <c r="W48" s="68">
        <v>44</v>
      </c>
      <c r="X48" s="125">
        <f t="shared" ca="1" si="16"/>
        <v>61576</v>
      </c>
      <c r="Y48" s="5">
        <f t="shared" si="17"/>
        <v>528</v>
      </c>
      <c r="AA48" s="75">
        <v>45</v>
      </c>
      <c r="AB48" s="71">
        <f t="shared" si="27"/>
        <v>540</v>
      </c>
      <c r="AC48" s="72">
        <f t="shared" ca="1" si="25"/>
        <v>61941</v>
      </c>
      <c r="AD48" s="78">
        <f t="shared" ca="1" si="26"/>
        <v>10302782.069233831</v>
      </c>
      <c r="AE48" s="82">
        <f t="shared" si="23"/>
        <v>0.19440550510878254</v>
      </c>
      <c r="AF48" s="83">
        <f t="shared" si="24"/>
        <v>0.80559449489121748</v>
      </c>
    </row>
    <row r="49" spans="2:32" x14ac:dyDescent="0.2">
      <c r="B49" s="17">
        <f t="shared" ca="1" si="4"/>
        <v>46844</v>
      </c>
      <c r="C49" s="9">
        <f t="shared" si="18"/>
        <v>45</v>
      </c>
      <c r="D49" s="9"/>
      <c r="E49" s="13">
        <f t="shared" si="5"/>
        <v>1200.7701176211713</v>
      </c>
      <c r="F49" s="14">
        <f t="shared" si="19"/>
        <v>84480.106800264228</v>
      </c>
      <c r="G49" s="15">
        <f t="shared" si="6"/>
        <v>0.81702939253356377</v>
      </c>
      <c r="H49" s="13">
        <f t="shared" si="7"/>
        <v>1134.7073560439096</v>
      </c>
      <c r="I49" s="13">
        <f t="shared" si="8"/>
        <v>31808.362382419418</v>
      </c>
      <c r="J49" s="15">
        <f t="shared" si="0"/>
        <v>0.18297060746643623</v>
      </c>
      <c r="K49" s="13">
        <f t="shared" si="9"/>
        <v>18918.99679660394</v>
      </c>
      <c r="L49" s="13">
        <f t="shared" si="20"/>
        <v>363062.37788587873</v>
      </c>
      <c r="M49" s="15">
        <f t="shared" si="10"/>
        <v>0.18297060746643623</v>
      </c>
      <c r="N49" s="13">
        <f t="shared" si="1"/>
        <v>427.33795971493703</v>
      </c>
      <c r="O49" s="13">
        <f t="shared" si="11"/>
        <v>12889.365585815496</v>
      </c>
      <c r="P49" s="15">
        <f t="shared" si="2"/>
        <v>0.11083958432342002</v>
      </c>
      <c r="Q49" s="7">
        <f t="shared" si="22"/>
        <v>116288.46918268366</v>
      </c>
      <c r="R49" s="7">
        <f t="shared" si="13"/>
        <v>103399.10359686817</v>
      </c>
      <c r="S49" s="13">
        <f>IF(Calc!$AD$32="Sim",R49,Q49)</f>
        <v>103399.10359686817</v>
      </c>
      <c r="T49" s="9">
        <f t="shared" si="14"/>
        <v>45</v>
      </c>
      <c r="U49" s="17">
        <f t="shared" ca="1" si="15"/>
        <v>46874</v>
      </c>
      <c r="V49" s="124">
        <f t="shared" si="21"/>
        <v>10302782.069233831</v>
      </c>
      <c r="W49" s="68">
        <v>45</v>
      </c>
      <c r="X49" s="125">
        <f t="shared" ca="1" si="16"/>
        <v>61941</v>
      </c>
      <c r="Y49" s="5">
        <f t="shared" si="17"/>
        <v>540</v>
      </c>
      <c r="AA49" s="76">
        <v>50</v>
      </c>
      <c r="AB49" s="19">
        <f t="shared" si="27"/>
        <v>600</v>
      </c>
      <c r="AC49" s="23">
        <f t="shared" ca="1" si="25"/>
        <v>63767</v>
      </c>
      <c r="AD49" s="79">
        <f t="shared" ca="1" si="26"/>
        <v>15720529.603704063</v>
      </c>
      <c r="AE49" s="84">
        <f t="shared" si="23"/>
        <v>0.16632435253636571</v>
      </c>
      <c r="AF49" s="85">
        <f t="shared" si="24"/>
        <v>0.83367564746363432</v>
      </c>
    </row>
    <row r="50" spans="2:32" x14ac:dyDescent="0.2">
      <c r="B50" s="17">
        <f t="shared" ca="1" si="4"/>
        <v>46874</v>
      </c>
      <c r="C50" s="9">
        <f t="shared" si="18"/>
        <v>46</v>
      </c>
      <c r="D50" s="9"/>
      <c r="E50" s="13">
        <f t="shared" si="5"/>
        <v>1205.662203716066</v>
      </c>
      <c r="F50" s="14">
        <f t="shared" si="19"/>
        <v>85685.769003980298</v>
      </c>
      <c r="G50" s="15">
        <f t="shared" si="6"/>
        <v>0.81404249313270571</v>
      </c>
      <c r="H50" s="13">
        <f t="shared" si="7"/>
        <v>1157.9632919302587</v>
      </c>
      <c r="I50" s="13">
        <f t="shared" si="8"/>
        <v>32966.325674349675</v>
      </c>
      <c r="J50" s="15">
        <f t="shared" si="0"/>
        <v>0.18595750686729429</v>
      </c>
      <c r="K50" s="13">
        <f t="shared" si="9"/>
        <v>19573.808630883723</v>
      </c>
      <c r="L50" s="13">
        <f t="shared" si="20"/>
        <v>382636.18651676248</v>
      </c>
      <c r="M50" s="15">
        <f t="shared" si="10"/>
        <v>0.18595750686729429</v>
      </c>
      <c r="N50" s="13">
        <f t="shared" si="1"/>
        <v>436.02383290545038</v>
      </c>
      <c r="O50" s="13">
        <f t="shared" si="11"/>
        <v>13392.517043465967</v>
      </c>
      <c r="P50" s="15">
        <f t="shared" si="2"/>
        <v>0.11287215012742551</v>
      </c>
      <c r="Q50" s="7">
        <f t="shared" si="22"/>
        <v>118652.09467832999</v>
      </c>
      <c r="R50" s="7">
        <f t="shared" si="13"/>
        <v>105259.57763486402</v>
      </c>
      <c r="S50" s="13">
        <f>IF(Calc!$AD$32="Sim",R50,Q50)</f>
        <v>105259.57763486402</v>
      </c>
      <c r="T50" s="9">
        <f t="shared" si="14"/>
        <v>46</v>
      </c>
      <c r="U50" s="17">
        <f t="shared" ca="1" si="15"/>
        <v>46905</v>
      </c>
      <c r="V50" s="124">
        <f t="shared" si="21"/>
        <v>11219213.875042828</v>
      </c>
      <c r="W50" s="68">
        <v>46</v>
      </c>
      <c r="X50" s="125">
        <f t="shared" ca="1" si="16"/>
        <v>62306</v>
      </c>
      <c r="Y50" s="5">
        <f t="shared" si="17"/>
        <v>552</v>
      </c>
    </row>
    <row r="51" spans="2:32" x14ac:dyDescent="0.2">
      <c r="B51" s="17">
        <f t="shared" ca="1" si="4"/>
        <v>46905</v>
      </c>
      <c r="C51" s="9">
        <f t="shared" si="18"/>
        <v>47</v>
      </c>
      <c r="D51" s="9"/>
      <c r="E51" s="13">
        <f t="shared" si="5"/>
        <v>1210.5742207752714</v>
      </c>
      <c r="F51" s="14">
        <f t="shared" si="19"/>
        <v>86896.343224755576</v>
      </c>
      <c r="G51" s="15">
        <f t="shared" si="6"/>
        <v>0.81107959527936202</v>
      </c>
      <c r="H51" s="13">
        <f t="shared" si="7"/>
        <v>1181.4995167947311</v>
      </c>
      <c r="I51" s="13">
        <f t="shared" si="8"/>
        <v>34147.825191144409</v>
      </c>
      <c r="J51" s="15">
        <f t="shared" si="0"/>
        <v>0.18892040472063798</v>
      </c>
      <c r="K51" s="13">
        <f t="shared" si="9"/>
        <v>20240.29753221682</v>
      </c>
      <c r="L51" s="13">
        <f t="shared" si="20"/>
        <v>402876.4840489793</v>
      </c>
      <c r="M51" s="15">
        <f t="shared" si="10"/>
        <v>0.18892040472063795</v>
      </c>
      <c r="N51" s="13">
        <f t="shared" si="1"/>
        <v>444.81424796281073</v>
      </c>
      <c r="O51" s="13">
        <f t="shared" si="11"/>
        <v>13907.527658927604</v>
      </c>
      <c r="P51" s="15">
        <f t="shared" si="2"/>
        <v>0.11489630472029211</v>
      </c>
      <c r="Q51" s="7">
        <f t="shared" si="22"/>
        <v>121044.1684159</v>
      </c>
      <c r="R51" s="7">
        <f t="shared" si="13"/>
        <v>107136.6407569724</v>
      </c>
      <c r="S51" s="13">
        <f>IF(Calc!$AD$32="Sim",R51,Q51)</f>
        <v>107136.6407569724</v>
      </c>
      <c r="T51" s="9">
        <f t="shared" si="14"/>
        <v>47</v>
      </c>
      <c r="U51" s="17">
        <f t="shared" ca="1" si="15"/>
        <v>46935</v>
      </c>
      <c r="V51" s="124">
        <f t="shared" si="21"/>
        <v>12212671.550286982</v>
      </c>
      <c r="W51" s="68">
        <v>47</v>
      </c>
      <c r="X51" s="125">
        <f t="shared" ca="1" si="16"/>
        <v>62671</v>
      </c>
      <c r="Y51" s="5">
        <f t="shared" si="17"/>
        <v>564</v>
      </c>
    </row>
    <row r="52" spans="2:32" x14ac:dyDescent="0.2">
      <c r="B52" s="17">
        <f t="shared" ca="1" si="4"/>
        <v>46935</v>
      </c>
      <c r="C52" s="9">
        <f t="shared" si="18"/>
        <v>48</v>
      </c>
      <c r="D52" s="9">
        <v>4</v>
      </c>
      <c r="E52" s="13">
        <f t="shared" si="5"/>
        <v>1215.5062500000035</v>
      </c>
      <c r="F52" s="14">
        <f t="shared" si="19"/>
        <v>88111.849474755581</v>
      </c>
      <c r="G52" s="15">
        <f t="shared" si="6"/>
        <v>0.80814007634522367</v>
      </c>
      <c r="H52" s="13">
        <f t="shared" si="7"/>
        <v>1205.3190201312575</v>
      </c>
      <c r="I52" s="13">
        <f t="shared" si="8"/>
        <v>35353.14421127567</v>
      </c>
      <c r="J52" s="15">
        <f t="shared" si="0"/>
        <v>0.19185992365477633</v>
      </c>
      <c r="K52" s="13">
        <f t="shared" si="9"/>
        <v>20918.567471323084</v>
      </c>
      <c r="L52" s="13">
        <f t="shared" si="20"/>
        <v>423795.05152030237</v>
      </c>
      <c r="M52" s="15">
        <f t="shared" si="10"/>
        <v>0.19185992365477633</v>
      </c>
      <c r="N52" s="13">
        <f t="shared" si="1"/>
        <v>453.71031942230417</v>
      </c>
      <c r="O52" s="13">
        <f t="shared" si="11"/>
        <v>14434.576739952594</v>
      </c>
      <c r="P52" s="15">
        <f t="shared" si="2"/>
        <v>0.11691230290473592</v>
      </c>
      <c r="Q52" s="7">
        <f t="shared" si="22"/>
        <v>123464.99368603126</v>
      </c>
      <c r="R52" s="7">
        <f t="shared" si="13"/>
        <v>109030.41694607867</v>
      </c>
      <c r="S52" s="13">
        <f>IF(Calc!$AD$32="Sim",R52,Q52)</f>
        <v>109030.41694607867</v>
      </c>
      <c r="T52" s="9">
        <f t="shared" si="14"/>
        <v>48</v>
      </c>
      <c r="U52" s="17">
        <f t="shared" ca="1" si="15"/>
        <v>46966</v>
      </c>
      <c r="V52" s="124">
        <f t="shared" si="21"/>
        <v>13289432.814414026</v>
      </c>
      <c r="W52" s="68">
        <v>48</v>
      </c>
      <c r="X52" s="125">
        <f t="shared" ca="1" si="16"/>
        <v>63037</v>
      </c>
      <c r="Y52" s="5">
        <f t="shared" si="17"/>
        <v>576</v>
      </c>
    </row>
    <row r="53" spans="2:32" x14ac:dyDescent="0.2">
      <c r="B53" s="17">
        <f t="shared" ca="1" si="4"/>
        <v>46966</v>
      </c>
      <c r="C53" s="9">
        <f t="shared" si="18"/>
        <v>49</v>
      </c>
      <c r="D53" s="9"/>
      <c r="E53" s="13">
        <f t="shared" si="5"/>
        <v>1220.4583729223018</v>
      </c>
      <c r="F53" s="14">
        <f t="shared" si="19"/>
        <v>89332.30784767789</v>
      </c>
      <c r="G53" s="15">
        <f t="shared" si="6"/>
        <v>0.80522334259603712</v>
      </c>
      <c r="H53" s="13">
        <f t="shared" si="7"/>
        <v>1229.4248220107665</v>
      </c>
      <c r="I53" s="13">
        <f t="shared" si="8"/>
        <v>36582.56903328644</v>
      </c>
      <c r="J53" s="15">
        <f t="shared" si="0"/>
        <v>0.19477665740396288</v>
      </c>
      <c r="K53" s="13">
        <f t="shared" si="9"/>
        <v>21608.723195549013</v>
      </c>
      <c r="L53" s="13">
        <f t="shared" si="20"/>
        <v>445403.77471585141</v>
      </c>
      <c r="M53" s="15">
        <f t="shared" si="10"/>
        <v>0.19477665740396286</v>
      </c>
      <c r="N53" s="13">
        <f t="shared" si="1"/>
        <v>462.7131732170165</v>
      </c>
      <c r="O53" s="13">
        <f t="shared" si="11"/>
        <v>14973.845837737434</v>
      </c>
      <c r="P53" s="15">
        <f t="shared" si="2"/>
        <v>0.11892038660287299</v>
      </c>
      <c r="Q53" s="7">
        <f t="shared" si="22"/>
        <v>125914.87688096434</v>
      </c>
      <c r="R53" s="7">
        <f t="shared" si="13"/>
        <v>110941.0310432269</v>
      </c>
      <c r="S53" s="13">
        <f>IF(Calc!$AD$32="Sim",R53,Q53)</f>
        <v>110941.0310432269</v>
      </c>
      <c r="T53" s="9">
        <f t="shared" si="14"/>
        <v>49</v>
      </c>
      <c r="U53" s="17">
        <f t="shared" ca="1" si="15"/>
        <v>46997</v>
      </c>
      <c r="V53" s="124">
        <f t="shared" si="21"/>
        <v>14456277.95026839</v>
      </c>
      <c r="W53" s="68">
        <v>49</v>
      </c>
      <c r="X53" s="125">
        <f t="shared" ca="1" si="16"/>
        <v>63402</v>
      </c>
      <c r="Y53" s="5">
        <f t="shared" si="17"/>
        <v>588</v>
      </c>
    </row>
    <row r="54" spans="2:32" x14ac:dyDescent="0.2">
      <c r="B54" s="17">
        <f t="shared" ca="1" si="4"/>
        <v>46997</v>
      </c>
      <c r="C54" s="9">
        <f t="shared" si="18"/>
        <v>50</v>
      </c>
      <c r="D54" s="9"/>
      <c r="E54" s="13">
        <f t="shared" si="5"/>
        <v>1225.4306714063773</v>
      </c>
      <c r="F54" s="14">
        <f t="shared" si="19"/>
        <v>90557.738519084261</v>
      </c>
      <c r="G54" s="15">
        <f t="shared" si="6"/>
        <v>0.80232882746874179</v>
      </c>
      <c r="H54" s="13">
        <f t="shared" si="7"/>
        <v>1253.8199733889546</v>
      </c>
      <c r="I54" s="13">
        <f t="shared" si="8"/>
        <v>37836.389006675396</v>
      </c>
      <c r="J54" s="15">
        <f t="shared" si="0"/>
        <v>0.19767117253125821</v>
      </c>
      <c r="K54" s="13">
        <f t="shared" si="9"/>
        <v>22310.870234241796</v>
      </c>
      <c r="L54" s="13">
        <f t="shared" si="20"/>
        <v>467714.64495009324</v>
      </c>
      <c r="M54" s="15">
        <f t="shared" si="10"/>
        <v>0.19767117253125821</v>
      </c>
      <c r="N54" s="13">
        <f t="shared" si="1"/>
        <v>471.82394679254946</v>
      </c>
      <c r="O54" s="13">
        <f t="shared" si="11"/>
        <v>15525.518772433599</v>
      </c>
      <c r="P54" s="15">
        <f t="shared" si="2"/>
        <v>0.12092078564355462</v>
      </c>
      <c r="Q54" s="7">
        <f t="shared" si="22"/>
        <v>128394.12752575966</v>
      </c>
      <c r="R54" s="7">
        <f t="shared" si="13"/>
        <v>112868.60875332606</v>
      </c>
      <c r="S54" s="13">
        <f>IF(Calc!$AD$32="Sim",R54,Q54)</f>
        <v>112868.60875332606</v>
      </c>
      <c r="T54" s="9">
        <f t="shared" si="14"/>
        <v>50</v>
      </c>
      <c r="U54" s="17">
        <f t="shared" ca="1" si="15"/>
        <v>47027</v>
      </c>
      <c r="V54" s="124">
        <f t="shared" si="21"/>
        <v>15720529.603704063</v>
      </c>
      <c r="W54" s="68">
        <v>50</v>
      </c>
      <c r="X54" s="125">
        <f t="shared" ca="1" si="16"/>
        <v>63767</v>
      </c>
      <c r="Y54" s="5">
        <f t="shared" si="17"/>
        <v>600</v>
      </c>
    </row>
    <row r="55" spans="2:32" x14ac:dyDescent="0.2">
      <c r="B55" s="17">
        <f t="shared" ca="1" si="4"/>
        <v>47027</v>
      </c>
      <c r="C55" s="9">
        <f t="shared" si="18"/>
        <v>51</v>
      </c>
      <c r="D55" s="9"/>
      <c r="E55" s="13">
        <f t="shared" si="5"/>
        <v>1230.4232276499663</v>
      </c>
      <c r="F55" s="14">
        <f t="shared" si="19"/>
        <v>91788.161746734229</v>
      </c>
      <c r="G55" s="15">
        <f t="shared" si="6"/>
        <v>0.79945598997082612</v>
      </c>
      <c r="H55" s="13">
        <f t="shared" si="7"/>
        <v>1278.5075564171341</v>
      </c>
      <c r="I55" s="13">
        <f t="shared" si="8"/>
        <v>39114.89656309253</v>
      </c>
      <c r="J55" s="15">
        <f t="shared" si="0"/>
        <v>0.20054401002917388</v>
      </c>
      <c r="K55" s="13">
        <f t="shared" si="9"/>
        <v>23025.114904159054</v>
      </c>
      <c r="L55" s="13">
        <f t="shared" si="20"/>
        <v>490739.75985425228</v>
      </c>
      <c r="M55" s="15">
        <f t="shared" si="10"/>
        <v>0.20054401002917385</v>
      </c>
      <c r="N55" s="13">
        <f t="shared" si="1"/>
        <v>481.04378922288464</v>
      </c>
      <c r="O55" s="13">
        <f t="shared" si="11"/>
        <v>16089.781658933469</v>
      </c>
      <c r="P55" s="15">
        <f t="shared" si="2"/>
        <v>0.12291371849274529</v>
      </c>
      <c r="Q55" s="7">
        <f t="shared" si="22"/>
        <v>130903.05830982675</v>
      </c>
      <c r="R55" s="7">
        <f t="shared" si="13"/>
        <v>114813.27665089328</v>
      </c>
      <c r="S55" s="13">
        <f>IF(Calc!$AD$32="Sim",R55,Q55)</f>
        <v>114813.27665089328</v>
      </c>
      <c r="T55" s="9">
        <f t="shared" si="14"/>
        <v>51</v>
      </c>
      <c r="U55" s="17">
        <f t="shared" ca="1" si="15"/>
        <v>47058</v>
      </c>
      <c r="V55" s="22"/>
      <c r="W55" s="22"/>
      <c r="X55" s="22"/>
    </row>
    <row r="56" spans="2:32" x14ac:dyDescent="0.2">
      <c r="B56" s="17">
        <f t="shared" ca="1" si="4"/>
        <v>47058</v>
      </c>
      <c r="C56" s="9">
        <f t="shared" si="18"/>
        <v>52</v>
      </c>
      <c r="D56" s="9"/>
      <c r="E56" s="13">
        <f t="shared" si="5"/>
        <v>1235.4361241856884</v>
      </c>
      <c r="F56" s="14">
        <f t="shared" si="19"/>
        <v>93023.597870919912</v>
      </c>
      <c r="G56" s="15">
        <f t="shared" si="6"/>
        <v>0.79660431319190406</v>
      </c>
      <c r="H56" s="13">
        <f t="shared" si="7"/>
        <v>1303.4906847561915</v>
      </c>
      <c r="I56" s="13">
        <f t="shared" si="8"/>
        <v>40418.387247848725</v>
      </c>
      <c r="J56" s="15">
        <f t="shared" si="0"/>
        <v>0.20339568680809594</v>
      </c>
      <c r="K56" s="13">
        <f t="shared" si="9"/>
        <v>23751.564314914605</v>
      </c>
      <c r="L56" s="13">
        <f t="shared" si="20"/>
        <v>514491.32416916685</v>
      </c>
      <c r="M56" s="15">
        <f t="shared" si="10"/>
        <v>0.20339568680809594</v>
      </c>
      <c r="N56" s="13">
        <f t="shared" si="1"/>
        <v>490.37386132740545</v>
      </c>
      <c r="O56" s="13">
        <f t="shared" si="11"/>
        <v>16666.822932934127</v>
      </c>
      <c r="P56" s="15">
        <f t="shared" si="2"/>
        <v>0.12489939293169233</v>
      </c>
      <c r="Q56" s="7">
        <f t="shared" si="22"/>
        <v>133441.98511876864</v>
      </c>
      <c r="R56" s="7">
        <f t="shared" si="13"/>
        <v>116775.16218583452</v>
      </c>
      <c r="S56" s="13">
        <f>IF(Calc!$AD$32="Sim",R56,Q56)</f>
        <v>116775.16218583452</v>
      </c>
      <c r="T56" s="9">
        <f t="shared" si="14"/>
        <v>52</v>
      </c>
      <c r="U56" s="17">
        <f t="shared" ca="1" si="15"/>
        <v>47088</v>
      </c>
      <c r="V56" s="22"/>
      <c r="W56" s="22"/>
      <c r="X56" s="22"/>
    </row>
    <row r="57" spans="2:32" x14ac:dyDescent="0.2">
      <c r="B57" s="17">
        <f t="shared" ca="1" si="4"/>
        <v>47088</v>
      </c>
      <c r="C57" s="9">
        <f t="shared" si="18"/>
        <v>53</v>
      </c>
      <c r="D57" s="9"/>
      <c r="E57" s="13">
        <f t="shared" si="5"/>
        <v>1240.4694438824117</v>
      </c>
      <c r="F57" s="14">
        <f t="shared" si="19"/>
        <v>94264.06731480232</v>
      </c>
      <c r="G57" s="15">
        <f t="shared" si="6"/>
        <v>0.79377330291843606</v>
      </c>
      <c r="H57" s="13">
        <f t="shared" si="7"/>
        <v>1328.7725038936828</v>
      </c>
      <c r="I57" s="13">
        <f t="shared" si="8"/>
        <v>41747.159751742409</v>
      </c>
      <c r="J57" s="15">
        <f t="shared" si="0"/>
        <v>0.20622669708156394</v>
      </c>
      <c r="K57" s="13">
        <f t="shared" si="9"/>
        <v>24490.326374460361</v>
      </c>
      <c r="L57" s="13">
        <f t="shared" si="20"/>
        <v>538981.65054362721</v>
      </c>
      <c r="M57" s="15">
        <f t="shared" si="10"/>
        <v>0.20622669708156391</v>
      </c>
      <c r="N57" s="13">
        <f t="shared" si="1"/>
        <v>499.81533578908972</v>
      </c>
      <c r="O57" s="13">
        <f t="shared" si="11"/>
        <v>17256.833377282048</v>
      </c>
      <c r="P57" s="15">
        <f t="shared" si="2"/>
        <v>0.12687800668719051</v>
      </c>
      <c r="Q57" s="7">
        <f t="shared" si="22"/>
        <v>136011.22706654473</v>
      </c>
      <c r="R57" s="7">
        <f t="shared" si="13"/>
        <v>118754.39368926268</v>
      </c>
      <c r="S57" s="13">
        <f>IF(Calc!$AD$32="Sim",R57,Q57)</f>
        <v>118754.39368926268</v>
      </c>
      <c r="T57" s="9">
        <f t="shared" si="14"/>
        <v>53</v>
      </c>
      <c r="U57" s="17">
        <f t="shared" ca="1" si="15"/>
        <v>47119</v>
      </c>
      <c r="V57" s="22"/>
      <c r="W57" s="22"/>
      <c r="X57" s="22"/>
    </row>
    <row r="58" spans="2:32" x14ac:dyDescent="0.2">
      <c r="B58" s="17">
        <f t="shared" ca="1" si="4"/>
        <v>47119</v>
      </c>
      <c r="C58" s="9">
        <f t="shared" si="18"/>
        <v>54</v>
      </c>
      <c r="D58" s="9"/>
      <c r="E58" s="13">
        <f t="shared" si="5"/>
        <v>1245.5232699466221</v>
      </c>
      <c r="F58" s="14">
        <f t="shared" si="19"/>
        <v>95509.590584748948</v>
      </c>
      <c r="G58" s="15">
        <f t="shared" si="6"/>
        <v>0.79096248634334965</v>
      </c>
      <c r="H58" s="13">
        <f t="shared" si="7"/>
        <v>1354.356191464102</v>
      </c>
      <c r="I58" s="13">
        <f t="shared" si="8"/>
        <v>43101.515943206512</v>
      </c>
      <c r="J58" s="15">
        <f t="shared" si="0"/>
        <v>0.20903751365665035</v>
      </c>
      <c r="K58" s="13">
        <f t="shared" si="9"/>
        <v>25241.509794604703</v>
      </c>
      <c r="L58" s="13">
        <f t="shared" si="20"/>
        <v>564223.16033823194</v>
      </c>
      <c r="M58" s="15">
        <f t="shared" si="10"/>
        <v>0.20903751365665041</v>
      </c>
      <c r="N58" s="13">
        <f t="shared" si="1"/>
        <v>509.36939727388449</v>
      </c>
      <c r="O58" s="13">
        <f t="shared" si="11"/>
        <v>17860.006148601795</v>
      </c>
      <c r="P58" s="15">
        <f t="shared" si="2"/>
        <v>0.12884974801784546</v>
      </c>
      <c r="Q58" s="7">
        <f t="shared" si="22"/>
        <v>138611.10652795545</v>
      </c>
      <c r="R58" s="7">
        <f t="shared" si="13"/>
        <v>120751.10037935365</v>
      </c>
      <c r="S58" s="13">
        <f>IF(Calc!$AD$32="Sim",R58,Q58)</f>
        <v>120751.10037935365</v>
      </c>
      <c r="T58" s="9">
        <f t="shared" si="14"/>
        <v>54</v>
      </c>
      <c r="U58" s="17">
        <f t="shared" ca="1" si="15"/>
        <v>47150</v>
      </c>
      <c r="V58" s="22"/>
      <c r="W58" s="22"/>
      <c r="X58" s="22"/>
    </row>
    <row r="59" spans="2:32" x14ac:dyDescent="0.2">
      <c r="B59" s="17">
        <f t="shared" ca="1" si="4"/>
        <v>47150</v>
      </c>
      <c r="C59" s="9">
        <f t="shared" si="18"/>
        <v>55</v>
      </c>
      <c r="D59" s="9"/>
      <c r="E59" s="13">
        <f t="shared" si="5"/>
        <v>1250.5976859237992</v>
      </c>
      <c r="F59" s="14">
        <f t="shared" si="19"/>
        <v>96760.188270672748</v>
      </c>
      <c r="G59" s="15">
        <f t="shared" si="6"/>
        <v>0.78817141086305731</v>
      </c>
      <c r="H59" s="13">
        <f t="shared" si="7"/>
        <v>1380.2449575723526</v>
      </c>
      <c r="I59" s="13">
        <f t="shared" si="8"/>
        <v>44481.760900778863</v>
      </c>
      <c r="J59" s="15">
        <f t="shared" si="0"/>
        <v>0.21182858913694269</v>
      </c>
      <c r="K59" s="13">
        <f t="shared" si="9"/>
        <v>26005.224096567472</v>
      </c>
      <c r="L59" s="13">
        <f t="shared" si="20"/>
        <v>590228.38443479943</v>
      </c>
      <c r="M59" s="15">
        <f t="shared" si="10"/>
        <v>0.21182858913694269</v>
      </c>
      <c r="N59" s="13">
        <f t="shared" si="1"/>
        <v>519.03724255127429</v>
      </c>
      <c r="O59" s="13">
        <f t="shared" si="11"/>
        <v>18476.53680421137</v>
      </c>
      <c r="P59" s="15">
        <f t="shared" si="2"/>
        <v>0.13081479625987719</v>
      </c>
      <c r="Q59" s="7">
        <f t="shared" si="22"/>
        <v>141241.94917145159</v>
      </c>
      <c r="R59" s="7">
        <f t="shared" si="13"/>
        <v>122765.41236724022</v>
      </c>
      <c r="S59" s="13">
        <f>IF(Calc!$AD$32="Sim",R59,Q59)</f>
        <v>122765.41236724022</v>
      </c>
      <c r="T59" s="9">
        <f t="shared" si="14"/>
        <v>55</v>
      </c>
      <c r="U59" s="17">
        <f t="shared" ca="1" si="15"/>
        <v>47178</v>
      </c>
      <c r="V59" s="22"/>
      <c r="W59" s="22"/>
      <c r="X59" s="22"/>
    </row>
    <row r="60" spans="2:32" x14ac:dyDescent="0.2">
      <c r="B60" s="17">
        <f t="shared" ca="1" si="4"/>
        <v>47178</v>
      </c>
      <c r="C60" s="9">
        <f t="shared" si="18"/>
        <v>56</v>
      </c>
      <c r="D60" s="9"/>
      <c r="E60" s="13">
        <f t="shared" si="5"/>
        <v>1255.692775699797</v>
      </c>
      <c r="F60" s="14">
        <f t="shared" si="19"/>
        <v>98015.881046372539</v>
      </c>
      <c r="G60" s="15">
        <f t="shared" si="6"/>
        <v>0.78539964295504261</v>
      </c>
      <c r="H60" s="13">
        <f t="shared" si="7"/>
        <v>1406.4420451204528</v>
      </c>
      <c r="I60" s="13">
        <f t="shared" si="8"/>
        <v>45888.202945899313</v>
      </c>
      <c r="J60" s="15">
        <f t="shared" si="0"/>
        <v>0.21460035704495739</v>
      </c>
      <c r="K60" s="13">
        <f t="shared" si="9"/>
        <v>26781.579616571893</v>
      </c>
      <c r="L60" s="13">
        <f t="shared" si="20"/>
        <v>617009.96405137132</v>
      </c>
      <c r="M60" s="15">
        <f t="shared" si="10"/>
        <v>0.21460035704495733</v>
      </c>
      <c r="N60" s="13">
        <f t="shared" si="1"/>
        <v>528.82008061605484</v>
      </c>
      <c r="O60" s="13">
        <f t="shared" si="11"/>
        <v>19106.623329327427</v>
      </c>
      <c r="P60" s="15">
        <f t="shared" si="2"/>
        <v>0.1327733223356852</v>
      </c>
      <c r="Q60" s="7">
        <f t="shared" si="22"/>
        <v>143904.08399227186</v>
      </c>
      <c r="R60" s="7">
        <f t="shared" si="13"/>
        <v>124797.46066294443</v>
      </c>
      <c r="S60" s="13">
        <f>IF(Calc!$AD$32="Sim",R60,Q60)</f>
        <v>124797.46066294443</v>
      </c>
      <c r="T60" s="9">
        <f t="shared" si="14"/>
        <v>56</v>
      </c>
      <c r="U60" s="17">
        <f t="shared" ca="1" si="15"/>
        <v>47209</v>
      </c>
      <c r="V60" s="22"/>
      <c r="W60" s="22"/>
      <c r="X60" s="22"/>
    </row>
    <row r="61" spans="2:32" x14ac:dyDescent="0.2">
      <c r="B61" s="17">
        <f t="shared" ca="1" si="4"/>
        <v>47209</v>
      </c>
      <c r="C61" s="9">
        <f t="shared" si="18"/>
        <v>57</v>
      </c>
      <c r="D61" s="9"/>
      <c r="E61" s="13">
        <f t="shared" si="5"/>
        <v>1260.8086235022311</v>
      </c>
      <c r="F61" s="14">
        <f t="shared" si="19"/>
        <v>99276.689669874773</v>
      </c>
      <c r="G61" s="15">
        <f t="shared" si="6"/>
        <v>0.78264676712978465</v>
      </c>
      <c r="H61" s="13">
        <f t="shared" si="7"/>
        <v>1432.9507301375072</v>
      </c>
      <c r="I61" s="13">
        <f t="shared" si="8"/>
        <v>47321.153676036818</v>
      </c>
      <c r="J61" s="15">
        <f t="shared" si="0"/>
        <v>0.21735323287021535</v>
      </c>
      <c r="K61" s="13">
        <f t="shared" si="9"/>
        <v>27570.687511473676</v>
      </c>
      <c r="L61" s="13">
        <f t="shared" si="20"/>
        <v>644580.65156284499</v>
      </c>
      <c r="M61" s="15">
        <f t="shared" si="10"/>
        <v>0.21735323287021541</v>
      </c>
      <c r="N61" s="13">
        <f t="shared" si="1"/>
        <v>538.71913281132481</v>
      </c>
      <c r="O61" s="13">
        <f t="shared" si="11"/>
        <v>19750.466164563142</v>
      </c>
      <c r="P61" s="15">
        <f t="shared" si="2"/>
        <v>0.13472548922810573</v>
      </c>
      <c r="Q61" s="7">
        <f t="shared" si="22"/>
        <v>146597.84334591159</v>
      </c>
      <c r="R61" s="7">
        <f t="shared" si="13"/>
        <v>126847.37718134845</v>
      </c>
      <c r="S61" s="13">
        <f>IF(Calc!$AD$32="Sim",R61,Q61)</f>
        <v>126847.37718134845</v>
      </c>
      <c r="T61" s="9">
        <f t="shared" si="14"/>
        <v>57</v>
      </c>
      <c r="U61" s="17">
        <f t="shared" ca="1" si="15"/>
        <v>47239</v>
      </c>
      <c r="V61" s="22"/>
      <c r="W61" s="22"/>
      <c r="X61" s="22"/>
    </row>
    <row r="62" spans="2:32" x14ac:dyDescent="0.2">
      <c r="B62" s="17">
        <f t="shared" ca="1" si="4"/>
        <v>47239</v>
      </c>
      <c r="C62" s="9">
        <f t="shared" si="18"/>
        <v>58</v>
      </c>
      <c r="D62" s="9"/>
      <c r="E62" s="13">
        <f t="shared" si="5"/>
        <v>1265.9453139018703</v>
      </c>
      <c r="F62" s="14">
        <f t="shared" si="19"/>
        <v>100542.63498377665</v>
      </c>
      <c r="G62" s="15">
        <f t="shared" si="6"/>
        <v>0.77991238495133897</v>
      </c>
      <c r="H62" s="13">
        <f t="shared" si="7"/>
        <v>1459.7743221129795</v>
      </c>
      <c r="I62" s="13">
        <f t="shared" si="8"/>
        <v>48780.927998149797</v>
      </c>
      <c r="J62" s="15">
        <f t="shared" si="0"/>
        <v>0.22008761504866103</v>
      </c>
      <c r="K62" s="13">
        <f t="shared" si="9"/>
        <v>28372.659764427401</v>
      </c>
      <c r="L62" s="13">
        <f t="shared" si="20"/>
        <v>672953.31132727233</v>
      </c>
      <c r="M62" s="15">
        <f t="shared" si="10"/>
        <v>0.22008761504866101</v>
      </c>
      <c r="N62" s="13">
        <f t="shared" si="1"/>
        <v>548.73563295270765</v>
      </c>
      <c r="O62" s="13">
        <f t="shared" si="11"/>
        <v>20408.268233722411</v>
      </c>
      <c r="P62" s="15">
        <f t="shared" si="2"/>
        <v>0.13667145242303486</v>
      </c>
      <c r="Q62" s="7">
        <f t="shared" si="22"/>
        <v>149323.56298192646</v>
      </c>
      <c r="R62" s="7">
        <f t="shared" si="13"/>
        <v>128915.29474820405</v>
      </c>
      <c r="S62" s="13">
        <f>IF(Calc!$AD$32="Sim",R62,Q62)</f>
        <v>128915.29474820405</v>
      </c>
      <c r="T62" s="9">
        <f t="shared" si="14"/>
        <v>58</v>
      </c>
      <c r="U62" s="17">
        <f t="shared" ca="1" si="15"/>
        <v>47270</v>
      </c>
      <c r="V62" s="22"/>
      <c r="W62" s="22"/>
      <c r="X62" s="22"/>
    </row>
    <row r="63" spans="2:32" x14ac:dyDescent="0.2">
      <c r="B63" s="17">
        <f t="shared" ca="1" si="4"/>
        <v>47270</v>
      </c>
      <c r="C63" s="9">
        <f t="shared" si="18"/>
        <v>59</v>
      </c>
      <c r="D63" s="9"/>
      <c r="E63" s="13">
        <f t="shared" si="5"/>
        <v>1271.1029318140361</v>
      </c>
      <c r="F63" s="14">
        <f t="shared" si="19"/>
        <v>101813.73791559068</v>
      </c>
      <c r="G63" s="15">
        <f t="shared" si="6"/>
        <v>0.77719611412138345</v>
      </c>
      <c r="H63" s="13">
        <f t="shared" si="7"/>
        <v>1486.9161643332977</v>
      </c>
      <c r="I63" s="13">
        <f t="shared" si="8"/>
        <v>50267.844162483096</v>
      </c>
      <c r="J63" s="15">
        <f t="shared" si="0"/>
        <v>0.22280388587861655</v>
      </c>
      <c r="K63" s="13">
        <f t="shared" si="9"/>
        <v>29187.609190590665</v>
      </c>
      <c r="L63" s="13">
        <f t="shared" si="20"/>
        <v>702140.92051786301</v>
      </c>
      <c r="M63" s="15">
        <f t="shared" si="10"/>
        <v>0.22280388587861658</v>
      </c>
      <c r="N63" s="13">
        <f t="shared" si="1"/>
        <v>558.87082745381417</v>
      </c>
      <c r="O63" s="13">
        <f t="shared" si="11"/>
        <v>21080.234971892438</v>
      </c>
      <c r="P63" s="15">
        <f t="shared" si="2"/>
        <v>0.13861136032284649</v>
      </c>
      <c r="Q63" s="7">
        <f t="shared" si="22"/>
        <v>152081.58207807378</v>
      </c>
      <c r="R63" s="7">
        <f t="shared" si="13"/>
        <v>131001.34710618135</v>
      </c>
      <c r="S63" s="13">
        <f>IF(Calc!$AD$32="Sim",R63,Q63)</f>
        <v>131001.34710618135</v>
      </c>
      <c r="T63" s="9">
        <f t="shared" si="14"/>
        <v>59</v>
      </c>
      <c r="U63" s="17">
        <f t="shared" ca="1" si="15"/>
        <v>47300</v>
      </c>
      <c r="V63" s="22"/>
      <c r="W63" s="22"/>
      <c r="X63" s="22"/>
    </row>
    <row r="64" spans="2:32" x14ac:dyDescent="0.2">
      <c r="B64" s="17">
        <f t="shared" ca="1" si="4"/>
        <v>47300</v>
      </c>
      <c r="C64" s="9">
        <f t="shared" si="18"/>
        <v>60</v>
      </c>
      <c r="D64" s="9">
        <v>5</v>
      </c>
      <c r="E64" s="13">
        <f t="shared" si="5"/>
        <v>1276.2815625000048</v>
      </c>
      <c r="F64" s="14">
        <f t="shared" si="19"/>
        <v>103090.01947809069</v>
      </c>
      <c r="G64" s="15">
        <f t="shared" si="6"/>
        <v>0.7744975876219784</v>
      </c>
      <c r="H64" s="13">
        <f t="shared" si="7"/>
        <v>1514.3796342218225</v>
      </c>
      <c r="I64" s="13">
        <f t="shared" si="8"/>
        <v>51782.223796704915</v>
      </c>
      <c r="J64" s="15">
        <f t="shared" si="0"/>
        <v>0.2255024123780216</v>
      </c>
      <c r="K64" s="13">
        <f t="shared" si="9"/>
        <v>30015.649442865979</v>
      </c>
      <c r="L64" s="13">
        <f t="shared" si="20"/>
        <v>732156.56996072899</v>
      </c>
      <c r="M64" s="15">
        <f t="shared" si="10"/>
        <v>0.22550241237802157</v>
      </c>
      <c r="N64" s="13">
        <f t="shared" si="1"/>
        <v>569.12597545296182</v>
      </c>
      <c r="O64" s="13">
        <f t="shared" si="11"/>
        <v>21766.574353838922</v>
      </c>
      <c r="P64" s="15">
        <f t="shared" si="2"/>
        <v>0.14054535463283552</v>
      </c>
      <c r="Q64" s="7">
        <f t="shared" si="22"/>
        <v>154872.24327479559</v>
      </c>
      <c r="R64" s="7">
        <f t="shared" si="13"/>
        <v>133105.66892095667</v>
      </c>
      <c r="S64" s="13">
        <f>IF(Calc!$AD$32="Sim",R64,Q64)</f>
        <v>133105.66892095667</v>
      </c>
      <c r="T64" s="9">
        <f t="shared" si="14"/>
        <v>60</v>
      </c>
      <c r="U64" s="17">
        <f t="shared" ca="1" si="15"/>
        <v>47331</v>
      </c>
      <c r="V64" s="22"/>
      <c r="W64" s="22"/>
      <c r="X64" s="22"/>
    </row>
    <row r="65" spans="2:24" x14ac:dyDescent="0.2">
      <c r="B65" s="17">
        <f t="shared" ca="1" si="4"/>
        <v>47331</v>
      </c>
      <c r="C65" s="9">
        <f t="shared" si="18"/>
        <v>61</v>
      </c>
      <c r="D65" s="9"/>
      <c r="E65" s="13">
        <f t="shared" si="5"/>
        <v>1281.4812915684181</v>
      </c>
      <c r="F65" s="14">
        <f t="shared" si="19"/>
        <v>104371.50076965911</v>
      </c>
      <c r="G65" s="15">
        <f t="shared" si="6"/>
        <v>0.77181645291269718</v>
      </c>
      <c r="H65" s="13">
        <f t="shared" si="7"/>
        <v>1542.1681436822189</v>
      </c>
      <c r="I65" s="13">
        <f t="shared" si="8"/>
        <v>53324.391940387133</v>
      </c>
      <c r="J65" s="15">
        <f t="shared" si="0"/>
        <v>0.22818354708730282</v>
      </c>
      <c r="K65" s="13">
        <f t="shared" si="9"/>
        <v>30856.89501768093</v>
      </c>
      <c r="L65" s="13">
        <f t="shared" si="20"/>
        <v>763013.46497840993</v>
      </c>
      <c r="M65" s="15">
        <f t="shared" si="10"/>
        <v>0.22818354708730285</v>
      </c>
      <c r="N65" s="13">
        <f t="shared" si="1"/>
        <v>579.50234894115908</v>
      </c>
      <c r="O65" s="13">
        <f t="shared" si="11"/>
        <v>22467.496922706196</v>
      </c>
      <c r="P65" s="15">
        <f t="shared" si="2"/>
        <v>0.14247357072271338</v>
      </c>
      <c r="Q65" s="7">
        <f t="shared" si="22"/>
        <v>157695.89271004623</v>
      </c>
      <c r="R65" s="7">
        <f t="shared" si="13"/>
        <v>135228.39578734004</v>
      </c>
      <c r="S65" s="13">
        <f>IF(Calc!$AD$32="Sim",R65,Q65)</f>
        <v>135228.39578734004</v>
      </c>
      <c r="T65" s="9">
        <f t="shared" si="14"/>
        <v>61</v>
      </c>
      <c r="U65" s="17">
        <f t="shared" ca="1" si="15"/>
        <v>47362</v>
      </c>
      <c r="V65" s="22"/>
      <c r="W65" s="22"/>
      <c r="X65" s="22"/>
    </row>
    <row r="66" spans="2:24" x14ac:dyDescent="0.2">
      <c r="B66" s="17">
        <f t="shared" ca="1" si="4"/>
        <v>47362</v>
      </c>
      <c r="C66" s="9">
        <f t="shared" si="18"/>
        <v>62</v>
      </c>
      <c r="D66" s="9"/>
      <c r="E66" s="13">
        <f t="shared" si="5"/>
        <v>1286.7022049766974</v>
      </c>
      <c r="F66" s="14">
        <f t="shared" si="19"/>
        <v>105658.2029746358</v>
      </c>
      <c r="G66" s="15">
        <f t="shared" si="6"/>
        <v>0.76915237117814328</v>
      </c>
      <c r="H66" s="13">
        <f t="shared" si="7"/>
        <v>1570.2851394452582</v>
      </c>
      <c r="I66" s="13">
        <f t="shared" si="8"/>
        <v>54894.677079832392</v>
      </c>
      <c r="J66" s="15">
        <f t="shared" si="0"/>
        <v>0.23084762882185672</v>
      </c>
      <c r="K66" s="13">
        <f t="shared" si="9"/>
        <v>31711.461260806464</v>
      </c>
      <c r="L66" s="13">
        <f t="shared" si="20"/>
        <v>794724.92623921635</v>
      </c>
      <c r="M66" s="15">
        <f t="shared" si="10"/>
        <v>0.23084762882185672</v>
      </c>
      <c r="N66" s="13">
        <f t="shared" si="1"/>
        <v>590.00123289136991</v>
      </c>
      <c r="O66" s="13">
        <f t="shared" si="11"/>
        <v>23183.215819025907</v>
      </c>
      <c r="P66" s="15">
        <f t="shared" si="2"/>
        <v>0.1443961379650176</v>
      </c>
      <c r="Q66" s="7">
        <f t="shared" si="22"/>
        <v>160552.88005446817</v>
      </c>
      <c r="R66" s="7">
        <f t="shared" si="13"/>
        <v>137369.66423544227</v>
      </c>
      <c r="S66" s="13">
        <f>IF(Calc!$AD$32="Sim",R66,Q66)</f>
        <v>137369.66423544227</v>
      </c>
      <c r="T66" s="9">
        <f t="shared" si="14"/>
        <v>62</v>
      </c>
      <c r="U66" s="17">
        <f t="shared" ca="1" si="15"/>
        <v>47392</v>
      </c>
      <c r="V66" s="22"/>
      <c r="W66" s="22"/>
      <c r="X66" s="22"/>
    </row>
    <row r="67" spans="2:24" x14ac:dyDescent="0.2">
      <c r="B67" s="17">
        <f t="shared" ca="1" si="4"/>
        <v>47392</v>
      </c>
      <c r="C67" s="9">
        <f t="shared" si="18"/>
        <v>63</v>
      </c>
      <c r="D67" s="9"/>
      <c r="E67" s="13">
        <f t="shared" si="5"/>
        <v>1291.9443890324658</v>
      </c>
      <c r="F67" s="14">
        <f t="shared" si="19"/>
        <v>106950.14736366826</v>
      </c>
      <c r="G67" s="15">
        <f t="shared" si="6"/>
        <v>0.76650501662220116</v>
      </c>
      <c r="H67" s="13">
        <f t="shared" si="7"/>
        <v>1598.7341034190874</v>
      </c>
      <c r="I67" s="13">
        <f t="shared" si="8"/>
        <v>56493.411183251483</v>
      </c>
      <c r="J67" s="15">
        <f t="shared" si="0"/>
        <v>0.23349498337779884</v>
      </c>
      <c r="K67" s="13">
        <f t="shared" si="9"/>
        <v>32579.464373214068</v>
      </c>
      <c r="L67" s="13">
        <f t="shared" si="20"/>
        <v>827304.3906124304</v>
      </c>
      <c r="M67" s="15">
        <f t="shared" si="10"/>
        <v>0.23349498337779886</v>
      </c>
      <c r="N67" s="13">
        <f t="shared" si="1"/>
        <v>600.62392538907147</v>
      </c>
      <c r="O67" s="13">
        <f t="shared" si="11"/>
        <v>23913.946810037392</v>
      </c>
      <c r="P67" s="15">
        <f t="shared" si="2"/>
        <v>0.14631318005213659</v>
      </c>
      <c r="Q67" s="7">
        <f t="shared" si="22"/>
        <v>163443.55854691972</v>
      </c>
      <c r="R67" s="7">
        <f t="shared" si="13"/>
        <v>139529.61173688233</v>
      </c>
      <c r="S67" s="13">
        <f>IF(Calc!$AD$32="Sim",R67,Q67)</f>
        <v>139529.61173688233</v>
      </c>
      <c r="T67" s="9">
        <f t="shared" si="14"/>
        <v>63</v>
      </c>
      <c r="U67" s="17">
        <f t="shared" ca="1" si="15"/>
        <v>47423</v>
      </c>
      <c r="V67" s="22"/>
      <c r="W67" s="22"/>
      <c r="X67" s="22"/>
    </row>
    <row r="68" spans="2:24" x14ac:dyDescent="0.2">
      <c r="B68" s="17">
        <f t="shared" ca="1" si="4"/>
        <v>47423</v>
      </c>
      <c r="C68" s="9">
        <f t="shared" si="18"/>
        <v>64</v>
      </c>
      <c r="D68" s="9"/>
      <c r="E68" s="13">
        <f t="shared" si="5"/>
        <v>1297.207930394974</v>
      </c>
      <c r="F68" s="14">
        <f t="shared" si="19"/>
        <v>108247.35529406324</v>
      </c>
      <c r="G68" s="15">
        <f t="shared" si="6"/>
        <v>0.76387407580566813</v>
      </c>
      <c r="H68" s="13">
        <f t="shared" si="7"/>
        <v>1627.5185530430028</v>
      </c>
      <c r="I68" s="13">
        <f t="shared" si="8"/>
        <v>58120.929736294485</v>
      </c>
      <c r="J68" s="15">
        <f t="shared" si="0"/>
        <v>0.23612592419433187</v>
      </c>
      <c r="K68" s="13">
        <f t="shared" si="9"/>
        <v>33461.021416971649</v>
      </c>
      <c r="L68" s="13">
        <f t="shared" si="20"/>
        <v>860765.4120294021</v>
      </c>
      <c r="M68" s="15">
        <f t="shared" si="10"/>
        <v>0.23612592419433187</v>
      </c>
      <c r="N68" s="13">
        <f t="shared" si="1"/>
        <v>611.37173776411601</v>
      </c>
      <c r="O68" s="13">
        <f t="shared" si="11"/>
        <v>24659.908319322829</v>
      </c>
      <c r="P68" s="15">
        <f t="shared" si="2"/>
        <v>0.1482248152935102</v>
      </c>
      <c r="Q68" s="7">
        <f t="shared" si="22"/>
        <v>166368.28503035771</v>
      </c>
      <c r="R68" s="7">
        <f t="shared" si="13"/>
        <v>141708.37671103489</v>
      </c>
      <c r="S68" s="13">
        <f>IF(Calc!$AD$32="Sim",R68,Q68)</f>
        <v>141708.37671103489</v>
      </c>
      <c r="T68" s="9">
        <f t="shared" si="14"/>
        <v>64</v>
      </c>
      <c r="U68" s="17">
        <f t="shared" ca="1" si="15"/>
        <v>47453</v>
      </c>
      <c r="V68" s="22"/>
      <c r="W68" s="22"/>
      <c r="X68" s="22"/>
    </row>
    <row r="69" spans="2:24" x14ac:dyDescent="0.2">
      <c r="B69" s="17">
        <f t="shared" ca="1" si="4"/>
        <v>47453</v>
      </c>
      <c r="C69" s="9">
        <f t="shared" si="18"/>
        <v>65</v>
      </c>
      <c r="D69" s="9"/>
      <c r="E69" s="13">
        <f t="shared" si="5"/>
        <v>1302.4929160765334</v>
      </c>
      <c r="F69" s="14">
        <f t="shared" si="19"/>
        <v>109549.84821013977</v>
      </c>
      <c r="G69" s="15">
        <f t="shared" si="6"/>
        <v>0.76125924702418657</v>
      </c>
      <c r="H69" s="13">
        <f t="shared" si="7"/>
        <v>1656.6420416447581</v>
      </c>
      <c r="I69" s="13">
        <f t="shared" si="8"/>
        <v>59777.571777939243</v>
      </c>
      <c r="J69" s="15">
        <f t="shared" ref="J69:J132" si="28">1-G69</f>
        <v>0.23874075297581343</v>
      </c>
      <c r="K69" s="13">
        <f t="shared" si="9"/>
        <v>34356.250321178537</v>
      </c>
      <c r="L69" s="13">
        <f t="shared" si="20"/>
        <v>895121.66235058068</v>
      </c>
      <c r="M69" s="15">
        <f t="shared" si="10"/>
        <v>0.23874075297581346</v>
      </c>
      <c r="N69" s="13">
        <f t="shared" ref="N69:N132" si="29">Q69*Inflação</f>
        <v>622.24599472391151</v>
      </c>
      <c r="O69" s="13">
        <f t="shared" si="11"/>
        <v>25421.321456760692</v>
      </c>
      <c r="P69" s="15">
        <f t="shared" ref="P69:P132" si="30">O69/Q69</f>
        <v>0.15013115689443804</v>
      </c>
      <c r="Q69" s="7">
        <f t="shared" si="22"/>
        <v>169327.419988079</v>
      </c>
      <c r="R69" s="7">
        <f t="shared" si="13"/>
        <v>143906.0985313183</v>
      </c>
      <c r="S69" s="13">
        <f>IF(Calc!$AD$32="Sim",R69,Q69)</f>
        <v>143906.0985313183</v>
      </c>
      <c r="T69" s="9">
        <f t="shared" si="14"/>
        <v>65</v>
      </c>
      <c r="U69" s="17">
        <f t="shared" ca="1" si="15"/>
        <v>47484</v>
      </c>
      <c r="V69" s="22"/>
      <c r="W69" s="22"/>
      <c r="X69" s="22"/>
    </row>
    <row r="70" spans="2:24" x14ac:dyDescent="0.2">
      <c r="B70" s="17">
        <f t="shared" ref="B70:B133" ca="1" si="31">DATE(YEAR(B69),MONTH(B69)+1,1)</f>
        <v>47484</v>
      </c>
      <c r="C70" s="9">
        <f t="shared" si="18"/>
        <v>66</v>
      </c>
      <c r="D70" s="9"/>
      <c r="E70" s="13">
        <f t="shared" ref="E70:E133" si="32">IF($AE$33,IF($AE$34,$E69*(1+Inflação)*(1+Crescimento_Salário),$E69*(1+Inflação)),IF($AE$34,$E69*(1+Crescimento_Salário),$E69))</f>
        <v>1307.7994334439543</v>
      </c>
      <c r="F70" s="14">
        <f t="shared" ref="F70:F133" si="33">F69+E70</f>
        <v>110857.64764358372</v>
      </c>
      <c r="G70" s="15">
        <f t="shared" ref="G70:G133" si="34">IF(F70&lt;=0,0,F70/S70)</f>
        <v>0.75866023972364216</v>
      </c>
      <c r="H70" s="13">
        <f t="shared" ref="H70:H133" si="35">Q69*Taxa</f>
        <v>1686.1081588014461</v>
      </c>
      <c r="I70" s="13">
        <f t="shared" ref="I70:I133" si="36">I69+H70</f>
        <v>61463.679936740693</v>
      </c>
      <c r="J70" s="15">
        <f t="shared" si="28"/>
        <v>0.24133976027635784</v>
      </c>
      <c r="K70" s="13">
        <f t="shared" ref="K70:K133" si="37">R70-F70</f>
        <v>35265.269887939925</v>
      </c>
      <c r="L70" s="13">
        <f t="shared" si="20"/>
        <v>930386.93223852059</v>
      </c>
      <c r="M70" s="15">
        <f t="shared" ref="M70:M133" si="38">K70/R70</f>
        <v>0.24133976027635784</v>
      </c>
      <c r="N70" s="13">
        <f t="shared" si="29"/>
        <v>633.24803448793421</v>
      </c>
      <c r="O70" s="13">
        <f t="shared" ref="O70:O133" si="39">Q70-R70</f>
        <v>26198.410048800753</v>
      </c>
      <c r="P70" s="15">
        <f t="shared" si="30"/>
        <v>0.15203231321781019</v>
      </c>
      <c r="Q70" s="7">
        <f t="shared" ref="Q70:Q133" si="40">Q69+E70+H70</f>
        <v>172321.3275803244</v>
      </c>
      <c r="R70" s="7">
        <f t="shared" ref="R70:R133" si="41">(R69+E70)*(1+((1+Taxa)/(1+Inflação)-1))</f>
        <v>146122.91753152365</v>
      </c>
      <c r="S70" s="13">
        <f>IF(Calc!$AD$32="Sim",R70,Q70)</f>
        <v>146122.91753152365</v>
      </c>
      <c r="T70" s="9">
        <f t="shared" ref="T70:T133" si="42">C70</f>
        <v>66</v>
      </c>
      <c r="U70" s="17">
        <f t="shared" ref="U70:U133" ca="1" si="43">DATE(YEAR(U69),MONTH(U69)+1,1)</f>
        <v>47515</v>
      </c>
      <c r="V70" s="22"/>
      <c r="W70" s="22"/>
      <c r="X70" s="22"/>
    </row>
    <row r="71" spans="2:24" x14ac:dyDescent="0.2">
      <c r="B71" s="17">
        <f t="shared" ca="1" si="31"/>
        <v>47515</v>
      </c>
      <c r="C71" s="9">
        <f t="shared" ref="C71:C134" si="44">C70+1</f>
        <v>67</v>
      </c>
      <c r="D71" s="9"/>
      <c r="E71" s="13">
        <f t="shared" si="32"/>
        <v>1313.12757021999</v>
      </c>
      <c r="F71" s="14">
        <f t="shared" si="33"/>
        <v>112170.77521380372</v>
      </c>
      <c r="G71" s="15">
        <f t="shared" si="34"/>
        <v>0.75607677395042161</v>
      </c>
      <c r="H71" s="13">
        <f t="shared" si="35"/>
        <v>1715.9205307039881</v>
      </c>
      <c r="I71" s="13">
        <f t="shared" si="36"/>
        <v>63179.600467444681</v>
      </c>
      <c r="J71" s="15">
        <f t="shared" si="28"/>
        <v>0.24392322604957839</v>
      </c>
      <c r="K71" s="13">
        <f t="shared" si="37"/>
        <v>36188.19979838084</v>
      </c>
      <c r="L71" s="13">
        <f t="shared" ref="L71:L134" si="45">L70+K71</f>
        <v>966575.13203690143</v>
      </c>
      <c r="M71" s="15">
        <f t="shared" si="38"/>
        <v>0.24392322604957836</v>
      </c>
      <c r="N71" s="13">
        <f t="shared" si="29"/>
        <v>644.379208923585</v>
      </c>
      <c r="O71" s="13">
        <f t="shared" si="39"/>
        <v>26991.40066906382</v>
      </c>
      <c r="P71" s="15">
        <f t="shared" si="30"/>
        <v>0.15392838802996775</v>
      </c>
      <c r="Q71" s="7">
        <f t="shared" si="40"/>
        <v>175350.37568124838</v>
      </c>
      <c r="R71" s="7">
        <f t="shared" si="41"/>
        <v>148358.97501218456</v>
      </c>
      <c r="S71" s="13">
        <f>IF(Calc!$AD$32="Sim",R71,Q71)</f>
        <v>148358.97501218456</v>
      </c>
      <c r="T71" s="9">
        <f t="shared" si="42"/>
        <v>67</v>
      </c>
      <c r="U71" s="17">
        <f t="shared" ca="1" si="43"/>
        <v>47543</v>
      </c>
      <c r="V71" s="22"/>
      <c r="W71" s="22"/>
      <c r="X71" s="22"/>
    </row>
    <row r="72" spans="2:24" x14ac:dyDescent="0.2">
      <c r="B72" s="17">
        <f t="shared" ca="1" si="31"/>
        <v>47543</v>
      </c>
      <c r="C72" s="9">
        <f t="shared" si="44"/>
        <v>68</v>
      </c>
      <c r="D72" s="9"/>
      <c r="E72" s="13">
        <f t="shared" si="32"/>
        <v>1318.4774144847877</v>
      </c>
      <c r="F72" s="14">
        <f t="shared" si="33"/>
        <v>113489.25262828851</v>
      </c>
      <c r="G72" s="15">
        <f t="shared" si="34"/>
        <v>0.75350857983412523</v>
      </c>
      <c r="H72" s="13">
        <f t="shared" si="35"/>
        <v>1746.0828205252676</v>
      </c>
      <c r="I72" s="13">
        <f t="shared" si="36"/>
        <v>64925.68328796995</v>
      </c>
      <c r="J72" s="15">
        <f t="shared" si="28"/>
        <v>0.24649142016587477</v>
      </c>
      <c r="K72" s="13">
        <f t="shared" si="37"/>
        <v>37125.160618700189</v>
      </c>
      <c r="L72" s="13">
        <f t="shared" si="45"/>
        <v>1003700.2926556016</v>
      </c>
      <c r="M72" s="15">
        <f t="shared" si="38"/>
        <v>0.2464914201658748</v>
      </c>
      <c r="N72" s="13">
        <f t="shared" si="29"/>
        <v>655.64088368340492</v>
      </c>
      <c r="O72" s="13">
        <f t="shared" si="39"/>
        <v>27800.522669269732</v>
      </c>
      <c r="P72" s="15">
        <f t="shared" si="30"/>
        <v>0.15581948073180543</v>
      </c>
      <c r="Q72" s="7">
        <f t="shared" si="40"/>
        <v>178414.93591625843</v>
      </c>
      <c r="R72" s="7">
        <f t="shared" si="41"/>
        <v>150614.4132469887</v>
      </c>
      <c r="S72" s="13">
        <f>IF(Calc!$AD$32="Sim",R72,Q72)</f>
        <v>150614.4132469887</v>
      </c>
      <c r="T72" s="9">
        <f t="shared" si="42"/>
        <v>68</v>
      </c>
      <c r="U72" s="17">
        <f t="shared" ca="1" si="43"/>
        <v>47574</v>
      </c>
      <c r="V72" s="22"/>
      <c r="W72" s="22"/>
      <c r="X72" s="22"/>
    </row>
    <row r="73" spans="2:24" x14ac:dyDescent="0.2">
      <c r="B73" s="17">
        <f t="shared" ca="1" si="31"/>
        <v>47574</v>
      </c>
      <c r="C73" s="9">
        <f t="shared" si="44"/>
        <v>69</v>
      </c>
      <c r="D73" s="9"/>
      <c r="E73" s="13">
        <f t="shared" si="32"/>
        <v>1323.8490546773432</v>
      </c>
      <c r="F73" s="14">
        <f t="shared" si="33"/>
        <v>114813.10168296585</v>
      </c>
      <c r="G73" s="15">
        <f t="shared" si="34"/>
        <v>0.75095539710052117</v>
      </c>
      <c r="H73" s="13">
        <f t="shared" si="35"/>
        <v>1776.5987287919424</v>
      </c>
      <c r="I73" s="13">
        <f t="shared" si="36"/>
        <v>66702.282016761892</v>
      </c>
      <c r="J73" s="15">
        <f t="shared" si="28"/>
        <v>0.24904460289947883</v>
      </c>
      <c r="K73" s="13">
        <f t="shared" si="37"/>
        <v>38076.27380626474</v>
      </c>
      <c r="L73" s="13">
        <f t="shared" si="45"/>
        <v>1041776.5664618664</v>
      </c>
      <c r="M73" s="15">
        <f t="shared" si="38"/>
        <v>0.2490446028994788</v>
      </c>
      <c r="N73" s="13">
        <f t="shared" si="29"/>
        <v>667.03443834366158</v>
      </c>
      <c r="O73" s="13">
        <f t="shared" si="39"/>
        <v>28626.008210497152</v>
      </c>
      <c r="P73" s="15">
        <f t="shared" si="30"/>
        <v>0.15770568657614054</v>
      </c>
      <c r="Q73" s="7">
        <f t="shared" si="40"/>
        <v>181515.38369972774</v>
      </c>
      <c r="R73" s="7">
        <f t="shared" si="41"/>
        <v>152889.37548923059</v>
      </c>
      <c r="S73" s="13">
        <f>IF(Calc!$AD$32="Sim",R73,Q73)</f>
        <v>152889.37548923059</v>
      </c>
      <c r="T73" s="9">
        <f t="shared" si="42"/>
        <v>69</v>
      </c>
      <c r="U73" s="17">
        <f t="shared" ca="1" si="43"/>
        <v>47604</v>
      </c>
      <c r="V73" s="22"/>
      <c r="W73" s="22"/>
      <c r="X73" s="22"/>
    </row>
    <row r="74" spans="2:24" x14ac:dyDescent="0.2">
      <c r="B74" s="17">
        <f t="shared" ca="1" si="31"/>
        <v>47604</v>
      </c>
      <c r="C74" s="9">
        <f t="shared" si="44"/>
        <v>70</v>
      </c>
      <c r="D74" s="9"/>
      <c r="E74" s="13">
        <f t="shared" si="32"/>
        <v>1329.2425795969646</v>
      </c>
      <c r="F74" s="14">
        <f t="shared" si="33"/>
        <v>116142.34426256281</v>
      </c>
      <c r="G74" s="15">
        <f t="shared" si="34"/>
        <v>0.74841697461269774</v>
      </c>
      <c r="H74" s="13">
        <f t="shared" si="35"/>
        <v>1807.4719937599759</v>
      </c>
      <c r="I74" s="13">
        <f t="shared" si="36"/>
        <v>68509.754010521865</v>
      </c>
      <c r="J74" s="15">
        <f t="shared" si="28"/>
        <v>0.25158302538730226</v>
      </c>
      <c r="K74" s="13">
        <f t="shared" si="37"/>
        <v>39041.66171574351</v>
      </c>
      <c r="L74" s="13">
        <f t="shared" si="45"/>
        <v>1080818.2281776099</v>
      </c>
      <c r="M74" s="15">
        <f t="shared" si="38"/>
        <v>0.25158302538730232</v>
      </c>
      <c r="N74" s="13">
        <f t="shared" si="29"/>
        <v>678.56126654432092</v>
      </c>
      <c r="O74" s="13">
        <f t="shared" si="39"/>
        <v>29468.092294778355</v>
      </c>
      <c r="P74" s="15">
        <f t="shared" si="30"/>
        <v>0.15958709687228989</v>
      </c>
      <c r="Q74" s="7">
        <f t="shared" si="40"/>
        <v>184652.09827308467</v>
      </c>
      <c r="R74" s="7">
        <f t="shared" si="41"/>
        <v>155184.00597830632</v>
      </c>
      <c r="S74" s="13">
        <f>IF(Calc!$AD$32="Sim",R74,Q74)</f>
        <v>155184.00597830632</v>
      </c>
      <c r="T74" s="9">
        <f t="shared" si="42"/>
        <v>70</v>
      </c>
      <c r="U74" s="17">
        <f t="shared" ca="1" si="43"/>
        <v>47635</v>
      </c>
      <c r="V74" s="22"/>
      <c r="W74" s="22"/>
      <c r="X74" s="22"/>
    </row>
    <row r="75" spans="2:24" x14ac:dyDescent="0.2">
      <c r="B75" s="17">
        <f t="shared" ca="1" si="31"/>
        <v>47635</v>
      </c>
      <c r="C75" s="9">
        <f t="shared" si="44"/>
        <v>71</v>
      </c>
      <c r="D75" s="9"/>
      <c r="E75" s="13">
        <f t="shared" si="32"/>
        <v>1334.6580784047387</v>
      </c>
      <c r="F75" s="14">
        <f t="shared" si="33"/>
        <v>117477.00234096755</v>
      </c>
      <c r="G75" s="15">
        <f t="shared" si="34"/>
        <v>0.74589306993852256</v>
      </c>
      <c r="H75" s="13">
        <f t="shared" si="35"/>
        <v>1838.7063917939204</v>
      </c>
      <c r="I75" s="13">
        <f t="shared" si="36"/>
        <v>70348.460402315788</v>
      </c>
      <c r="J75" s="15">
        <f t="shared" si="28"/>
        <v>0.25410693006147744</v>
      </c>
      <c r="K75" s="13">
        <f t="shared" si="37"/>
        <v>40021.447605282985</v>
      </c>
      <c r="L75" s="13">
        <f t="shared" si="45"/>
        <v>1120839.6757828929</v>
      </c>
      <c r="M75" s="15">
        <f t="shared" si="38"/>
        <v>0.25410693006147739</v>
      </c>
      <c r="N75" s="13">
        <f t="shared" si="29"/>
        <v>690.22277613041911</v>
      </c>
      <c r="O75" s="13">
        <f t="shared" si="39"/>
        <v>30327.012797032774</v>
      </c>
      <c r="P75" s="15">
        <f t="shared" si="30"/>
        <v>0.16146379917872597</v>
      </c>
      <c r="Q75" s="7">
        <f t="shared" si="40"/>
        <v>187825.46274328331</v>
      </c>
      <c r="R75" s="7">
        <f t="shared" si="41"/>
        <v>157498.44994625053</v>
      </c>
      <c r="S75" s="13">
        <f>IF(Calc!$AD$32="Sim",R75,Q75)</f>
        <v>157498.44994625053</v>
      </c>
      <c r="T75" s="9">
        <f t="shared" si="42"/>
        <v>71</v>
      </c>
      <c r="U75" s="17">
        <f t="shared" ca="1" si="43"/>
        <v>47665</v>
      </c>
      <c r="V75" s="22"/>
      <c r="W75" s="22"/>
      <c r="X75" s="22"/>
    </row>
    <row r="76" spans="2:24" x14ac:dyDescent="0.2">
      <c r="B76" s="17">
        <f t="shared" ca="1" si="31"/>
        <v>47665</v>
      </c>
      <c r="C76" s="9">
        <f t="shared" si="44"/>
        <v>72</v>
      </c>
      <c r="D76" s="9">
        <v>6</v>
      </c>
      <c r="E76" s="13">
        <f t="shared" si="32"/>
        <v>1340.0956406250059</v>
      </c>
      <c r="F76" s="14">
        <f t="shared" si="33"/>
        <v>118817.09798159255</v>
      </c>
      <c r="G76" s="15">
        <f t="shared" si="34"/>
        <v>0.74338344894266839</v>
      </c>
      <c r="H76" s="13">
        <f t="shared" si="35"/>
        <v>1870.3057377499931</v>
      </c>
      <c r="I76" s="13">
        <f t="shared" si="36"/>
        <v>72218.766140065782</v>
      </c>
      <c r="J76" s="15">
        <f t="shared" si="28"/>
        <v>0.25661655105733161</v>
      </c>
      <c r="K76" s="13">
        <f t="shared" si="37"/>
        <v>41015.755642723234</v>
      </c>
      <c r="L76" s="13">
        <f t="shared" si="45"/>
        <v>1161855.4314256161</v>
      </c>
      <c r="M76" s="15">
        <f t="shared" si="38"/>
        <v>0.25661655105733155</v>
      </c>
      <c r="N76" s="13">
        <f t="shared" si="29"/>
        <v>702.02038929484706</v>
      </c>
      <c r="O76" s="13">
        <f t="shared" si="39"/>
        <v>31203.010497342533</v>
      </c>
      <c r="P76" s="15">
        <f t="shared" si="30"/>
        <v>0.16333587748461389</v>
      </c>
      <c r="Q76" s="7">
        <f t="shared" si="40"/>
        <v>191035.86412165832</v>
      </c>
      <c r="R76" s="7">
        <f t="shared" si="41"/>
        <v>159832.85362431579</v>
      </c>
      <c r="S76" s="13">
        <f>IF(Calc!$AD$32="Sim",R76,Q76)</f>
        <v>159832.85362431579</v>
      </c>
      <c r="T76" s="9">
        <f t="shared" si="42"/>
        <v>72</v>
      </c>
      <c r="U76" s="17">
        <f t="shared" ca="1" si="43"/>
        <v>47696</v>
      </c>
      <c r="V76" s="22"/>
      <c r="W76" s="22"/>
      <c r="X76" s="22"/>
    </row>
    <row r="77" spans="2:24" x14ac:dyDescent="0.2">
      <c r="B77" s="17">
        <f t="shared" ca="1" si="31"/>
        <v>47696</v>
      </c>
      <c r="C77" s="9">
        <f t="shared" si="44"/>
        <v>73</v>
      </c>
      <c r="D77" s="9"/>
      <c r="E77" s="13">
        <f t="shared" si="32"/>
        <v>1345.5553561468398</v>
      </c>
      <c r="F77" s="14">
        <f t="shared" si="33"/>
        <v>120162.65333773939</v>
      </c>
      <c r="G77" s="15">
        <f t="shared" si="34"/>
        <v>0.7408878854015899</v>
      </c>
      <c r="H77" s="13">
        <f t="shared" si="35"/>
        <v>1902.2738853629821</v>
      </c>
      <c r="I77" s="13">
        <f t="shared" si="36"/>
        <v>74121.040025428767</v>
      </c>
      <c r="J77" s="15">
        <f t="shared" si="28"/>
        <v>0.2591121145984101</v>
      </c>
      <c r="K77" s="13">
        <f t="shared" si="37"/>
        <v>42024.710911854971</v>
      </c>
      <c r="L77" s="13">
        <f t="shared" si="45"/>
        <v>1203880.142337471</v>
      </c>
      <c r="M77" s="15">
        <f t="shared" si="38"/>
        <v>0.25911211459841005</v>
      </c>
      <c r="N77" s="13">
        <f t="shared" si="29"/>
        <v>713.95554272256095</v>
      </c>
      <c r="O77" s="13">
        <f t="shared" si="39"/>
        <v>32096.329113573767</v>
      </c>
      <c r="P77" s="15">
        <f t="shared" si="30"/>
        <v>0.16520341238097194</v>
      </c>
      <c r="Q77" s="7">
        <f t="shared" si="40"/>
        <v>194283.69336316813</v>
      </c>
      <c r="R77" s="7">
        <f t="shared" si="41"/>
        <v>162187.36424959436</v>
      </c>
      <c r="S77" s="13">
        <f>IF(Calc!$AD$32="Sim",R77,Q77)</f>
        <v>162187.36424959436</v>
      </c>
      <c r="T77" s="9">
        <f t="shared" si="42"/>
        <v>73</v>
      </c>
      <c r="U77" s="17">
        <f t="shared" ca="1" si="43"/>
        <v>47727</v>
      </c>
      <c r="V77" s="22"/>
      <c r="W77" s="22"/>
      <c r="X77" s="22"/>
    </row>
    <row r="78" spans="2:24" x14ac:dyDescent="0.2">
      <c r="B78" s="17">
        <f t="shared" ca="1" si="31"/>
        <v>47727</v>
      </c>
      <c r="C78" s="9">
        <f t="shared" si="44"/>
        <v>74</v>
      </c>
      <c r="D78" s="9"/>
      <c r="E78" s="13">
        <f t="shared" si="32"/>
        <v>1351.0373152255331</v>
      </c>
      <c r="F78" s="14">
        <f t="shared" si="33"/>
        <v>121513.69065296493</v>
      </c>
      <c r="G78" s="15">
        <f t="shared" si="34"/>
        <v>0.73840616063995668</v>
      </c>
      <c r="H78" s="13">
        <f t="shared" si="35"/>
        <v>1934.6147276370164</v>
      </c>
      <c r="I78" s="13">
        <f t="shared" si="36"/>
        <v>76055.654753065784</v>
      </c>
      <c r="J78" s="15">
        <f t="shared" si="28"/>
        <v>0.26159383936004332</v>
      </c>
      <c r="K78" s="13">
        <f t="shared" si="37"/>
        <v>43048.43941871851</v>
      </c>
      <c r="L78" s="13">
        <f t="shared" si="45"/>
        <v>1246928.5817561895</v>
      </c>
      <c r="M78" s="15">
        <f t="shared" si="38"/>
        <v>0.26159383936004332</v>
      </c>
      <c r="N78" s="13">
        <f t="shared" si="29"/>
        <v>726.02968773623672</v>
      </c>
      <c r="O78" s="13">
        <f t="shared" si="39"/>
        <v>33007.215334347216</v>
      </c>
      <c r="P78" s="15">
        <f t="shared" si="30"/>
        <v>0.16706648122214052</v>
      </c>
      <c r="Q78" s="7">
        <f t="shared" si="40"/>
        <v>197569.34540603065</v>
      </c>
      <c r="R78" s="7">
        <f t="shared" si="41"/>
        <v>164562.13007168344</v>
      </c>
      <c r="S78" s="13">
        <f>IF(Calc!$AD$32="Sim",R78,Q78)</f>
        <v>164562.13007168344</v>
      </c>
      <c r="T78" s="9">
        <f t="shared" si="42"/>
        <v>74</v>
      </c>
      <c r="U78" s="17">
        <f t="shared" ca="1" si="43"/>
        <v>47757</v>
      </c>
      <c r="V78" s="22"/>
      <c r="W78" s="22"/>
      <c r="X78" s="22"/>
    </row>
    <row r="79" spans="2:24" x14ac:dyDescent="0.2">
      <c r="B79" s="17">
        <f t="shared" ca="1" si="31"/>
        <v>47757</v>
      </c>
      <c r="C79" s="9">
        <f t="shared" si="44"/>
        <v>75</v>
      </c>
      <c r="D79" s="9"/>
      <c r="E79" s="13">
        <f t="shared" si="32"/>
        <v>1356.5416084840899</v>
      </c>
      <c r="F79" s="14">
        <f t="shared" si="33"/>
        <v>122870.23226144901</v>
      </c>
      <c r="G79" s="15">
        <f t="shared" si="34"/>
        <v>0.73593806318716226</v>
      </c>
      <c r="H79" s="13">
        <f t="shared" si="35"/>
        <v>1967.3321972402453</v>
      </c>
      <c r="I79" s="13">
        <f t="shared" si="36"/>
        <v>78022.986950306033</v>
      </c>
      <c r="J79" s="15">
        <f t="shared" si="28"/>
        <v>0.26406193681283774</v>
      </c>
      <c r="K79" s="13">
        <f t="shared" si="37"/>
        <v>44087.068097944022</v>
      </c>
      <c r="L79" s="13">
        <f t="shared" si="45"/>
        <v>1291015.6498541334</v>
      </c>
      <c r="M79" s="15">
        <f t="shared" si="38"/>
        <v>0.26406193681283779</v>
      </c>
      <c r="N79" s="13">
        <f t="shared" si="29"/>
        <v>738.2442904433783</v>
      </c>
      <c r="O79" s="13">
        <f t="shared" si="39"/>
        <v>33935.918852361938</v>
      </c>
      <c r="P79" s="15">
        <f t="shared" si="30"/>
        <v>0.16892515827819551</v>
      </c>
      <c r="Q79" s="7">
        <f t="shared" si="40"/>
        <v>200893.21921175497</v>
      </c>
      <c r="R79" s="7">
        <f t="shared" si="41"/>
        <v>166957.30035939303</v>
      </c>
      <c r="S79" s="13">
        <f>IF(Calc!$AD$32="Sim",R79,Q79)</f>
        <v>166957.30035939303</v>
      </c>
      <c r="T79" s="9">
        <f t="shared" si="42"/>
        <v>75</v>
      </c>
      <c r="U79" s="17">
        <f t="shared" ca="1" si="43"/>
        <v>47788</v>
      </c>
      <c r="V79" s="22"/>
      <c r="W79" s="22"/>
      <c r="X79" s="22"/>
    </row>
    <row r="80" spans="2:24" x14ac:dyDescent="0.2">
      <c r="B80" s="17">
        <f t="shared" ca="1" si="31"/>
        <v>47788</v>
      </c>
      <c r="C80" s="9">
        <f t="shared" si="44"/>
        <v>76</v>
      </c>
      <c r="D80" s="9"/>
      <c r="E80" s="13">
        <f t="shared" si="32"/>
        <v>1362.0683269147235</v>
      </c>
      <c r="F80" s="14">
        <f t="shared" si="33"/>
        <v>124232.30058836374</v>
      </c>
      <c r="G80" s="15">
        <f t="shared" si="34"/>
        <v>0.7334833884526234</v>
      </c>
      <c r="H80" s="13">
        <f t="shared" si="35"/>
        <v>2000.4302669034619</v>
      </c>
      <c r="I80" s="13">
        <f t="shared" si="36"/>
        <v>80023.417217209499</v>
      </c>
      <c r="J80" s="15">
        <f t="shared" si="28"/>
        <v>0.2665166115473766</v>
      </c>
      <c r="K80" s="13">
        <f t="shared" si="37"/>
        <v>45140.724819134033</v>
      </c>
      <c r="L80" s="13">
        <f t="shared" si="45"/>
        <v>1336156.3746732674</v>
      </c>
      <c r="M80" s="15">
        <f t="shared" si="38"/>
        <v>0.2665166115473766</v>
      </c>
      <c r="N80" s="13">
        <f t="shared" si="29"/>
        <v>750.60083188489693</v>
      </c>
      <c r="O80" s="13">
        <f t="shared" si="39"/>
        <v>34882.692398075364</v>
      </c>
      <c r="P80" s="15">
        <f t="shared" si="30"/>
        <v>0.17077951487889062</v>
      </c>
      <c r="Q80" s="7">
        <f t="shared" si="40"/>
        <v>204255.71780557313</v>
      </c>
      <c r="R80" s="7">
        <f t="shared" si="41"/>
        <v>169373.02540749777</v>
      </c>
      <c r="S80" s="13">
        <f>IF(Calc!$AD$32="Sim",R80,Q80)</f>
        <v>169373.02540749777</v>
      </c>
      <c r="T80" s="9">
        <f t="shared" si="42"/>
        <v>76</v>
      </c>
      <c r="U80" s="17">
        <f t="shared" ca="1" si="43"/>
        <v>47818</v>
      </c>
      <c r="V80" s="22"/>
      <c r="W80" s="22"/>
      <c r="X80" s="22"/>
    </row>
    <row r="81" spans="2:24" x14ac:dyDescent="0.2">
      <c r="B81" s="17">
        <f t="shared" ca="1" si="31"/>
        <v>47818</v>
      </c>
      <c r="C81" s="9">
        <f t="shared" si="44"/>
        <v>77</v>
      </c>
      <c r="D81" s="9"/>
      <c r="E81" s="13">
        <f t="shared" si="32"/>
        <v>1367.6175618803609</v>
      </c>
      <c r="F81" s="14">
        <f t="shared" si="33"/>
        <v>125599.91815024411</v>
      </c>
      <c r="G81" s="15">
        <f t="shared" si="34"/>
        <v>0.73104193841868148</v>
      </c>
      <c r="H81" s="13">
        <f t="shared" si="35"/>
        <v>2033.9129498227098</v>
      </c>
      <c r="I81" s="13">
        <f t="shared" si="36"/>
        <v>82057.330167032211</v>
      </c>
      <c r="J81" s="15">
        <f t="shared" si="28"/>
        <v>0.26895806158131852</v>
      </c>
      <c r="K81" s="13">
        <f t="shared" si="37"/>
        <v>46209.53839328824</v>
      </c>
      <c r="L81" s="13">
        <f t="shared" si="45"/>
        <v>1382365.9130665555</v>
      </c>
      <c r="M81" s="15">
        <f t="shared" si="38"/>
        <v>0.26895806158131852</v>
      </c>
      <c r="N81" s="13">
        <f t="shared" si="29"/>
        <v>763.10080818517611</v>
      </c>
      <c r="O81" s="13">
        <f t="shared" si="39"/>
        <v>35847.79177374384</v>
      </c>
      <c r="P81" s="15">
        <f t="shared" si="30"/>
        <v>0.17262961954967532</v>
      </c>
      <c r="Q81" s="7">
        <f t="shared" si="40"/>
        <v>207657.24831727619</v>
      </c>
      <c r="R81" s="7">
        <f t="shared" si="41"/>
        <v>171809.45654353235</v>
      </c>
      <c r="S81" s="13">
        <f>IF(Calc!$AD$32="Sim",R81,Q81)</f>
        <v>171809.45654353235</v>
      </c>
      <c r="T81" s="9">
        <f t="shared" si="42"/>
        <v>77</v>
      </c>
      <c r="U81" s="17">
        <f t="shared" ca="1" si="43"/>
        <v>47849</v>
      </c>
      <c r="V81" s="22"/>
      <c r="W81" s="22"/>
      <c r="X81" s="22"/>
    </row>
    <row r="82" spans="2:24" x14ac:dyDescent="0.2">
      <c r="B82" s="17">
        <f t="shared" ca="1" si="31"/>
        <v>47849</v>
      </c>
      <c r="C82" s="9">
        <f t="shared" si="44"/>
        <v>78</v>
      </c>
      <c r="D82" s="9"/>
      <c r="E82" s="13">
        <f t="shared" si="32"/>
        <v>1373.1894051161528</v>
      </c>
      <c r="F82" s="14">
        <f t="shared" si="33"/>
        <v>126973.10755536026</v>
      </c>
      <c r="G82" s="15">
        <f t="shared" si="34"/>
        <v>0.72861352135000179</v>
      </c>
      <c r="H82" s="13">
        <f t="shared" si="35"/>
        <v>2067.7843000659154</v>
      </c>
      <c r="I82" s="13">
        <f t="shared" si="36"/>
        <v>84125.11446709813</v>
      </c>
      <c r="J82" s="15">
        <f t="shared" si="28"/>
        <v>0.27138647864999821</v>
      </c>
      <c r="K82" s="13">
        <f t="shared" si="37"/>
        <v>47293.638579270671</v>
      </c>
      <c r="L82" s="13">
        <f t="shared" si="45"/>
        <v>1429659.5516458261</v>
      </c>
      <c r="M82" s="15">
        <f t="shared" si="38"/>
        <v>0.27138647864999821</v>
      </c>
      <c r="N82" s="13">
        <f t="shared" si="29"/>
        <v>775.74573070363522</v>
      </c>
      <c r="O82" s="13">
        <f t="shared" si="39"/>
        <v>36831.475887827342</v>
      </c>
      <c r="P82" s="15">
        <f t="shared" si="30"/>
        <v>0.17447553814029246</v>
      </c>
      <c r="Q82" s="7">
        <f t="shared" si="40"/>
        <v>211098.22202245827</v>
      </c>
      <c r="R82" s="7">
        <f t="shared" si="41"/>
        <v>174266.74613463093</v>
      </c>
      <c r="S82" s="13">
        <f>IF(Calc!$AD$32="Sim",R82,Q82)</f>
        <v>174266.74613463093</v>
      </c>
      <c r="T82" s="9">
        <f t="shared" si="42"/>
        <v>78</v>
      </c>
      <c r="U82" s="17">
        <f t="shared" ca="1" si="43"/>
        <v>47880</v>
      </c>
      <c r="V82" s="22"/>
      <c r="W82" s="22"/>
      <c r="X82" s="22"/>
    </row>
    <row r="83" spans="2:24" x14ac:dyDescent="0.2">
      <c r="B83" s="17">
        <f t="shared" ca="1" si="31"/>
        <v>47880</v>
      </c>
      <c r="C83" s="9">
        <f t="shared" si="44"/>
        <v>79</v>
      </c>
      <c r="D83" s="9"/>
      <c r="E83" s="13">
        <f t="shared" si="32"/>
        <v>1378.7839487309905</v>
      </c>
      <c r="F83" s="14">
        <f t="shared" si="33"/>
        <v>128351.89150409125</v>
      </c>
      <c r="G83" s="15">
        <f t="shared" si="34"/>
        <v>0.72619795151844457</v>
      </c>
      <c r="H83" s="13">
        <f t="shared" si="35"/>
        <v>2102.0484129835822</v>
      </c>
      <c r="I83" s="13">
        <f t="shared" si="36"/>
        <v>86227.162880081713</v>
      </c>
      <c r="J83" s="15">
        <f t="shared" si="28"/>
        <v>0.27380204848155543</v>
      </c>
      <c r="K83" s="13">
        <f t="shared" si="37"/>
        <v>48393.156090319753</v>
      </c>
      <c r="L83" s="13">
        <f t="shared" si="45"/>
        <v>1478052.7077361459</v>
      </c>
      <c r="M83" s="15">
        <f t="shared" si="38"/>
        <v>0.27380204848155548</v>
      </c>
      <c r="N83" s="13">
        <f t="shared" si="29"/>
        <v>788.53712618780867</v>
      </c>
      <c r="O83" s="13">
        <f t="shared" si="39"/>
        <v>37834.006789761828</v>
      </c>
      <c r="P83" s="15">
        <f t="shared" si="30"/>
        <v>0.17631733394642282</v>
      </c>
      <c r="Q83" s="7">
        <f t="shared" si="40"/>
        <v>214579.05438417284</v>
      </c>
      <c r="R83" s="7">
        <f t="shared" si="41"/>
        <v>176745.04759441101</v>
      </c>
      <c r="S83" s="13">
        <f>IF(Calc!$AD$32="Sim",R83,Q83)</f>
        <v>176745.04759441101</v>
      </c>
      <c r="T83" s="9">
        <f t="shared" si="42"/>
        <v>79</v>
      </c>
      <c r="U83" s="17">
        <f t="shared" ca="1" si="43"/>
        <v>47908</v>
      </c>
      <c r="V83" s="22"/>
      <c r="W83" s="22"/>
      <c r="X83" s="22"/>
    </row>
    <row r="84" spans="2:24" x14ac:dyDescent="0.2">
      <c r="B84" s="17">
        <f t="shared" ca="1" si="31"/>
        <v>47908</v>
      </c>
      <c r="C84" s="9">
        <f t="shared" si="44"/>
        <v>80</v>
      </c>
      <c r="D84" s="9"/>
      <c r="E84" s="13">
        <f t="shared" si="32"/>
        <v>1384.4012852090279</v>
      </c>
      <c r="F84" s="14">
        <f t="shared" si="33"/>
        <v>129736.29278930028</v>
      </c>
      <c r="G84" s="15">
        <f t="shared" si="34"/>
        <v>0.72379504894245272</v>
      </c>
      <c r="H84" s="13">
        <f t="shared" si="35"/>
        <v>2136.7094256235919</v>
      </c>
      <c r="I84" s="13">
        <f t="shared" si="36"/>
        <v>88363.872305705299</v>
      </c>
      <c r="J84" s="15">
        <f t="shared" si="28"/>
        <v>0.27620495105754728</v>
      </c>
      <c r="K84" s="13">
        <f t="shared" si="37"/>
        <v>49508.222600601628</v>
      </c>
      <c r="L84" s="13">
        <f t="shared" si="45"/>
        <v>1527560.9303367476</v>
      </c>
      <c r="M84" s="15">
        <f t="shared" si="38"/>
        <v>0.27620495105754722</v>
      </c>
      <c r="N84" s="13">
        <f t="shared" si="29"/>
        <v>801.47653692795529</v>
      </c>
      <c r="O84" s="13">
        <f t="shared" si="39"/>
        <v>38855.64970510354</v>
      </c>
      <c r="P84" s="15">
        <f t="shared" si="30"/>
        <v>0.17815506782481269</v>
      </c>
      <c r="Q84" s="7">
        <f t="shared" si="40"/>
        <v>218100.16509500545</v>
      </c>
      <c r="R84" s="7">
        <f t="shared" si="41"/>
        <v>179244.51538990191</v>
      </c>
      <c r="S84" s="13">
        <f>IF(Calc!$AD$32="Sim",R84,Q84)</f>
        <v>179244.51538990191</v>
      </c>
      <c r="T84" s="9">
        <f t="shared" si="42"/>
        <v>80</v>
      </c>
      <c r="U84" s="17">
        <f t="shared" ca="1" si="43"/>
        <v>47939</v>
      </c>
      <c r="V84" s="22"/>
      <c r="W84" s="22"/>
      <c r="X84" s="22"/>
    </row>
    <row r="85" spans="2:24" x14ac:dyDescent="0.2">
      <c r="B85" s="17">
        <f t="shared" ca="1" si="31"/>
        <v>47939</v>
      </c>
      <c r="C85" s="9">
        <f t="shared" si="44"/>
        <v>81</v>
      </c>
      <c r="D85" s="9"/>
      <c r="E85" s="13">
        <f t="shared" si="32"/>
        <v>1390.0415074112113</v>
      </c>
      <c r="F85" s="14">
        <f t="shared" si="33"/>
        <v>131126.33429671149</v>
      </c>
      <c r="G85" s="15">
        <f t="shared" si="34"/>
        <v>0.7214046391400728</v>
      </c>
      <c r="H85" s="13">
        <f t="shared" si="35"/>
        <v>2171.7715171501504</v>
      </c>
      <c r="I85" s="13">
        <f t="shared" si="36"/>
        <v>90535.643822855447</v>
      </c>
      <c r="J85" s="15">
        <f t="shared" si="28"/>
        <v>0.2785953608599272</v>
      </c>
      <c r="K85" s="13">
        <f t="shared" si="37"/>
        <v>50638.970751806657</v>
      </c>
      <c r="L85" s="13">
        <f t="shared" si="45"/>
        <v>1578199.9010885542</v>
      </c>
      <c r="M85" s="15">
        <f t="shared" si="38"/>
        <v>0.2785953608599272</v>
      </c>
      <c r="N85" s="13">
        <f t="shared" si="29"/>
        <v>814.56552091321191</v>
      </c>
      <c r="O85" s="13">
        <f t="shared" si="39"/>
        <v>39896.673071048688</v>
      </c>
      <c r="P85" s="15">
        <f t="shared" si="30"/>
        <v>0.17998879830228709</v>
      </c>
      <c r="Q85" s="7">
        <f t="shared" si="40"/>
        <v>221661.97811956683</v>
      </c>
      <c r="R85" s="7">
        <f t="shared" si="41"/>
        <v>181765.30504851814</v>
      </c>
      <c r="S85" s="13">
        <f>IF(Calc!$AD$32="Sim",R85,Q85)</f>
        <v>181765.30504851814</v>
      </c>
      <c r="T85" s="9">
        <f t="shared" si="42"/>
        <v>81</v>
      </c>
      <c r="U85" s="17">
        <f t="shared" ca="1" si="43"/>
        <v>47969</v>
      </c>
      <c r="V85" s="22"/>
      <c r="W85" s="22"/>
      <c r="X85" s="22"/>
    </row>
    <row r="86" spans="2:24" x14ac:dyDescent="0.2">
      <c r="B86" s="17">
        <f t="shared" ca="1" si="31"/>
        <v>47969</v>
      </c>
      <c r="C86" s="9">
        <f t="shared" si="44"/>
        <v>82</v>
      </c>
      <c r="D86" s="9"/>
      <c r="E86" s="13">
        <f t="shared" si="32"/>
        <v>1395.7047085768138</v>
      </c>
      <c r="F86" s="14">
        <f t="shared" si="33"/>
        <v>132522.0390052883</v>
      </c>
      <c r="G86" s="15">
        <f t="shared" si="34"/>
        <v>0.71902655289477913</v>
      </c>
      <c r="H86" s="13">
        <f t="shared" si="35"/>
        <v>2207.2389092669205</v>
      </c>
      <c r="I86" s="13">
        <f t="shared" si="36"/>
        <v>92742.882732122365</v>
      </c>
      <c r="J86" s="15">
        <f t="shared" si="28"/>
        <v>0.28097344710522087</v>
      </c>
      <c r="K86" s="13">
        <f t="shared" si="37"/>
        <v>51785.534159789648</v>
      </c>
      <c r="L86" s="13">
        <f t="shared" si="45"/>
        <v>1629985.4352483437</v>
      </c>
      <c r="M86" s="15">
        <f t="shared" si="38"/>
        <v>0.28097344710522082</v>
      </c>
      <c r="N86" s="13">
        <f t="shared" si="29"/>
        <v>827.80565198930799</v>
      </c>
      <c r="O86" s="13">
        <f t="shared" si="39"/>
        <v>40957.348572332616</v>
      </c>
      <c r="P86" s="15">
        <f t="shared" si="30"/>
        <v>0.18181858167902526</v>
      </c>
      <c r="Q86" s="7">
        <f t="shared" si="40"/>
        <v>225264.92173741056</v>
      </c>
      <c r="R86" s="7">
        <f t="shared" si="41"/>
        <v>184307.57316507795</v>
      </c>
      <c r="S86" s="13">
        <f>IF(Calc!$AD$32="Sim",R86,Q86)</f>
        <v>184307.57316507795</v>
      </c>
      <c r="T86" s="9">
        <f t="shared" si="42"/>
        <v>82</v>
      </c>
      <c r="U86" s="17">
        <f t="shared" ca="1" si="43"/>
        <v>48000</v>
      </c>
      <c r="V86" s="22"/>
      <c r="W86" s="22"/>
      <c r="X86" s="22"/>
    </row>
    <row r="87" spans="2:24" x14ac:dyDescent="0.2">
      <c r="B87" s="17">
        <f t="shared" ca="1" si="31"/>
        <v>48000</v>
      </c>
      <c r="C87" s="9">
        <f t="shared" si="44"/>
        <v>83</v>
      </c>
      <c r="D87" s="9"/>
      <c r="E87" s="13">
        <f t="shared" si="32"/>
        <v>1401.3909823249767</v>
      </c>
      <c r="F87" s="14">
        <f t="shared" si="33"/>
        <v>133923.42998761329</v>
      </c>
      <c r="G87" s="15">
        <f t="shared" si="34"/>
        <v>0.71666062603333602</v>
      </c>
      <c r="H87" s="13">
        <f t="shared" si="35"/>
        <v>2243.1158666443825</v>
      </c>
      <c r="I87" s="13">
        <f t="shared" si="36"/>
        <v>94985.998598766746</v>
      </c>
      <c r="J87" s="15">
        <f t="shared" si="28"/>
        <v>0.28333937396666398</v>
      </c>
      <c r="K87" s="13">
        <f t="shared" si="37"/>
        <v>52948.047421254072</v>
      </c>
      <c r="L87" s="13">
        <f t="shared" si="45"/>
        <v>1682933.4826695977</v>
      </c>
      <c r="M87" s="15">
        <f t="shared" si="38"/>
        <v>0.28333937396666398</v>
      </c>
      <c r="N87" s="13">
        <f t="shared" si="29"/>
        <v>841.19852001785716</v>
      </c>
      <c r="O87" s="13">
        <f t="shared" si="39"/>
        <v>42037.951177512587</v>
      </c>
      <c r="P87" s="15">
        <f t="shared" si="30"/>
        <v>0.18364447212644799</v>
      </c>
      <c r="Q87" s="7">
        <f t="shared" si="40"/>
        <v>228909.42858637995</v>
      </c>
      <c r="R87" s="7">
        <f t="shared" si="41"/>
        <v>186871.47740886736</v>
      </c>
      <c r="S87" s="13">
        <f>IF(Calc!$AD$32="Sim",R87,Q87)</f>
        <v>186871.47740886736</v>
      </c>
      <c r="T87" s="9">
        <f t="shared" si="42"/>
        <v>83</v>
      </c>
      <c r="U87" s="17">
        <f t="shared" ca="1" si="43"/>
        <v>48030</v>
      </c>
      <c r="V87" s="22"/>
      <c r="W87" s="22"/>
      <c r="X87" s="22"/>
    </row>
    <row r="88" spans="2:24" x14ac:dyDescent="0.2">
      <c r="B88" s="17">
        <f t="shared" ca="1" si="31"/>
        <v>48030</v>
      </c>
      <c r="C88" s="9">
        <f t="shared" si="44"/>
        <v>84</v>
      </c>
      <c r="D88" s="9">
        <v>7</v>
      </c>
      <c r="E88" s="13">
        <f t="shared" si="32"/>
        <v>1407.1004226562573</v>
      </c>
      <c r="F88" s="14">
        <f t="shared" si="33"/>
        <v>135330.53041026954</v>
      </c>
      <c r="G88" s="15">
        <f t="shared" si="34"/>
        <v>0.71430669921497869</v>
      </c>
      <c r="H88" s="13">
        <f t="shared" si="35"/>
        <v>2279.4066973514687</v>
      </c>
      <c r="I88" s="13">
        <f t="shared" si="36"/>
        <v>97265.405296118217</v>
      </c>
      <c r="J88" s="15">
        <f t="shared" si="28"/>
        <v>0.28569330078502131</v>
      </c>
      <c r="K88" s="13">
        <f t="shared" si="37"/>
        <v>54126.646120480436</v>
      </c>
      <c r="L88" s="13">
        <f t="shared" si="45"/>
        <v>1737060.1287900782</v>
      </c>
      <c r="M88" s="15">
        <f t="shared" si="38"/>
        <v>0.28569330078502131</v>
      </c>
      <c r="N88" s="13">
        <f t="shared" si="29"/>
        <v>854.7457310372389</v>
      </c>
      <c r="O88" s="13">
        <f t="shared" si="39"/>
        <v>43138.759175637679</v>
      </c>
      <c r="P88" s="15">
        <f t="shared" si="30"/>
        <v>0.18546652178004064</v>
      </c>
      <c r="Q88" s="7">
        <f t="shared" si="40"/>
        <v>232595.93570638765</v>
      </c>
      <c r="R88" s="7">
        <f t="shared" si="41"/>
        <v>189457.17653074997</v>
      </c>
      <c r="S88" s="13">
        <f>IF(Calc!$AD$32="Sim",R88,Q88)</f>
        <v>189457.17653074997</v>
      </c>
      <c r="T88" s="9">
        <f t="shared" si="42"/>
        <v>84</v>
      </c>
      <c r="U88" s="17">
        <f t="shared" ca="1" si="43"/>
        <v>48061</v>
      </c>
      <c r="V88" s="22"/>
      <c r="W88" s="22"/>
      <c r="X88" s="22"/>
    </row>
    <row r="89" spans="2:24" x14ac:dyDescent="0.2">
      <c r="B89" s="17">
        <f t="shared" ca="1" si="31"/>
        <v>48061</v>
      </c>
      <c r="C89" s="9">
        <f t="shared" si="44"/>
        <v>85</v>
      </c>
      <c r="D89" s="9"/>
      <c r="E89" s="13">
        <f t="shared" si="32"/>
        <v>1412.8331239541828</v>
      </c>
      <c r="F89" s="14">
        <f t="shared" si="33"/>
        <v>136743.36353422372</v>
      </c>
      <c r="G89" s="15">
        <f t="shared" si="34"/>
        <v>0.71196461773124653</v>
      </c>
      <c r="H89" s="13">
        <f t="shared" si="35"/>
        <v>2316.1157532915058</v>
      </c>
      <c r="I89" s="13">
        <f t="shared" si="36"/>
        <v>99581.521049409726</v>
      </c>
      <c r="J89" s="15">
        <f t="shared" si="28"/>
        <v>0.28803538226875347</v>
      </c>
      <c r="K89" s="13">
        <f t="shared" si="37"/>
        <v>55321.46683609928</v>
      </c>
      <c r="L89" s="13">
        <f t="shared" si="45"/>
        <v>1792381.5956261775</v>
      </c>
      <c r="M89" s="15">
        <f t="shared" si="38"/>
        <v>0.28803538226875347</v>
      </c>
      <c r="N89" s="13">
        <f t="shared" si="29"/>
        <v>868.44890742508971</v>
      </c>
      <c r="O89" s="13">
        <f t="shared" si="39"/>
        <v>44260.05421331033</v>
      </c>
      <c r="P89" s="15">
        <f t="shared" si="30"/>
        <v>0.18728478082741676</v>
      </c>
      <c r="Q89" s="7">
        <f t="shared" si="40"/>
        <v>236324.88458363333</v>
      </c>
      <c r="R89" s="7">
        <f t="shared" si="41"/>
        <v>192064.830370323</v>
      </c>
      <c r="S89" s="13">
        <f>IF(Calc!$AD$32="Sim",R89,Q89)</f>
        <v>192064.830370323</v>
      </c>
      <c r="T89" s="9">
        <f t="shared" si="42"/>
        <v>85</v>
      </c>
      <c r="U89" s="17">
        <f t="shared" ca="1" si="43"/>
        <v>48092</v>
      </c>
      <c r="V89" s="22"/>
      <c r="W89" s="22"/>
      <c r="X89" s="22"/>
    </row>
    <row r="90" spans="2:24" x14ac:dyDescent="0.2">
      <c r="B90" s="17">
        <f t="shared" ca="1" si="31"/>
        <v>48092</v>
      </c>
      <c r="C90" s="9">
        <f t="shared" si="44"/>
        <v>86</v>
      </c>
      <c r="D90" s="9"/>
      <c r="E90" s="13">
        <f t="shared" si="32"/>
        <v>1418.5891809868108</v>
      </c>
      <c r="F90" s="14">
        <f t="shared" si="33"/>
        <v>138161.95271521053</v>
      </c>
      <c r="G90" s="15">
        <f t="shared" si="34"/>
        <v>0.70963423131584391</v>
      </c>
      <c r="H90" s="13">
        <f t="shared" si="35"/>
        <v>2353.2474306425224</v>
      </c>
      <c r="I90" s="13">
        <f t="shared" si="36"/>
        <v>101934.76848005225</v>
      </c>
      <c r="J90" s="15">
        <f t="shared" si="28"/>
        <v>0.29036576868415609</v>
      </c>
      <c r="K90" s="13">
        <f t="shared" si="37"/>
        <v>56532.647147908836</v>
      </c>
      <c r="L90" s="13">
        <f t="shared" si="45"/>
        <v>1848914.2427740863</v>
      </c>
      <c r="M90" s="15">
        <f t="shared" si="38"/>
        <v>0.29036576868415603</v>
      </c>
      <c r="N90" s="13">
        <f t="shared" si="29"/>
        <v>882.30968806241708</v>
      </c>
      <c r="O90" s="13">
        <f t="shared" si="39"/>
        <v>45402.121332143288</v>
      </c>
      <c r="P90" s="15">
        <f t="shared" si="30"/>
        <v>0.18909929759190364</v>
      </c>
      <c r="Q90" s="7">
        <f t="shared" si="40"/>
        <v>240096.72119526265</v>
      </c>
      <c r="R90" s="7">
        <f t="shared" si="41"/>
        <v>194694.59986311937</v>
      </c>
      <c r="S90" s="13">
        <f>IF(Calc!$AD$32="Sim",R90,Q90)</f>
        <v>194694.59986311937</v>
      </c>
      <c r="T90" s="9">
        <f t="shared" si="42"/>
        <v>86</v>
      </c>
      <c r="U90" s="17">
        <f t="shared" ca="1" si="43"/>
        <v>48122</v>
      </c>
      <c r="V90" s="22"/>
      <c r="W90" s="22"/>
      <c r="X90" s="22"/>
    </row>
    <row r="91" spans="2:24" x14ac:dyDescent="0.2">
      <c r="B91" s="17">
        <f t="shared" ca="1" si="31"/>
        <v>48122</v>
      </c>
      <c r="C91" s="9">
        <f t="shared" si="44"/>
        <v>87</v>
      </c>
      <c r="D91" s="9"/>
      <c r="E91" s="13">
        <f t="shared" si="32"/>
        <v>1424.3686889082953</v>
      </c>
      <c r="F91" s="14">
        <f t="shared" si="33"/>
        <v>139586.32140411882</v>
      </c>
      <c r="G91" s="15">
        <f t="shared" si="34"/>
        <v>0.70731539396394727</v>
      </c>
      <c r="H91" s="13">
        <f t="shared" si="35"/>
        <v>2390.8061703019466</v>
      </c>
      <c r="I91" s="13">
        <f t="shared" si="36"/>
        <v>104325.5746503542</v>
      </c>
      <c r="J91" s="15">
        <f t="shared" si="28"/>
        <v>0.29268460603605273</v>
      </c>
      <c r="K91" s="13">
        <f t="shared" si="37"/>
        <v>57760.325643737888</v>
      </c>
      <c r="L91" s="13">
        <f t="shared" si="45"/>
        <v>1906674.5684178241</v>
      </c>
      <c r="M91" s="15">
        <f t="shared" si="38"/>
        <v>0.29268460603605273</v>
      </c>
      <c r="N91" s="13">
        <f t="shared" si="29"/>
        <v>896.32972849935311</v>
      </c>
      <c r="O91" s="13">
        <f t="shared" si="39"/>
        <v>46565.249006616184</v>
      </c>
      <c r="P91" s="15">
        <f t="shared" si="30"/>
        <v>0.1909101186119137</v>
      </c>
      <c r="Q91" s="7">
        <f t="shared" si="40"/>
        <v>243911.89605447289</v>
      </c>
      <c r="R91" s="7">
        <f t="shared" si="41"/>
        <v>197346.64704785671</v>
      </c>
      <c r="S91" s="13">
        <f>IF(Calc!$AD$32="Sim",R91,Q91)</f>
        <v>197346.64704785671</v>
      </c>
      <c r="T91" s="9">
        <f t="shared" si="42"/>
        <v>87</v>
      </c>
      <c r="U91" s="17">
        <f t="shared" ca="1" si="43"/>
        <v>48153</v>
      </c>
      <c r="V91" s="22"/>
      <c r="W91" s="22"/>
      <c r="X91" s="22"/>
    </row>
    <row r="92" spans="2:24" x14ac:dyDescent="0.2">
      <c r="B92" s="17">
        <f t="shared" ca="1" si="31"/>
        <v>48153</v>
      </c>
      <c r="C92" s="9">
        <f t="shared" si="44"/>
        <v>88</v>
      </c>
      <c r="D92" s="9"/>
      <c r="E92" s="13">
        <f t="shared" si="32"/>
        <v>1430.1717432604607</v>
      </c>
      <c r="F92" s="14">
        <f t="shared" si="33"/>
        <v>141016.49314737928</v>
      </c>
      <c r="G92" s="15">
        <f t="shared" si="34"/>
        <v>0.7050079637604133</v>
      </c>
      <c r="H92" s="13">
        <f t="shared" si="35"/>
        <v>2428.7964583357534</v>
      </c>
      <c r="I92" s="13">
        <f t="shared" si="36"/>
        <v>106754.37110868996</v>
      </c>
      <c r="J92" s="15">
        <f t="shared" si="28"/>
        <v>0.2949920362395867</v>
      </c>
      <c r="K92" s="13">
        <f t="shared" si="37"/>
        <v>59004.641926354001</v>
      </c>
      <c r="L92" s="13">
        <f t="shared" si="45"/>
        <v>1965679.2103441781</v>
      </c>
      <c r="M92" s="15">
        <f t="shared" si="38"/>
        <v>0.29499203623958675</v>
      </c>
      <c r="N92" s="13">
        <f t="shared" si="29"/>
        <v>910.51070112256593</v>
      </c>
      <c r="O92" s="13">
        <f t="shared" si="39"/>
        <v>47749.729182335839</v>
      </c>
      <c r="P92" s="15">
        <f t="shared" si="30"/>
        <v>0.19271728871634758</v>
      </c>
      <c r="Q92" s="7">
        <f t="shared" si="40"/>
        <v>247770.86425606912</v>
      </c>
      <c r="R92" s="7">
        <f t="shared" si="41"/>
        <v>200021.13507373328</v>
      </c>
      <c r="S92" s="13">
        <f>IF(Calc!$AD$32="Sim",R92,Q92)</f>
        <v>200021.13507373328</v>
      </c>
      <c r="T92" s="9">
        <f t="shared" si="42"/>
        <v>88</v>
      </c>
      <c r="U92" s="17">
        <f t="shared" ca="1" si="43"/>
        <v>48183</v>
      </c>
      <c r="V92" s="22"/>
      <c r="W92" s="22"/>
      <c r="X92" s="22"/>
    </row>
    <row r="93" spans="2:24" x14ac:dyDescent="0.2">
      <c r="B93" s="17">
        <f t="shared" ca="1" si="31"/>
        <v>48183</v>
      </c>
      <c r="C93" s="9">
        <f t="shared" si="44"/>
        <v>89</v>
      </c>
      <c r="D93" s="9"/>
      <c r="E93" s="13">
        <f t="shared" si="32"/>
        <v>1435.9984399743801</v>
      </c>
      <c r="F93" s="14">
        <f t="shared" si="33"/>
        <v>142452.49158735367</v>
      </c>
      <c r="G93" s="15">
        <f t="shared" si="34"/>
        <v>0.70271180271638189</v>
      </c>
      <c r="H93" s="13">
        <f t="shared" si="35"/>
        <v>2467.2228264321011</v>
      </c>
      <c r="I93" s="13">
        <f t="shared" si="36"/>
        <v>109221.59393512206</v>
      </c>
      <c r="J93" s="15">
        <f t="shared" si="28"/>
        <v>0.29728819728361811</v>
      </c>
      <c r="K93" s="13">
        <f t="shared" si="37"/>
        <v>60265.73662041736</v>
      </c>
      <c r="L93" s="13">
        <f t="shared" si="45"/>
        <v>2025944.9469645955</v>
      </c>
      <c r="M93" s="15">
        <f t="shared" si="38"/>
        <v>0.29728819728361816</v>
      </c>
      <c r="N93" s="13">
        <f t="shared" si="29"/>
        <v>924.85429532434136</v>
      </c>
      <c r="O93" s="13">
        <f t="shared" si="39"/>
        <v>48955.857314704568</v>
      </c>
      <c r="P93" s="15">
        <f t="shared" si="30"/>
        <v>0.19452085109625877</v>
      </c>
      <c r="Q93" s="7">
        <f t="shared" si="40"/>
        <v>251674.08552247559</v>
      </c>
      <c r="R93" s="7">
        <f t="shared" si="41"/>
        <v>202718.22820777103</v>
      </c>
      <c r="S93" s="13">
        <f>IF(Calc!$AD$32="Sim",R93,Q93)</f>
        <v>202718.22820777103</v>
      </c>
      <c r="T93" s="9">
        <f t="shared" si="42"/>
        <v>89</v>
      </c>
      <c r="U93" s="17">
        <f t="shared" ca="1" si="43"/>
        <v>48214</v>
      </c>
      <c r="V93" s="22"/>
      <c r="W93" s="22"/>
      <c r="X93" s="22"/>
    </row>
    <row r="94" spans="2:24" x14ac:dyDescent="0.2">
      <c r="B94" s="17">
        <f t="shared" ca="1" si="31"/>
        <v>48214</v>
      </c>
      <c r="C94" s="9">
        <f t="shared" si="44"/>
        <v>90</v>
      </c>
      <c r="D94" s="9"/>
      <c r="E94" s="13">
        <f t="shared" si="32"/>
        <v>1441.8488753719616</v>
      </c>
      <c r="F94" s="14">
        <f t="shared" si="33"/>
        <v>143894.34046272564</v>
      </c>
      <c r="G94" s="15">
        <f t="shared" si="34"/>
        <v>0.70042677661379626</v>
      </c>
      <c r="H94" s="13">
        <f t="shared" si="35"/>
        <v>2506.0898523594942</v>
      </c>
      <c r="I94" s="13">
        <f t="shared" si="36"/>
        <v>111727.68378748155</v>
      </c>
      <c r="J94" s="15">
        <f t="shared" si="28"/>
        <v>0.29957322338620374</v>
      </c>
      <c r="K94" s="13">
        <f t="shared" si="37"/>
        <v>61543.751379480731</v>
      </c>
      <c r="L94" s="13">
        <f t="shared" si="45"/>
        <v>2087488.6983440763</v>
      </c>
      <c r="M94" s="15">
        <f t="shared" si="38"/>
        <v>0.29957322338620374</v>
      </c>
      <c r="N94" s="13">
        <f t="shared" si="29"/>
        <v>939.36221767335769</v>
      </c>
      <c r="O94" s="13">
        <f t="shared" si="39"/>
        <v>50183.932408000692</v>
      </c>
      <c r="P94" s="15">
        <f t="shared" si="30"/>
        <v>0.19632084737299407</v>
      </c>
      <c r="Q94" s="7">
        <f t="shared" si="40"/>
        <v>255622.02425020706</v>
      </c>
      <c r="R94" s="7">
        <f t="shared" si="41"/>
        <v>205438.09184220637</v>
      </c>
      <c r="S94" s="13">
        <f>IF(Calc!$AD$32="Sim",R94,Q94)</f>
        <v>205438.09184220637</v>
      </c>
      <c r="T94" s="9">
        <f t="shared" si="42"/>
        <v>90</v>
      </c>
      <c r="U94" s="17">
        <f t="shared" ca="1" si="43"/>
        <v>48245</v>
      </c>
      <c r="V94" s="22"/>
      <c r="W94" s="22"/>
      <c r="X94" s="22"/>
    </row>
    <row r="95" spans="2:24" x14ac:dyDescent="0.2">
      <c r="B95" s="17">
        <f t="shared" ca="1" si="31"/>
        <v>48245</v>
      </c>
      <c r="C95" s="9">
        <f t="shared" si="44"/>
        <v>91</v>
      </c>
      <c r="D95" s="9"/>
      <c r="E95" s="13">
        <f t="shared" si="32"/>
        <v>1447.7231461675412</v>
      </c>
      <c r="F95" s="14">
        <f t="shared" si="33"/>
        <v>145342.06360889319</v>
      </c>
      <c r="G95" s="15">
        <f t="shared" si="34"/>
        <v>0.69815275485739714</v>
      </c>
      <c r="H95" s="13">
        <f t="shared" si="35"/>
        <v>2545.4021604295331</v>
      </c>
      <c r="I95" s="13">
        <f t="shared" si="36"/>
        <v>114273.08594791108</v>
      </c>
      <c r="J95" s="15">
        <f t="shared" si="28"/>
        <v>0.30184724514260286</v>
      </c>
      <c r="K95" s="13">
        <f t="shared" si="37"/>
        <v>62838.828893035534</v>
      </c>
      <c r="L95" s="13">
        <f t="shared" si="45"/>
        <v>2150327.5272371117</v>
      </c>
      <c r="M95" s="15">
        <f t="shared" si="38"/>
        <v>0.30184724514260286</v>
      </c>
      <c r="N95" s="13">
        <f t="shared" si="29"/>
        <v>954.03619208716304</v>
      </c>
      <c r="O95" s="13">
        <f t="shared" si="39"/>
        <v>51434.25705487543</v>
      </c>
      <c r="P95" s="15">
        <f t="shared" si="30"/>
        <v>0.1981173176630108</v>
      </c>
      <c r="Q95" s="7">
        <f t="shared" si="40"/>
        <v>259615.14955680416</v>
      </c>
      <c r="R95" s="7">
        <f t="shared" si="41"/>
        <v>208180.89250192873</v>
      </c>
      <c r="S95" s="13">
        <f>IF(Calc!$AD$32="Sim",R95,Q95)</f>
        <v>208180.89250192873</v>
      </c>
      <c r="T95" s="9">
        <f t="shared" si="42"/>
        <v>91</v>
      </c>
      <c r="U95" s="17">
        <f t="shared" ca="1" si="43"/>
        <v>48274</v>
      </c>
      <c r="V95" s="22"/>
      <c r="W95" s="22"/>
      <c r="X95" s="22"/>
    </row>
    <row r="96" spans="2:24" x14ac:dyDescent="0.2">
      <c r="B96" s="17">
        <f t="shared" ca="1" si="31"/>
        <v>48274</v>
      </c>
      <c r="C96" s="9">
        <f t="shared" si="44"/>
        <v>92</v>
      </c>
      <c r="D96" s="9"/>
      <c r="E96" s="13">
        <f t="shared" si="32"/>
        <v>1453.6213494694807</v>
      </c>
      <c r="F96" s="14">
        <f t="shared" si="33"/>
        <v>146795.68495836266</v>
      </c>
      <c r="G96" s="15">
        <f t="shared" si="34"/>
        <v>0.69588961033377283</v>
      </c>
      <c r="H96" s="13">
        <f t="shared" si="35"/>
        <v>2585.1644219642799</v>
      </c>
      <c r="I96" s="13">
        <f t="shared" si="36"/>
        <v>116858.25036987536</v>
      </c>
      <c r="J96" s="15">
        <f t="shared" si="28"/>
        <v>0.30411038966622717</v>
      </c>
      <c r="K96" s="13">
        <f t="shared" si="37"/>
        <v>64151.112893604615</v>
      </c>
      <c r="L96" s="13">
        <f t="shared" si="45"/>
        <v>2214478.6401307164</v>
      </c>
      <c r="M96" s="15">
        <f t="shared" si="38"/>
        <v>0.30411038966622717</v>
      </c>
      <c r="N96" s="13">
        <f t="shared" si="29"/>
        <v>968.87796000637832</v>
      </c>
      <c r="O96" s="13">
        <f t="shared" si="39"/>
        <v>52707.137476270611</v>
      </c>
      <c r="P96" s="15">
        <f t="shared" si="30"/>
        <v>0.19991030063955798</v>
      </c>
      <c r="Q96" s="7">
        <f t="shared" si="40"/>
        <v>263653.93532823789</v>
      </c>
      <c r="R96" s="7">
        <f t="shared" si="41"/>
        <v>210946.79785196728</v>
      </c>
      <c r="S96" s="13">
        <f>IF(Calc!$AD$32="Sim",R96,Q96)</f>
        <v>210946.79785196728</v>
      </c>
      <c r="T96" s="9">
        <f t="shared" si="42"/>
        <v>92</v>
      </c>
      <c r="U96" s="17">
        <f t="shared" ca="1" si="43"/>
        <v>48305</v>
      </c>
      <c r="V96" s="22"/>
      <c r="W96" s="22"/>
      <c r="X96" s="22"/>
    </row>
    <row r="97" spans="2:24" x14ac:dyDescent="0.2">
      <c r="B97" s="17">
        <f t="shared" ca="1" si="31"/>
        <v>48305</v>
      </c>
      <c r="C97" s="9">
        <f t="shared" si="44"/>
        <v>93</v>
      </c>
      <c r="D97" s="9"/>
      <c r="E97" s="13">
        <f t="shared" si="32"/>
        <v>1459.5435827817732</v>
      </c>
      <c r="F97" s="14">
        <f t="shared" si="33"/>
        <v>148255.22854114443</v>
      </c>
      <c r="G97" s="15">
        <f t="shared" si="34"/>
        <v>0.69363721927707656</v>
      </c>
      <c r="H97" s="13">
        <f t="shared" si="35"/>
        <v>2625.381355768297</v>
      </c>
      <c r="I97" s="13">
        <f t="shared" si="36"/>
        <v>119483.63172564366</v>
      </c>
      <c r="J97" s="15">
        <f t="shared" si="28"/>
        <v>0.30636278072292344</v>
      </c>
      <c r="K97" s="13">
        <f t="shared" si="37"/>
        <v>65480.748163881828</v>
      </c>
      <c r="L97" s="13">
        <f t="shared" si="45"/>
        <v>2279959.3882945981</v>
      </c>
      <c r="M97" s="15">
        <f t="shared" si="38"/>
        <v>0.30636278072292344</v>
      </c>
      <c r="N97" s="13">
        <f t="shared" si="29"/>
        <v>983.88928057064118</v>
      </c>
      <c r="O97" s="13">
        <f t="shared" si="39"/>
        <v>54002.88356176173</v>
      </c>
      <c r="P97" s="15">
        <f t="shared" si="30"/>
        <v>0.20169983359139812</v>
      </c>
      <c r="Q97" s="7">
        <f t="shared" si="40"/>
        <v>267738.86026678799</v>
      </c>
      <c r="R97" s="7">
        <f t="shared" si="41"/>
        <v>213735.97670502626</v>
      </c>
      <c r="S97" s="13">
        <f>IF(Calc!$AD$32="Sim",R97,Q97)</f>
        <v>213735.97670502626</v>
      </c>
      <c r="T97" s="9">
        <f t="shared" si="42"/>
        <v>93</v>
      </c>
      <c r="U97" s="17">
        <f t="shared" ca="1" si="43"/>
        <v>48335</v>
      </c>
      <c r="V97" s="22"/>
      <c r="W97" s="22"/>
      <c r="X97" s="22"/>
    </row>
    <row r="98" spans="2:24" x14ac:dyDescent="0.2">
      <c r="B98" s="17">
        <f t="shared" ca="1" si="31"/>
        <v>48335</v>
      </c>
      <c r="C98" s="9">
        <f t="shared" si="44"/>
        <v>94</v>
      </c>
      <c r="D98" s="9"/>
      <c r="E98" s="13">
        <f t="shared" si="32"/>
        <v>1465.4899440056558</v>
      </c>
      <c r="F98" s="14">
        <f t="shared" si="33"/>
        <v>149720.71848515008</v>
      </c>
      <c r="G98" s="15">
        <f t="shared" si="34"/>
        <v>0.69139546114104378</v>
      </c>
      <c r="H98" s="13">
        <f t="shared" si="35"/>
        <v>2666.0577286054063</v>
      </c>
      <c r="I98" s="13">
        <f t="shared" si="36"/>
        <v>122149.68945424906</v>
      </c>
      <c r="J98" s="15">
        <f t="shared" si="28"/>
        <v>0.30860453885895622</v>
      </c>
      <c r="K98" s="13">
        <f t="shared" si="37"/>
        <v>66827.880543918815</v>
      </c>
      <c r="L98" s="13">
        <f t="shared" si="45"/>
        <v>2346787.2688385169</v>
      </c>
      <c r="M98" s="15">
        <f t="shared" si="38"/>
        <v>0.30860453885895617</v>
      </c>
      <c r="N98" s="13">
        <f t="shared" si="29"/>
        <v>999.07193079630531</v>
      </c>
      <c r="O98" s="13">
        <f t="shared" si="39"/>
        <v>55321.808910330175</v>
      </c>
      <c r="P98" s="15">
        <f t="shared" si="30"/>
        <v>0.2034859524787325</v>
      </c>
      <c r="Q98" s="7">
        <f t="shared" si="40"/>
        <v>271870.40793939907</v>
      </c>
      <c r="R98" s="7">
        <f t="shared" si="41"/>
        <v>216548.59902906889</v>
      </c>
      <c r="S98" s="13">
        <f>IF(Calc!$AD$32="Sim",R98,Q98)</f>
        <v>216548.59902906889</v>
      </c>
      <c r="T98" s="9">
        <f t="shared" si="42"/>
        <v>94</v>
      </c>
      <c r="U98" s="17">
        <f t="shared" ca="1" si="43"/>
        <v>48366</v>
      </c>
      <c r="V98" s="22"/>
      <c r="W98" s="22"/>
      <c r="X98" s="22"/>
    </row>
    <row r="99" spans="2:24" x14ac:dyDescent="0.2">
      <c r="B99" s="17">
        <f t="shared" ca="1" si="31"/>
        <v>48366</v>
      </c>
      <c r="C99" s="9">
        <f t="shared" si="44"/>
        <v>95</v>
      </c>
      <c r="D99" s="9"/>
      <c r="E99" s="13">
        <f t="shared" si="32"/>
        <v>1471.4605314412267</v>
      </c>
      <c r="F99" s="14">
        <f t="shared" si="33"/>
        <v>151192.17901659131</v>
      </c>
      <c r="G99" s="15">
        <f t="shared" si="34"/>
        <v>0.68916421847696796</v>
      </c>
      <c r="H99" s="13">
        <f t="shared" si="35"/>
        <v>2707.1983556802006</v>
      </c>
      <c r="I99" s="13">
        <f t="shared" si="36"/>
        <v>124856.88780992926</v>
      </c>
      <c r="J99" s="15">
        <f t="shared" si="28"/>
        <v>0.31083578152303204</v>
      </c>
      <c r="K99" s="13">
        <f t="shared" si="37"/>
        <v>68192.656938359229</v>
      </c>
      <c r="L99" s="13">
        <f t="shared" si="45"/>
        <v>2414979.925776876</v>
      </c>
      <c r="M99" s="15">
        <f t="shared" si="38"/>
        <v>0.31083578152303204</v>
      </c>
      <c r="N99" s="13">
        <f t="shared" si="29"/>
        <v>1014.4277057559181</v>
      </c>
      <c r="O99" s="13">
        <f t="shared" si="39"/>
        <v>56664.230871569947</v>
      </c>
      <c r="P99" s="15">
        <f t="shared" si="30"/>
        <v>0.20526869198648609</v>
      </c>
      <c r="Q99" s="7">
        <f t="shared" si="40"/>
        <v>276049.06682652049</v>
      </c>
      <c r="R99" s="7">
        <f t="shared" si="41"/>
        <v>219384.83595495054</v>
      </c>
      <c r="S99" s="13">
        <f>IF(Calc!$AD$32="Sim",R99,Q99)</f>
        <v>219384.83595495054</v>
      </c>
      <c r="T99" s="9">
        <f t="shared" si="42"/>
        <v>95</v>
      </c>
      <c r="U99" s="17">
        <f t="shared" ca="1" si="43"/>
        <v>48396</v>
      </c>
      <c r="V99" s="22"/>
      <c r="W99" s="22"/>
      <c r="X99" s="22"/>
    </row>
    <row r="100" spans="2:24" x14ac:dyDescent="0.2">
      <c r="B100" s="17">
        <f t="shared" ca="1" si="31"/>
        <v>48396</v>
      </c>
      <c r="C100" s="9">
        <f t="shared" si="44"/>
        <v>96</v>
      </c>
      <c r="D100" s="9">
        <v>8</v>
      </c>
      <c r="E100" s="13">
        <f t="shared" si="32"/>
        <v>1477.4554437890713</v>
      </c>
      <c r="F100" s="14">
        <f t="shared" si="33"/>
        <v>152669.63446038039</v>
      </c>
      <c r="G100" s="15">
        <f t="shared" si="34"/>
        <v>0.68694337681731144</v>
      </c>
      <c r="H100" s="13">
        <f t="shared" si="35"/>
        <v>2748.8081011243798</v>
      </c>
      <c r="I100" s="13">
        <f t="shared" si="36"/>
        <v>127605.69591105364</v>
      </c>
      <c r="J100" s="15">
        <f t="shared" si="28"/>
        <v>0.31305662318268856</v>
      </c>
      <c r="K100" s="13">
        <f t="shared" si="37"/>
        <v>69575.225323720835</v>
      </c>
      <c r="L100" s="13">
        <f t="shared" si="45"/>
        <v>2484555.1511005969</v>
      </c>
      <c r="M100" s="15">
        <f t="shared" si="38"/>
        <v>0.31305662318268856</v>
      </c>
      <c r="N100" s="13">
        <f t="shared" si="29"/>
        <v>1029.9584187594896</v>
      </c>
      <c r="O100" s="13">
        <f t="shared" si="39"/>
        <v>58030.470587332704</v>
      </c>
      <c r="P100" s="15">
        <f t="shared" si="30"/>
        <v>0.2070480855750951</v>
      </c>
      <c r="Q100" s="7">
        <f t="shared" si="40"/>
        <v>280275.33037143393</v>
      </c>
      <c r="R100" s="7">
        <f t="shared" si="41"/>
        <v>222244.85978410122</v>
      </c>
      <c r="S100" s="13">
        <f>IF(Calc!$AD$32="Sim",R100,Q100)</f>
        <v>222244.85978410122</v>
      </c>
      <c r="T100" s="9">
        <f t="shared" si="42"/>
        <v>96</v>
      </c>
      <c r="U100" s="17">
        <f t="shared" ca="1" si="43"/>
        <v>48427</v>
      </c>
      <c r="V100" s="22"/>
      <c r="W100" s="22"/>
      <c r="X100" s="22"/>
    </row>
    <row r="101" spans="2:24" x14ac:dyDescent="0.2">
      <c r="B101" s="17">
        <f t="shared" ca="1" si="31"/>
        <v>48427</v>
      </c>
      <c r="C101" s="9">
        <f t="shared" si="44"/>
        <v>97</v>
      </c>
      <c r="D101" s="9"/>
      <c r="E101" s="13">
        <f t="shared" si="32"/>
        <v>1483.4747801518931</v>
      </c>
      <c r="F101" s="14">
        <f t="shared" si="33"/>
        <v>154153.10924053227</v>
      </c>
      <c r="G101" s="15">
        <f t="shared" si="34"/>
        <v>0.68473282456465046</v>
      </c>
      <c r="H101" s="13">
        <f t="shared" si="35"/>
        <v>2790.8918784879361</v>
      </c>
      <c r="I101" s="13">
        <f t="shared" si="36"/>
        <v>130396.58778954158</v>
      </c>
      <c r="J101" s="15">
        <f t="shared" si="28"/>
        <v>0.31526717543534954</v>
      </c>
      <c r="K101" s="13">
        <f t="shared" si="37"/>
        <v>70975.734755725716</v>
      </c>
      <c r="L101" s="13">
        <f t="shared" si="45"/>
        <v>2555530.8858563225</v>
      </c>
      <c r="M101" s="15">
        <f t="shared" si="38"/>
        <v>0.3152671754353496</v>
      </c>
      <c r="N101" s="13">
        <f t="shared" si="29"/>
        <v>1045.6659015375733</v>
      </c>
      <c r="O101" s="13">
        <f t="shared" si="39"/>
        <v>59420.853033815802</v>
      </c>
      <c r="P101" s="15">
        <f t="shared" si="30"/>
        <v>0.20882416552893279</v>
      </c>
      <c r="Q101" s="7">
        <f t="shared" si="40"/>
        <v>284549.69703007379</v>
      </c>
      <c r="R101" s="7">
        <f t="shared" si="41"/>
        <v>225128.84399625799</v>
      </c>
      <c r="S101" s="13">
        <f>IF(Calc!$AD$32="Sim",R101,Q101)</f>
        <v>225128.84399625799</v>
      </c>
      <c r="T101" s="9">
        <f t="shared" si="42"/>
        <v>97</v>
      </c>
      <c r="U101" s="17">
        <f t="shared" ca="1" si="43"/>
        <v>48458</v>
      </c>
      <c r="V101" s="22"/>
      <c r="W101" s="22"/>
      <c r="X101" s="22"/>
    </row>
    <row r="102" spans="2:24" x14ac:dyDescent="0.2">
      <c r="B102" s="17">
        <f t="shared" ca="1" si="31"/>
        <v>48458</v>
      </c>
      <c r="C102" s="9">
        <f t="shared" si="44"/>
        <v>98</v>
      </c>
      <c r="D102" s="9"/>
      <c r="E102" s="13">
        <f t="shared" si="32"/>
        <v>1489.5186400361524</v>
      </c>
      <c r="F102" s="14">
        <f t="shared" si="33"/>
        <v>155642.62788056841</v>
      </c>
      <c r="G102" s="15">
        <f t="shared" si="34"/>
        <v>0.68253245288567055</v>
      </c>
      <c r="H102" s="13">
        <f t="shared" si="35"/>
        <v>2833.4546512352495</v>
      </c>
      <c r="I102" s="13">
        <f t="shared" si="36"/>
        <v>133230.04244077683</v>
      </c>
      <c r="J102" s="15">
        <f t="shared" si="28"/>
        <v>0.31746754711432945</v>
      </c>
      <c r="K102" s="13">
        <f t="shared" si="37"/>
        <v>72394.335376678704</v>
      </c>
      <c r="L102" s="13">
        <f t="shared" si="45"/>
        <v>2627925.221233001</v>
      </c>
      <c r="M102" s="15">
        <f t="shared" si="38"/>
        <v>0.3174675471143294</v>
      </c>
      <c r="N102" s="13">
        <f t="shared" si="29"/>
        <v>1061.5520044261748</v>
      </c>
      <c r="O102" s="13">
        <f t="shared" si="39"/>
        <v>60835.707064098096</v>
      </c>
      <c r="P102" s="15">
        <f t="shared" si="30"/>
        <v>0.2105969630025013</v>
      </c>
      <c r="Q102" s="7">
        <f t="shared" si="40"/>
        <v>288872.67032134521</v>
      </c>
      <c r="R102" s="7">
        <f t="shared" si="41"/>
        <v>228036.96325724712</v>
      </c>
      <c r="S102" s="13">
        <f>IF(Calc!$AD$32="Sim",R102,Q102)</f>
        <v>228036.96325724712</v>
      </c>
      <c r="T102" s="9">
        <f t="shared" si="42"/>
        <v>98</v>
      </c>
      <c r="U102" s="17">
        <f t="shared" ca="1" si="43"/>
        <v>48488</v>
      </c>
      <c r="V102" s="22"/>
      <c r="W102" s="22"/>
      <c r="X102" s="22"/>
    </row>
    <row r="103" spans="2:24" x14ac:dyDescent="0.2">
      <c r="B103" s="17">
        <f t="shared" ca="1" si="31"/>
        <v>48488</v>
      </c>
      <c r="C103" s="9">
        <f t="shared" si="44"/>
        <v>99</v>
      </c>
      <c r="D103" s="9"/>
      <c r="E103" s="13">
        <f t="shared" si="32"/>
        <v>1495.5871233537111</v>
      </c>
      <c r="F103" s="14">
        <f t="shared" si="33"/>
        <v>157138.21500392212</v>
      </c>
      <c r="G103" s="15">
        <f t="shared" si="34"/>
        <v>0.68034215560994504</v>
      </c>
      <c r="H103" s="13">
        <f t="shared" si="35"/>
        <v>2876.501433246141</v>
      </c>
      <c r="I103" s="13">
        <f t="shared" si="36"/>
        <v>136106.54387402296</v>
      </c>
      <c r="J103" s="15">
        <f t="shared" si="28"/>
        <v>0.31965784439005496</v>
      </c>
      <c r="K103" s="13">
        <f t="shared" si="37"/>
        <v>73831.178422894853</v>
      </c>
      <c r="L103" s="13">
        <f t="shared" si="45"/>
        <v>2701756.3996558958</v>
      </c>
      <c r="M103" s="15">
        <f t="shared" si="38"/>
        <v>0.31965784439005501</v>
      </c>
      <c r="N103" s="13">
        <f t="shared" si="29"/>
        <v>1077.6185965535103</v>
      </c>
      <c r="O103" s="13">
        <f t="shared" si="39"/>
        <v>62275.365451128106</v>
      </c>
      <c r="P103" s="15">
        <f t="shared" si="30"/>
        <v>0.21236650806450896</v>
      </c>
      <c r="Q103" s="7">
        <f t="shared" si="40"/>
        <v>293244.75887794507</v>
      </c>
      <c r="R103" s="7">
        <f t="shared" si="41"/>
        <v>230969.39342681697</v>
      </c>
      <c r="S103" s="13">
        <f>IF(Calc!$AD$32="Sim",R103,Q103)</f>
        <v>230969.39342681697</v>
      </c>
      <c r="T103" s="9">
        <f t="shared" si="42"/>
        <v>99</v>
      </c>
      <c r="U103" s="17">
        <f t="shared" ca="1" si="43"/>
        <v>48519</v>
      </c>
      <c r="V103" s="22"/>
      <c r="W103" s="22"/>
      <c r="X103" s="22"/>
    </row>
    <row r="104" spans="2:24" x14ac:dyDescent="0.2">
      <c r="B104" s="17">
        <f t="shared" ca="1" si="31"/>
        <v>48519</v>
      </c>
      <c r="C104" s="9">
        <f t="shared" si="44"/>
        <v>100</v>
      </c>
      <c r="D104" s="9"/>
      <c r="E104" s="13">
        <f t="shared" si="32"/>
        <v>1501.6803304234847</v>
      </c>
      <c r="F104" s="14">
        <f t="shared" si="33"/>
        <v>158639.89533434561</v>
      </c>
      <c r="G104" s="15">
        <f t="shared" si="34"/>
        <v>0.67816182913324596</v>
      </c>
      <c r="H104" s="13">
        <f t="shared" si="35"/>
        <v>2920.0372893219287</v>
      </c>
      <c r="I104" s="13">
        <f t="shared" si="36"/>
        <v>139026.58116334488</v>
      </c>
      <c r="J104" s="15">
        <f t="shared" si="28"/>
        <v>0.32183817086675404</v>
      </c>
      <c r="K104" s="13">
        <f t="shared" si="37"/>
        <v>75286.416232175601</v>
      </c>
      <c r="L104" s="13">
        <f t="shared" si="45"/>
        <v>2777042.8158880714</v>
      </c>
      <c r="M104" s="15">
        <f t="shared" si="38"/>
        <v>0.32183817086675409</v>
      </c>
      <c r="N104" s="13">
        <f t="shared" si="29"/>
        <v>1093.8675660286281</v>
      </c>
      <c r="O104" s="13">
        <f t="shared" si="39"/>
        <v>63740.164931169274</v>
      </c>
      <c r="P104" s="15">
        <f t="shared" si="30"/>
        <v>0.21413282973994494</v>
      </c>
      <c r="Q104" s="7">
        <f t="shared" si="40"/>
        <v>297666.47649769048</v>
      </c>
      <c r="R104" s="7">
        <f t="shared" si="41"/>
        <v>233926.31156652121</v>
      </c>
      <c r="S104" s="13">
        <f>IF(Calc!$AD$32="Sim",R104,Q104)</f>
        <v>233926.31156652121</v>
      </c>
      <c r="T104" s="9">
        <f t="shared" si="42"/>
        <v>100</v>
      </c>
      <c r="U104" s="17">
        <f t="shared" ca="1" si="43"/>
        <v>48549</v>
      </c>
      <c r="V104" s="22"/>
      <c r="W104" s="22"/>
      <c r="X104" s="22"/>
    </row>
    <row r="105" spans="2:24" x14ac:dyDescent="0.2">
      <c r="B105" s="17">
        <f t="shared" ca="1" si="31"/>
        <v>48549</v>
      </c>
      <c r="C105" s="9">
        <f t="shared" si="44"/>
        <v>101</v>
      </c>
      <c r="D105" s="9"/>
      <c r="E105" s="13">
        <f t="shared" si="32"/>
        <v>1507.7983619730999</v>
      </c>
      <c r="F105" s="14">
        <f t="shared" si="33"/>
        <v>160147.69369631872</v>
      </c>
      <c r="G105" s="15">
        <f t="shared" si="34"/>
        <v>0.67599137232515294</v>
      </c>
      <c r="H105" s="13">
        <f t="shared" si="35"/>
        <v>2964.0673356965426</v>
      </c>
      <c r="I105" s="13">
        <f t="shared" si="36"/>
        <v>141990.64849904142</v>
      </c>
      <c r="J105" s="15">
        <f t="shared" si="28"/>
        <v>0.32400862767484706</v>
      </c>
      <c r="K105" s="13">
        <f t="shared" si="37"/>
        <v>76760.202251334616</v>
      </c>
      <c r="L105" s="13">
        <f t="shared" si="45"/>
        <v>2853803.0181394061</v>
      </c>
      <c r="M105" s="15">
        <f t="shared" si="38"/>
        <v>0.32400862767484706</v>
      </c>
      <c r="N105" s="13">
        <f t="shared" si="29"/>
        <v>1110.3008201319155</v>
      </c>
      <c r="O105" s="13">
        <f t="shared" si="39"/>
        <v>65230.446247706772</v>
      </c>
      <c r="P105" s="15">
        <f t="shared" si="30"/>
        <v>0.21589595605025633</v>
      </c>
      <c r="Q105" s="7">
        <f t="shared" si="40"/>
        <v>302138.34219536011</v>
      </c>
      <c r="R105" s="7">
        <f t="shared" si="41"/>
        <v>236907.89594765333</v>
      </c>
      <c r="S105" s="13">
        <f>IF(Calc!$AD$32="Sim",R105,Q105)</f>
        <v>236907.89594765333</v>
      </c>
      <c r="T105" s="9">
        <f t="shared" si="42"/>
        <v>101</v>
      </c>
      <c r="U105" s="17">
        <f t="shared" ca="1" si="43"/>
        <v>48580</v>
      </c>
      <c r="V105" s="22"/>
      <c r="W105" s="22"/>
      <c r="X105" s="22"/>
    </row>
    <row r="106" spans="2:24" x14ac:dyDescent="0.2">
      <c r="B106" s="17">
        <f t="shared" ca="1" si="31"/>
        <v>48580</v>
      </c>
      <c r="C106" s="9">
        <f t="shared" si="44"/>
        <v>102</v>
      </c>
      <c r="D106" s="9"/>
      <c r="E106" s="13">
        <f t="shared" si="32"/>
        <v>1513.9413191405606</v>
      </c>
      <c r="F106" s="14">
        <f t="shared" si="33"/>
        <v>161661.63501545927</v>
      </c>
      <c r="G106" s="15">
        <f t="shared" si="34"/>
        <v>0.67383068644073663</v>
      </c>
      <c r="H106" s="13">
        <f t="shared" si="35"/>
        <v>3008.5967405527431</v>
      </c>
      <c r="I106" s="13">
        <f t="shared" si="36"/>
        <v>144999.24523959417</v>
      </c>
      <c r="J106" s="15">
        <f t="shared" si="28"/>
        <v>0.32616931355926337</v>
      </c>
      <c r="K106" s="13">
        <f t="shared" si="37"/>
        <v>78252.691043773113</v>
      </c>
      <c r="L106" s="13">
        <f t="shared" si="45"/>
        <v>2932055.7091831793</v>
      </c>
      <c r="M106" s="15">
        <f t="shared" si="38"/>
        <v>0.32616931355926337</v>
      </c>
      <c r="N106" s="13">
        <f t="shared" si="29"/>
        <v>1126.9202855075098</v>
      </c>
      <c r="O106" s="13">
        <f t="shared" si="39"/>
        <v>66746.554195821023</v>
      </c>
      <c r="P106" s="15">
        <f t="shared" si="30"/>
        <v>0.21765591405172757</v>
      </c>
      <c r="Q106" s="7">
        <f t="shared" si="40"/>
        <v>306660.8802550534</v>
      </c>
      <c r="R106" s="7">
        <f t="shared" si="41"/>
        <v>239914.32605923238</v>
      </c>
      <c r="S106" s="13">
        <f>IF(Calc!$AD$32="Sim",R106,Q106)</f>
        <v>239914.32605923238</v>
      </c>
      <c r="T106" s="9">
        <f t="shared" si="42"/>
        <v>102</v>
      </c>
      <c r="U106" s="17">
        <f t="shared" ca="1" si="43"/>
        <v>48611</v>
      </c>
      <c r="V106" s="22"/>
      <c r="W106" s="22"/>
      <c r="X106" s="22"/>
    </row>
    <row r="107" spans="2:24" x14ac:dyDescent="0.2">
      <c r="B107" s="17">
        <f t="shared" ca="1" si="31"/>
        <v>48611</v>
      </c>
      <c r="C107" s="9">
        <f t="shared" si="44"/>
        <v>103</v>
      </c>
      <c r="D107" s="9"/>
      <c r="E107" s="13">
        <f t="shared" si="32"/>
        <v>1520.1093034759192</v>
      </c>
      <c r="F107" s="14">
        <f t="shared" si="33"/>
        <v>163181.74431893518</v>
      </c>
      <c r="G107" s="15">
        <f t="shared" si="34"/>
        <v>0.67167967503610904</v>
      </c>
      <c r="H107" s="13">
        <f t="shared" si="35"/>
        <v>3053.6307245434978</v>
      </c>
      <c r="I107" s="13">
        <f t="shared" si="36"/>
        <v>148052.87596413767</v>
      </c>
      <c r="J107" s="15">
        <f t="shared" si="28"/>
        <v>0.32832032496389096</v>
      </c>
      <c r="K107" s="13">
        <f t="shared" si="37"/>
        <v>79764.038297105173</v>
      </c>
      <c r="L107" s="13">
        <f t="shared" si="45"/>
        <v>3011819.7474802844</v>
      </c>
      <c r="M107" s="15">
        <f t="shared" si="38"/>
        <v>0.32832032496389096</v>
      </c>
      <c r="N107" s="13">
        <f t="shared" si="29"/>
        <v>1143.72790835763</v>
      </c>
      <c r="O107" s="13">
        <f t="shared" si="39"/>
        <v>68288.837667032465</v>
      </c>
      <c r="P107" s="15">
        <f t="shared" si="30"/>
        <v>0.2194127298721546</v>
      </c>
      <c r="Q107" s="7">
        <f t="shared" si="40"/>
        <v>311234.62028307281</v>
      </c>
      <c r="R107" s="7">
        <f t="shared" si="41"/>
        <v>242945.78261604035</v>
      </c>
      <c r="S107" s="13">
        <f>IF(Calc!$AD$32="Sim",R107,Q107)</f>
        <v>242945.78261604035</v>
      </c>
      <c r="T107" s="9">
        <f t="shared" si="42"/>
        <v>103</v>
      </c>
      <c r="U107" s="17">
        <f t="shared" ca="1" si="43"/>
        <v>48639</v>
      </c>
      <c r="V107" s="22"/>
      <c r="W107" s="22"/>
      <c r="X107" s="22"/>
    </row>
    <row r="108" spans="2:24" x14ac:dyDescent="0.2">
      <c r="B108" s="17">
        <f t="shared" ca="1" si="31"/>
        <v>48639</v>
      </c>
      <c r="C108" s="9">
        <f t="shared" si="44"/>
        <v>104</v>
      </c>
      <c r="D108" s="9"/>
      <c r="E108" s="13">
        <f t="shared" si="32"/>
        <v>1526.3024169429557</v>
      </c>
      <c r="F108" s="14">
        <f t="shared" si="33"/>
        <v>164708.04673587813</v>
      </c>
      <c r="G108" s="15">
        <f t="shared" si="34"/>
        <v>0.66953824388764294</v>
      </c>
      <c r="H108" s="13">
        <f t="shared" si="35"/>
        <v>3099.1745613185649</v>
      </c>
      <c r="I108" s="13">
        <f t="shared" si="36"/>
        <v>151152.05052545623</v>
      </c>
      <c r="J108" s="15">
        <f t="shared" si="28"/>
        <v>0.33046175611235706</v>
      </c>
      <c r="K108" s="13">
        <f t="shared" si="37"/>
        <v>81294.400830833591</v>
      </c>
      <c r="L108" s="13">
        <f t="shared" si="45"/>
        <v>3093114.1483111181</v>
      </c>
      <c r="M108" s="15">
        <f t="shared" si="38"/>
        <v>0.33046175611235706</v>
      </c>
      <c r="N108" s="13">
        <f t="shared" si="29"/>
        <v>1160.7256546388496</v>
      </c>
      <c r="O108" s="13">
        <f t="shared" si="39"/>
        <v>69857.64969462264</v>
      </c>
      <c r="P108" s="15">
        <f t="shared" si="30"/>
        <v>0.22116642874590217</v>
      </c>
      <c r="Q108" s="7">
        <f t="shared" si="40"/>
        <v>315860.09726133436</v>
      </c>
      <c r="R108" s="7">
        <f t="shared" si="41"/>
        <v>246002.44756671172</v>
      </c>
      <c r="S108" s="13">
        <f>IF(Calc!$AD$32="Sim",R108,Q108)</f>
        <v>246002.44756671172</v>
      </c>
      <c r="T108" s="9">
        <f t="shared" si="42"/>
        <v>104</v>
      </c>
      <c r="U108" s="17">
        <f t="shared" ca="1" si="43"/>
        <v>48670</v>
      </c>
      <c r="V108" s="22"/>
      <c r="W108" s="22"/>
      <c r="X108" s="22"/>
    </row>
    <row r="109" spans="2:24" x14ac:dyDescent="0.2">
      <c r="B109" s="17">
        <f t="shared" ca="1" si="31"/>
        <v>48670</v>
      </c>
      <c r="C109" s="9">
        <f t="shared" si="44"/>
        <v>105</v>
      </c>
      <c r="D109" s="9"/>
      <c r="E109" s="13">
        <f t="shared" si="32"/>
        <v>1532.5207619208629</v>
      </c>
      <c r="F109" s="14">
        <f t="shared" si="33"/>
        <v>166240.567497799</v>
      </c>
      <c r="G109" s="15">
        <f t="shared" si="34"/>
        <v>0.66740630091467645</v>
      </c>
      <c r="H109" s="13">
        <f t="shared" si="35"/>
        <v>3145.233578056339</v>
      </c>
      <c r="I109" s="13">
        <f t="shared" si="36"/>
        <v>154297.28410351256</v>
      </c>
      <c r="J109" s="15">
        <f t="shared" si="28"/>
        <v>0.33259369908532355</v>
      </c>
      <c r="K109" s="13">
        <f t="shared" si="37"/>
        <v>82843.936604076094</v>
      </c>
      <c r="L109" s="13">
        <f t="shared" si="45"/>
        <v>3175958.0849151942</v>
      </c>
      <c r="M109" s="15">
        <f t="shared" si="38"/>
        <v>0.3325936990853236</v>
      </c>
      <c r="N109" s="13">
        <f t="shared" si="29"/>
        <v>1177.915510260332</v>
      </c>
      <c r="O109" s="13">
        <f t="shared" si="39"/>
        <v>71453.347499436437</v>
      </c>
      <c r="P109" s="15">
        <f t="shared" si="30"/>
        <v>0.22291703504742674</v>
      </c>
      <c r="Q109" s="7">
        <f t="shared" si="40"/>
        <v>320537.85160131153</v>
      </c>
      <c r="R109" s="7">
        <f t="shared" si="41"/>
        <v>249084.50410187509</v>
      </c>
      <c r="S109" s="13">
        <f>IF(Calc!$AD$32="Sim",R109,Q109)</f>
        <v>249084.50410187509</v>
      </c>
      <c r="T109" s="9">
        <f t="shared" si="42"/>
        <v>105</v>
      </c>
      <c r="U109" s="17">
        <f t="shared" ca="1" si="43"/>
        <v>48700</v>
      </c>
      <c r="V109" s="22"/>
      <c r="W109" s="22"/>
      <c r="X109" s="22"/>
    </row>
    <row r="110" spans="2:24" x14ac:dyDescent="0.2">
      <c r="B110" s="17">
        <f t="shared" ca="1" si="31"/>
        <v>48700</v>
      </c>
      <c r="C110" s="9">
        <f t="shared" si="44"/>
        <v>106</v>
      </c>
      <c r="D110" s="9"/>
      <c r="E110" s="13">
        <f t="shared" si="32"/>
        <v>1538.7644412059396</v>
      </c>
      <c r="F110" s="14">
        <f t="shared" si="33"/>
        <v>167779.33193900494</v>
      </c>
      <c r="G110" s="15">
        <f t="shared" si="34"/>
        <v>0.66528375610552659</v>
      </c>
      <c r="H110" s="13">
        <f t="shared" si="35"/>
        <v>3191.8131560010074</v>
      </c>
      <c r="I110" s="13">
        <f t="shared" si="36"/>
        <v>157489.09725951357</v>
      </c>
      <c r="J110" s="15">
        <f t="shared" si="28"/>
        <v>0.33471624389447341</v>
      </c>
      <c r="K110" s="13">
        <f t="shared" si="37"/>
        <v>84412.804723342735</v>
      </c>
      <c r="L110" s="13">
        <f t="shared" si="45"/>
        <v>3260370.8896385371</v>
      </c>
      <c r="M110" s="15">
        <f t="shared" si="38"/>
        <v>0.33471624389447341</v>
      </c>
      <c r="N110" s="13">
        <f t="shared" si="29"/>
        <v>1195.2994812840441</v>
      </c>
      <c r="O110" s="13">
        <f t="shared" si="39"/>
        <v>73076.292536170775</v>
      </c>
      <c r="P110" s="15">
        <f t="shared" si="30"/>
        <v>0.22466457232334316</v>
      </c>
      <c r="Q110" s="7">
        <f t="shared" si="40"/>
        <v>325268.42919851845</v>
      </c>
      <c r="R110" s="7">
        <f t="shared" si="41"/>
        <v>252192.13666234768</v>
      </c>
      <c r="S110" s="13">
        <f>IF(Calc!$AD$32="Sim",R110,Q110)</f>
        <v>252192.13666234768</v>
      </c>
      <c r="T110" s="9">
        <f t="shared" si="42"/>
        <v>106</v>
      </c>
      <c r="U110" s="17">
        <f t="shared" ca="1" si="43"/>
        <v>48731</v>
      </c>
      <c r="V110" s="22"/>
      <c r="W110" s="22"/>
      <c r="X110" s="22"/>
    </row>
    <row r="111" spans="2:24" x14ac:dyDescent="0.2">
      <c r="B111" s="17">
        <f t="shared" ca="1" si="31"/>
        <v>48731</v>
      </c>
      <c r="C111" s="9">
        <f t="shared" si="44"/>
        <v>107</v>
      </c>
      <c r="D111" s="9"/>
      <c r="E111" s="13">
        <f t="shared" si="32"/>
        <v>1545.0335580132892</v>
      </c>
      <c r="F111" s="14">
        <f t="shared" si="33"/>
        <v>169324.36549701824</v>
      </c>
      <c r="G111" s="15">
        <f t="shared" si="34"/>
        <v>0.66317052144664879</v>
      </c>
      <c r="H111" s="13">
        <f t="shared" si="35"/>
        <v>3238.9187310050766</v>
      </c>
      <c r="I111" s="13">
        <f t="shared" si="36"/>
        <v>160728.01599051864</v>
      </c>
      <c r="J111" s="15">
        <f t="shared" si="28"/>
        <v>0.33682947855335121</v>
      </c>
      <c r="K111" s="13">
        <f t="shared" si="37"/>
        <v>86001.165450364468</v>
      </c>
      <c r="L111" s="13">
        <f t="shared" si="45"/>
        <v>3346372.0550889014</v>
      </c>
      <c r="M111" s="15">
        <f t="shared" si="38"/>
        <v>0.33682947855335127</v>
      </c>
      <c r="N111" s="13">
        <f t="shared" si="29"/>
        <v>1212.8795941269702</v>
      </c>
      <c r="O111" s="13">
        <f t="shared" si="39"/>
        <v>74726.850540154119</v>
      </c>
      <c r="P111" s="15">
        <f t="shared" si="30"/>
        <v>0.22640906332310737</v>
      </c>
      <c r="Q111" s="7">
        <f t="shared" si="40"/>
        <v>330052.38148753683</v>
      </c>
      <c r="R111" s="7">
        <f t="shared" si="41"/>
        <v>255325.53094738271</v>
      </c>
      <c r="S111" s="13">
        <f>IF(Calc!$AD$32="Sim",R111,Q111)</f>
        <v>255325.53094738271</v>
      </c>
      <c r="T111" s="9">
        <f t="shared" si="42"/>
        <v>107</v>
      </c>
      <c r="U111" s="17">
        <f t="shared" ca="1" si="43"/>
        <v>48761</v>
      </c>
      <c r="V111" s="22"/>
      <c r="W111" s="22"/>
      <c r="X111" s="22"/>
    </row>
    <row r="112" spans="2:24" x14ac:dyDescent="0.2">
      <c r="B112" s="17">
        <f t="shared" ca="1" si="31"/>
        <v>48761</v>
      </c>
      <c r="C112" s="9">
        <f t="shared" si="44"/>
        <v>108</v>
      </c>
      <c r="D112" s="9">
        <v>9</v>
      </c>
      <c r="E112" s="13">
        <f t="shared" si="32"/>
        <v>1551.328215978526</v>
      </c>
      <c r="F112" s="14">
        <f t="shared" si="33"/>
        <v>170875.69371299676</v>
      </c>
      <c r="G112" s="15">
        <f t="shared" si="34"/>
        <v>0.66106651085478418</v>
      </c>
      <c r="H112" s="13">
        <f t="shared" si="35"/>
        <v>3286.5557940773101</v>
      </c>
      <c r="I112" s="13">
        <f t="shared" si="36"/>
        <v>164014.57178459596</v>
      </c>
      <c r="J112" s="15">
        <f t="shared" si="28"/>
        <v>0.33893348914521582</v>
      </c>
      <c r="K112" s="13">
        <f t="shared" si="37"/>
        <v>87609.180209973536</v>
      </c>
      <c r="L112" s="13">
        <f t="shared" si="45"/>
        <v>3433981.2352988748</v>
      </c>
      <c r="M112" s="15">
        <f t="shared" si="38"/>
        <v>0.33893348914521582</v>
      </c>
      <c r="N112" s="13">
        <f t="shared" si="29"/>
        <v>1230.6578957653464</v>
      </c>
      <c r="O112" s="13">
        <f t="shared" si="39"/>
        <v>76405.391574622336</v>
      </c>
      <c r="P112" s="15">
        <f t="shared" si="30"/>
        <v>0.22815053002838501</v>
      </c>
      <c r="Q112" s="7">
        <f t="shared" si="40"/>
        <v>334890.26549759263</v>
      </c>
      <c r="R112" s="7">
        <f t="shared" si="41"/>
        <v>258484.87392297029</v>
      </c>
      <c r="S112" s="13">
        <f>IF(Calc!$AD$32="Sim",R112,Q112)</f>
        <v>258484.87392297029</v>
      </c>
      <c r="T112" s="9">
        <f t="shared" si="42"/>
        <v>108</v>
      </c>
      <c r="U112" s="17">
        <f t="shared" ca="1" si="43"/>
        <v>48792</v>
      </c>
      <c r="V112" s="22"/>
      <c r="W112" s="22"/>
      <c r="X112" s="22"/>
    </row>
    <row r="113" spans="2:24" x14ac:dyDescent="0.2">
      <c r="B113" s="17">
        <f t="shared" ca="1" si="31"/>
        <v>48792</v>
      </c>
      <c r="C113" s="9">
        <f t="shared" si="44"/>
        <v>109</v>
      </c>
      <c r="D113" s="9"/>
      <c r="E113" s="13">
        <f t="shared" si="32"/>
        <v>1557.6485191594888</v>
      </c>
      <c r="F113" s="14">
        <f t="shared" si="33"/>
        <v>172433.34223215625</v>
      </c>
      <c r="G113" s="15">
        <f t="shared" si="34"/>
        <v>0.65897164011195175</v>
      </c>
      <c r="H113" s="13">
        <f t="shared" si="35"/>
        <v>3334.7298919361474</v>
      </c>
      <c r="I113" s="13">
        <f t="shared" si="36"/>
        <v>167349.30167653211</v>
      </c>
      <c r="J113" s="15">
        <f t="shared" si="28"/>
        <v>0.34102835988804825</v>
      </c>
      <c r="K113" s="13">
        <f t="shared" si="37"/>
        <v>89237.011598035606</v>
      </c>
      <c r="L113" s="13">
        <f t="shared" si="45"/>
        <v>3523218.2468969105</v>
      </c>
      <c r="M113" s="15">
        <f t="shared" si="38"/>
        <v>0.3410283598880483</v>
      </c>
      <c r="N113" s="13">
        <f t="shared" si="29"/>
        <v>1248.6364539409346</v>
      </c>
      <c r="O113" s="13">
        <f t="shared" si="39"/>
        <v>78112.290078496357</v>
      </c>
      <c r="P113" s="15">
        <f t="shared" si="30"/>
        <v>0.22988899368117205</v>
      </c>
      <c r="Q113" s="7">
        <f t="shared" si="40"/>
        <v>339782.64390868822</v>
      </c>
      <c r="R113" s="7">
        <f t="shared" si="41"/>
        <v>261670.35383019186</v>
      </c>
      <c r="S113" s="13">
        <f>IF(Calc!$AD$32="Sim",R113,Q113)</f>
        <v>261670.35383019186</v>
      </c>
      <c r="T113" s="9">
        <f t="shared" si="42"/>
        <v>109</v>
      </c>
      <c r="U113" s="17">
        <f t="shared" ca="1" si="43"/>
        <v>48823</v>
      </c>
      <c r="V113" s="22"/>
      <c r="W113" s="22"/>
      <c r="X113" s="22"/>
    </row>
    <row r="114" spans="2:24" x14ac:dyDescent="0.2">
      <c r="B114" s="17">
        <f t="shared" ca="1" si="31"/>
        <v>48823</v>
      </c>
      <c r="C114" s="9">
        <f t="shared" si="44"/>
        <v>110</v>
      </c>
      <c r="D114" s="9"/>
      <c r="E114" s="13">
        <f t="shared" si="32"/>
        <v>1563.9945720379612</v>
      </c>
      <c r="F114" s="14">
        <f t="shared" si="33"/>
        <v>173997.3368041942</v>
      </c>
      <c r="G114" s="15">
        <f t="shared" si="34"/>
        <v>0.65688582680314267</v>
      </c>
      <c r="H114" s="13">
        <f t="shared" si="35"/>
        <v>3383.4466275686464</v>
      </c>
      <c r="I114" s="13">
        <f t="shared" si="36"/>
        <v>170732.74830410077</v>
      </c>
      <c r="J114" s="15">
        <f t="shared" si="28"/>
        <v>0.34311417319685733</v>
      </c>
      <c r="K114" s="13">
        <f t="shared" si="37"/>
        <v>90884.823389434372</v>
      </c>
      <c r="L114" s="13">
        <f t="shared" si="45"/>
        <v>3614103.0702863447</v>
      </c>
      <c r="M114" s="15">
        <f t="shared" si="38"/>
        <v>0.34311417319685728</v>
      </c>
      <c r="N114" s="13">
        <f t="shared" si="29"/>
        <v>1266.8173573693575</v>
      </c>
      <c r="O114" s="13">
        <f t="shared" si="39"/>
        <v>79847.924914666219</v>
      </c>
      <c r="P114" s="15">
        <f t="shared" si="30"/>
        <v>0.23162447481072762</v>
      </c>
      <c r="Q114" s="7">
        <f t="shared" si="40"/>
        <v>344730.08510829479</v>
      </c>
      <c r="R114" s="7">
        <f t="shared" si="41"/>
        <v>264882.16019362857</v>
      </c>
      <c r="S114" s="13">
        <f>IF(Calc!$AD$32="Sim",R114,Q114)</f>
        <v>264882.16019362857</v>
      </c>
      <c r="T114" s="9">
        <f t="shared" si="42"/>
        <v>110</v>
      </c>
      <c r="U114" s="17">
        <f t="shared" ca="1" si="43"/>
        <v>48853</v>
      </c>
      <c r="V114" s="22"/>
      <c r="W114" s="22"/>
      <c r="X114" s="22"/>
    </row>
    <row r="115" spans="2:24" x14ac:dyDescent="0.2">
      <c r="B115" s="17">
        <f t="shared" ca="1" si="31"/>
        <v>48853</v>
      </c>
      <c r="C115" s="9">
        <f t="shared" si="44"/>
        <v>111</v>
      </c>
      <c r="D115" s="9"/>
      <c r="E115" s="13">
        <f t="shared" si="32"/>
        <v>1570.3664795213981</v>
      </c>
      <c r="F115" s="14">
        <f t="shared" si="33"/>
        <v>175567.70328371559</v>
      </c>
      <c r="G115" s="15">
        <f t="shared" si="34"/>
        <v>0.6548089902565899</v>
      </c>
      <c r="H115" s="13">
        <f t="shared" si="35"/>
        <v>3432.7116607950093</v>
      </c>
      <c r="I115" s="13">
        <f t="shared" si="36"/>
        <v>174165.45996489577</v>
      </c>
      <c r="J115" s="15">
        <f t="shared" si="28"/>
        <v>0.3451910097434101</v>
      </c>
      <c r="K115" s="13">
        <f t="shared" si="37"/>
        <v>92552.780546108726</v>
      </c>
      <c r="L115" s="13">
        <f t="shared" si="45"/>
        <v>3706655.8508324535</v>
      </c>
      <c r="M115" s="15">
        <f t="shared" si="38"/>
        <v>0.34519100974341016</v>
      </c>
      <c r="N115" s="13">
        <f t="shared" si="29"/>
        <v>1285.2027159505124</v>
      </c>
      <c r="O115" s="13">
        <f t="shared" si="39"/>
        <v>81612.679418786895</v>
      </c>
      <c r="P115" s="15">
        <f t="shared" si="30"/>
        <v>0.23335699325937739</v>
      </c>
      <c r="Q115" s="7">
        <f t="shared" si="40"/>
        <v>349733.16324861121</v>
      </c>
      <c r="R115" s="7">
        <f t="shared" si="41"/>
        <v>268120.48382982431</v>
      </c>
      <c r="S115" s="13">
        <f>IF(Calc!$AD$32="Sim",R115,Q115)</f>
        <v>268120.48382982431</v>
      </c>
      <c r="T115" s="9">
        <f t="shared" si="42"/>
        <v>111</v>
      </c>
      <c r="U115" s="17">
        <f t="shared" ca="1" si="43"/>
        <v>48884</v>
      </c>
      <c r="V115" s="22"/>
      <c r="W115" s="22"/>
      <c r="X115" s="22"/>
    </row>
    <row r="116" spans="2:24" x14ac:dyDescent="0.2">
      <c r="B116" s="17">
        <f t="shared" ca="1" si="31"/>
        <v>48884</v>
      </c>
      <c r="C116" s="9">
        <f t="shared" si="44"/>
        <v>112</v>
      </c>
      <c r="D116" s="9"/>
      <c r="E116" s="13">
        <f t="shared" si="32"/>
        <v>1576.7643469446605</v>
      </c>
      <c r="F116" s="14">
        <f t="shared" si="33"/>
        <v>177144.46763066025</v>
      </c>
      <c r="G116" s="15">
        <f t="shared" si="34"/>
        <v>0.6527410514864852</v>
      </c>
      <c r="H116" s="13">
        <f t="shared" si="35"/>
        <v>3482.5307088387494</v>
      </c>
      <c r="I116" s="13">
        <f t="shared" si="36"/>
        <v>177647.99067373452</v>
      </c>
      <c r="J116" s="15">
        <f t="shared" si="28"/>
        <v>0.3472589485135148</v>
      </c>
      <c r="K116" s="13">
        <f t="shared" si="37"/>
        <v>94241.049225142953</v>
      </c>
      <c r="L116" s="13">
        <f t="shared" si="45"/>
        <v>3800896.9000575966</v>
      </c>
      <c r="M116" s="15">
        <f t="shared" si="38"/>
        <v>0.34725894851351474</v>
      </c>
      <c r="N116" s="13">
        <f t="shared" si="29"/>
        <v>1303.794660981089</v>
      </c>
      <c r="O116" s="13">
        <f t="shared" si="39"/>
        <v>83406.941448591417</v>
      </c>
      <c r="P116" s="15">
        <f t="shared" si="30"/>
        <v>0.2350865682072428</v>
      </c>
      <c r="Q116" s="7">
        <f t="shared" si="40"/>
        <v>354792.45830439462</v>
      </c>
      <c r="R116" s="7">
        <f t="shared" si="41"/>
        <v>271385.5168558032</v>
      </c>
      <c r="S116" s="13">
        <f>IF(Calc!$AD$32="Sim",R116,Q116)</f>
        <v>271385.5168558032</v>
      </c>
      <c r="T116" s="9">
        <f t="shared" si="42"/>
        <v>112</v>
      </c>
      <c r="U116" s="17">
        <f t="shared" ca="1" si="43"/>
        <v>48914</v>
      </c>
      <c r="V116" s="22"/>
      <c r="W116" s="22"/>
      <c r="X116" s="22"/>
    </row>
    <row r="117" spans="2:24" x14ac:dyDescent="0.2">
      <c r="B117" s="17">
        <f t="shared" ca="1" si="31"/>
        <v>48914</v>
      </c>
      <c r="C117" s="9">
        <f t="shared" si="44"/>
        <v>113</v>
      </c>
      <c r="D117" s="9"/>
      <c r="E117" s="13">
        <f t="shared" si="32"/>
        <v>1583.1882800717565</v>
      </c>
      <c r="F117" s="14">
        <f t="shared" si="33"/>
        <v>178727.65591073199</v>
      </c>
      <c r="G117" s="15">
        <f t="shared" si="34"/>
        <v>0.65068193313803091</v>
      </c>
      <c r="H117" s="13">
        <f t="shared" si="35"/>
        <v>3532.9095469025478</v>
      </c>
      <c r="I117" s="13">
        <f t="shared" si="36"/>
        <v>181180.90022063706</v>
      </c>
      <c r="J117" s="15">
        <f t="shared" si="28"/>
        <v>0.34931806686196909</v>
      </c>
      <c r="K117" s="13">
        <f t="shared" si="37"/>
        <v>95949.796786910389</v>
      </c>
      <c r="L117" s="13">
        <f t="shared" si="45"/>
        <v>3896846.696844507</v>
      </c>
      <c r="M117" s="15">
        <f t="shared" si="38"/>
        <v>0.34931806686196909</v>
      </c>
      <c r="N117" s="13">
        <f t="shared" si="29"/>
        <v>1322.5953453692086</v>
      </c>
      <c r="O117" s="13">
        <f t="shared" si="39"/>
        <v>85231.10343372653</v>
      </c>
      <c r="P117" s="15">
        <f t="shared" si="30"/>
        <v>0.23681321819594819</v>
      </c>
      <c r="Q117" s="7">
        <f t="shared" si="40"/>
        <v>359908.55613136891</v>
      </c>
      <c r="R117" s="7">
        <f t="shared" si="41"/>
        <v>274677.45269764238</v>
      </c>
      <c r="S117" s="13">
        <f>IF(Calc!$AD$32="Sim",R117,Q117)</f>
        <v>274677.45269764238</v>
      </c>
      <c r="T117" s="9">
        <f t="shared" si="42"/>
        <v>113</v>
      </c>
      <c r="U117" s="17">
        <f t="shared" ca="1" si="43"/>
        <v>48945</v>
      </c>
      <c r="V117" s="22"/>
      <c r="W117" s="22"/>
      <c r="X117" s="22"/>
    </row>
    <row r="118" spans="2:24" x14ac:dyDescent="0.2">
      <c r="B118" s="17">
        <f t="shared" ca="1" si="31"/>
        <v>48945</v>
      </c>
      <c r="C118" s="9">
        <f t="shared" si="44"/>
        <v>114</v>
      </c>
      <c r="D118" s="9"/>
      <c r="E118" s="13">
        <f t="shared" si="32"/>
        <v>1589.6383850975901</v>
      </c>
      <c r="F118" s="14">
        <f t="shared" si="33"/>
        <v>180317.29429582958</v>
      </c>
      <c r="G118" s="15">
        <f t="shared" si="34"/>
        <v>0.64863155943471262</v>
      </c>
      <c r="H118" s="13">
        <f t="shared" si="35"/>
        <v>3583.8540087498673</v>
      </c>
      <c r="I118" s="13">
        <f t="shared" si="36"/>
        <v>184764.75422938692</v>
      </c>
      <c r="J118" s="15">
        <f t="shared" si="28"/>
        <v>0.35136844056528738</v>
      </c>
      <c r="K118" s="13">
        <f t="shared" si="37"/>
        <v>97679.19180327034</v>
      </c>
      <c r="L118" s="13">
        <f t="shared" si="45"/>
        <v>3994525.8886477775</v>
      </c>
      <c r="M118" s="15">
        <f t="shared" si="38"/>
        <v>0.35136844056528743</v>
      </c>
      <c r="N118" s="13">
        <f t="shared" si="29"/>
        <v>1341.6069438512079</v>
      </c>
      <c r="O118" s="13">
        <f t="shared" si="39"/>
        <v>87085.562426116492</v>
      </c>
      <c r="P118" s="15">
        <f t="shared" si="30"/>
        <v>0.23853696115135459</v>
      </c>
      <c r="Q118" s="7">
        <f t="shared" si="40"/>
        <v>365082.04852521641</v>
      </c>
      <c r="R118" s="7">
        <f t="shared" si="41"/>
        <v>277996.48609909992</v>
      </c>
      <c r="S118" s="13">
        <f>IF(Calc!$AD$32="Sim",R118,Q118)</f>
        <v>277996.48609909992</v>
      </c>
      <c r="T118" s="9">
        <f t="shared" si="42"/>
        <v>114</v>
      </c>
      <c r="U118" s="17">
        <f t="shared" ca="1" si="43"/>
        <v>48976</v>
      </c>
      <c r="V118" s="22"/>
      <c r="W118" s="22"/>
      <c r="X118" s="22"/>
    </row>
    <row r="119" spans="2:24" x14ac:dyDescent="0.2">
      <c r="B119" s="17">
        <f t="shared" ca="1" si="31"/>
        <v>48976</v>
      </c>
      <c r="C119" s="9">
        <f t="shared" si="44"/>
        <v>115</v>
      </c>
      <c r="D119" s="9"/>
      <c r="E119" s="13">
        <f t="shared" si="32"/>
        <v>1596.1147686497166</v>
      </c>
      <c r="F119" s="14">
        <f t="shared" si="33"/>
        <v>181913.40906447929</v>
      </c>
      <c r="G119" s="15">
        <f t="shared" si="34"/>
        <v>0.64658985612768938</v>
      </c>
      <c r="H119" s="13">
        <f t="shared" si="35"/>
        <v>3635.3699872923717</v>
      </c>
      <c r="I119" s="13">
        <f t="shared" si="36"/>
        <v>188400.12421667928</v>
      </c>
      <c r="J119" s="15">
        <f t="shared" si="28"/>
        <v>0.35341014387231062</v>
      </c>
      <c r="K119" s="13">
        <f t="shared" si="37"/>
        <v>99429.404065819515</v>
      </c>
      <c r="L119" s="13">
        <f t="shared" si="45"/>
        <v>4093955.292713597</v>
      </c>
      <c r="M119" s="15">
        <f t="shared" si="38"/>
        <v>0.35341014387231068</v>
      </c>
      <c r="N119" s="13">
        <f t="shared" si="29"/>
        <v>1360.8316532105862</v>
      </c>
      <c r="O119" s="13">
        <f t="shared" si="39"/>
        <v>88970.720150859735</v>
      </c>
      <c r="P119" s="15">
        <f t="shared" si="30"/>
        <v>0.24025781440536551</v>
      </c>
      <c r="Q119" s="7">
        <f t="shared" si="40"/>
        <v>370313.53328115854</v>
      </c>
      <c r="R119" s="7">
        <f t="shared" si="41"/>
        <v>281342.8131302988</v>
      </c>
      <c r="S119" s="13">
        <f>IF(Calc!$AD$32="Sim",R119,Q119)</f>
        <v>281342.8131302988</v>
      </c>
      <c r="T119" s="9">
        <f t="shared" si="42"/>
        <v>115</v>
      </c>
      <c r="U119" s="17">
        <f t="shared" ca="1" si="43"/>
        <v>49004</v>
      </c>
      <c r="V119" s="22"/>
      <c r="W119" s="22"/>
      <c r="X119" s="22"/>
    </row>
    <row r="120" spans="2:24" x14ac:dyDescent="0.2">
      <c r="B120" s="17">
        <f t="shared" ca="1" si="31"/>
        <v>49004</v>
      </c>
      <c r="C120" s="9">
        <f t="shared" si="44"/>
        <v>116</v>
      </c>
      <c r="D120" s="9"/>
      <c r="E120" s="13">
        <f t="shared" si="32"/>
        <v>1602.6175377901047</v>
      </c>
      <c r="F120" s="14">
        <f t="shared" si="33"/>
        <v>183516.02660226938</v>
      </c>
      <c r="G120" s="15">
        <f t="shared" si="34"/>
        <v>0.64455675044720273</v>
      </c>
      <c r="H120" s="13">
        <f t="shared" si="35"/>
        <v>3687.4634351832119</v>
      </c>
      <c r="I120" s="13">
        <f t="shared" si="36"/>
        <v>192087.5876518625</v>
      </c>
      <c r="J120" s="15">
        <f t="shared" si="28"/>
        <v>0.35544324955279727</v>
      </c>
      <c r="K120" s="13">
        <f t="shared" si="37"/>
        <v>101200.60459419753</v>
      </c>
      <c r="L120" s="13">
        <f t="shared" si="45"/>
        <v>4195155.8973077945</v>
      </c>
      <c r="M120" s="15">
        <f t="shared" si="38"/>
        <v>0.35544324955279727</v>
      </c>
      <c r="N120" s="13">
        <f t="shared" si="29"/>
        <v>1380.2716924991407</v>
      </c>
      <c r="O120" s="13">
        <f t="shared" si="39"/>
        <v>90886.98305766494</v>
      </c>
      <c r="P120" s="15">
        <f t="shared" si="30"/>
        <v>0.24197579471685057</v>
      </c>
      <c r="Q120" s="7">
        <f t="shared" si="40"/>
        <v>375603.61425413185</v>
      </c>
      <c r="R120" s="7">
        <f t="shared" si="41"/>
        <v>284716.63119646691</v>
      </c>
      <c r="S120" s="13">
        <f>IF(Calc!$AD$32="Sim",R120,Q120)</f>
        <v>284716.63119646691</v>
      </c>
      <c r="T120" s="9">
        <f t="shared" si="42"/>
        <v>116</v>
      </c>
      <c r="U120" s="17">
        <f t="shared" ca="1" si="43"/>
        <v>49035</v>
      </c>
      <c r="V120" s="22"/>
      <c r="W120" s="22"/>
      <c r="X120" s="22"/>
    </row>
    <row r="121" spans="2:24" x14ac:dyDescent="0.2">
      <c r="B121" s="17">
        <f t="shared" ca="1" si="31"/>
        <v>49035</v>
      </c>
      <c r="C121" s="9">
        <f t="shared" si="44"/>
        <v>117</v>
      </c>
      <c r="D121" s="9"/>
      <c r="E121" s="13">
        <f t="shared" si="32"/>
        <v>1609.1468000169073</v>
      </c>
      <c r="F121" s="14">
        <f t="shared" si="33"/>
        <v>185125.17340228628</v>
      </c>
      <c r="G121" s="15">
        <f t="shared" si="34"/>
        <v>0.64253217105590998</v>
      </c>
      <c r="H121" s="13">
        <f t="shared" si="35"/>
        <v>3740.1403654162395</v>
      </c>
      <c r="I121" s="13">
        <f t="shared" si="36"/>
        <v>195827.72801727874</v>
      </c>
      <c r="J121" s="15">
        <f t="shared" si="28"/>
        <v>0.35746782894409002</v>
      </c>
      <c r="K121" s="13">
        <f t="shared" si="37"/>
        <v>102992.96564444728</v>
      </c>
      <c r="L121" s="13">
        <f t="shared" si="45"/>
        <v>4298148.8629522417</v>
      </c>
      <c r="M121" s="15">
        <f t="shared" si="38"/>
        <v>0.35746782894408996</v>
      </c>
      <c r="N121" s="13">
        <f t="shared" si="29"/>
        <v>1399.9293032603107</v>
      </c>
      <c r="O121" s="13">
        <f t="shared" si="39"/>
        <v>92834.762372831465</v>
      </c>
      <c r="P121" s="15">
        <f t="shared" si="30"/>
        <v>0.24369091829172679</v>
      </c>
      <c r="Q121" s="7">
        <f t="shared" si="40"/>
        <v>380952.90141956502</v>
      </c>
      <c r="R121" s="7">
        <f t="shared" si="41"/>
        <v>288118.13904673356</v>
      </c>
      <c r="S121" s="13">
        <f>IF(Calc!$AD$32="Sim",R121,Q121)</f>
        <v>288118.13904673356</v>
      </c>
      <c r="T121" s="9">
        <f t="shared" si="42"/>
        <v>117</v>
      </c>
      <c r="U121" s="17">
        <f t="shared" ca="1" si="43"/>
        <v>49065</v>
      </c>
      <c r="V121" s="22"/>
      <c r="W121" s="22"/>
      <c r="X121" s="22"/>
    </row>
    <row r="122" spans="2:24" x14ac:dyDescent="0.2">
      <c r="B122" s="17">
        <f t="shared" ca="1" si="31"/>
        <v>49065</v>
      </c>
      <c r="C122" s="9">
        <f t="shared" si="44"/>
        <v>118</v>
      </c>
      <c r="D122" s="9"/>
      <c r="E122" s="13">
        <f t="shared" si="32"/>
        <v>1615.7026632662378</v>
      </c>
      <c r="F122" s="14">
        <f t="shared" si="33"/>
        <v>186740.87606555253</v>
      </c>
      <c r="G122" s="15">
        <f t="shared" si="34"/>
        <v>0.6405160480040536</v>
      </c>
      <c r="H122" s="13">
        <f t="shared" si="35"/>
        <v>3793.4068519312036</v>
      </c>
      <c r="I122" s="13">
        <f t="shared" si="36"/>
        <v>199621.13486920996</v>
      </c>
      <c r="J122" s="15">
        <f t="shared" si="28"/>
        <v>0.3594839519959464</v>
      </c>
      <c r="K122" s="13">
        <f t="shared" si="37"/>
        <v>104806.66071743018</v>
      </c>
      <c r="L122" s="13">
        <f t="shared" si="45"/>
        <v>4402955.5236696722</v>
      </c>
      <c r="M122" s="15">
        <f t="shared" si="38"/>
        <v>0.3594839519959464</v>
      </c>
      <c r="N122" s="13">
        <f t="shared" si="29"/>
        <v>1419.8067497547506</v>
      </c>
      <c r="O122" s="13">
        <f t="shared" si="39"/>
        <v>94814.474151779723</v>
      </c>
      <c r="P122" s="15">
        <f t="shared" si="30"/>
        <v>0.24540320080223735</v>
      </c>
      <c r="Q122" s="7">
        <f t="shared" si="40"/>
        <v>386362.01093476242</v>
      </c>
      <c r="R122" s="7">
        <f t="shared" si="41"/>
        <v>291547.5367829827</v>
      </c>
      <c r="S122" s="13">
        <f>IF(Calc!$AD$32="Sim",R122,Q122)</f>
        <v>291547.5367829827</v>
      </c>
      <c r="T122" s="9">
        <f t="shared" si="42"/>
        <v>118</v>
      </c>
      <c r="U122" s="17">
        <f t="shared" ca="1" si="43"/>
        <v>49096</v>
      </c>
      <c r="V122" s="22"/>
      <c r="W122" s="22"/>
      <c r="X122" s="22"/>
    </row>
    <row r="123" spans="2:24" x14ac:dyDescent="0.2">
      <c r="B123" s="17">
        <f t="shared" ca="1" si="31"/>
        <v>49096</v>
      </c>
      <c r="C123" s="9">
        <f t="shared" si="44"/>
        <v>119</v>
      </c>
      <c r="D123" s="9"/>
      <c r="E123" s="13">
        <f t="shared" si="32"/>
        <v>1622.2852359139547</v>
      </c>
      <c r="F123" s="14">
        <f t="shared" si="33"/>
        <v>188363.16130146649</v>
      </c>
      <c r="G123" s="15">
        <f t="shared" si="34"/>
        <v>0.63850831268638109</v>
      </c>
      <c r="H123" s="13">
        <f t="shared" si="35"/>
        <v>3847.2690302249907</v>
      </c>
      <c r="I123" s="13">
        <f t="shared" si="36"/>
        <v>203468.40389943495</v>
      </c>
      <c r="J123" s="15">
        <f t="shared" si="28"/>
        <v>0.36149168731361891</v>
      </c>
      <c r="K123" s="13">
        <f t="shared" si="37"/>
        <v>106641.86456729719</v>
      </c>
      <c r="L123" s="13">
        <f t="shared" si="45"/>
        <v>4509597.3882369697</v>
      </c>
      <c r="M123" s="15">
        <f t="shared" si="38"/>
        <v>0.36149168731361897</v>
      </c>
      <c r="N123" s="13">
        <f t="shared" si="29"/>
        <v>1439.9063191881573</v>
      </c>
      <c r="O123" s="13">
        <f t="shared" si="39"/>
        <v>96826.539332137676</v>
      </c>
      <c r="P123" s="15">
        <f t="shared" si="30"/>
        <v>0.24711265740546556</v>
      </c>
      <c r="Q123" s="7">
        <f t="shared" si="40"/>
        <v>391831.56520090136</v>
      </c>
      <c r="R123" s="7">
        <f t="shared" si="41"/>
        <v>295005.02586876368</v>
      </c>
      <c r="S123" s="13">
        <f>IF(Calc!$AD$32="Sim",R123,Q123)</f>
        <v>295005.02586876368</v>
      </c>
      <c r="T123" s="9">
        <f t="shared" si="42"/>
        <v>119</v>
      </c>
      <c r="U123" s="17">
        <f t="shared" ca="1" si="43"/>
        <v>49126</v>
      </c>
      <c r="V123" s="22"/>
      <c r="W123" s="22"/>
      <c r="X123" s="22"/>
    </row>
    <row r="124" spans="2:24" x14ac:dyDescent="0.2">
      <c r="B124" s="17">
        <f t="shared" ca="1" si="31"/>
        <v>49126</v>
      </c>
      <c r="C124" s="9">
        <f t="shared" si="44"/>
        <v>120</v>
      </c>
      <c r="D124" s="9">
        <v>10</v>
      </c>
      <c r="E124" s="13">
        <f t="shared" si="32"/>
        <v>1628.8946267774534</v>
      </c>
      <c r="F124" s="14">
        <f t="shared" si="33"/>
        <v>189992.05592824394</v>
      </c>
      <c r="G124" s="15">
        <f t="shared" si="34"/>
        <v>0.63650889780073838</v>
      </c>
      <c r="H124" s="13">
        <f t="shared" si="35"/>
        <v>3901.7330979689709</v>
      </c>
      <c r="I124" s="13">
        <f t="shared" si="36"/>
        <v>207370.13699740393</v>
      </c>
      <c r="J124" s="15">
        <f t="shared" si="28"/>
        <v>0.36349110219926162</v>
      </c>
      <c r="K124" s="13">
        <f t="shared" si="37"/>
        <v>108498.75321001527</v>
      </c>
      <c r="L124" s="13">
        <f t="shared" si="45"/>
        <v>4618096.1414469853</v>
      </c>
      <c r="M124" s="15">
        <f t="shared" si="38"/>
        <v>0.36349110219926162</v>
      </c>
      <c r="N124" s="13">
        <f t="shared" si="29"/>
        <v>1460.2303219413723</v>
      </c>
      <c r="O124" s="13">
        <f t="shared" si="39"/>
        <v>98871.383787388564</v>
      </c>
      <c r="P124" s="15">
        <f t="shared" si="30"/>
        <v>0.24881930276111808</v>
      </c>
      <c r="Q124" s="7">
        <f t="shared" si="40"/>
        <v>397362.19292564777</v>
      </c>
      <c r="R124" s="7">
        <f t="shared" si="41"/>
        <v>298490.80913825921</v>
      </c>
      <c r="S124" s="13">
        <f>IF(Calc!$AD$32="Sim",R124,Q124)</f>
        <v>298490.80913825921</v>
      </c>
      <c r="T124" s="9">
        <f t="shared" si="42"/>
        <v>120</v>
      </c>
      <c r="U124" s="17">
        <f t="shared" ca="1" si="43"/>
        <v>49157</v>
      </c>
      <c r="V124" s="22"/>
      <c r="W124" s="22"/>
      <c r="X124" s="22"/>
    </row>
    <row r="125" spans="2:24" x14ac:dyDescent="0.2">
      <c r="B125" s="17">
        <f t="shared" ca="1" si="31"/>
        <v>49157</v>
      </c>
      <c r="C125" s="9">
        <f t="shared" si="44"/>
        <v>121</v>
      </c>
      <c r="D125" s="9"/>
      <c r="E125" s="13">
        <f t="shared" si="32"/>
        <v>1635.5309451174644</v>
      </c>
      <c r="F125" s="14">
        <f t="shared" si="33"/>
        <v>191627.5868733614</v>
      </c>
      <c r="G125" s="15">
        <f t="shared" si="34"/>
        <v>0.63451773730825844</v>
      </c>
      <c r="H125" s="13">
        <f t="shared" si="35"/>
        <v>3956.8053156325068</v>
      </c>
      <c r="I125" s="13">
        <f t="shared" si="36"/>
        <v>211326.94231303644</v>
      </c>
      <c r="J125" s="15">
        <f t="shared" si="28"/>
        <v>0.36548226269174156</v>
      </c>
      <c r="K125" s="13">
        <f t="shared" si="37"/>
        <v>110377.50393195011</v>
      </c>
      <c r="L125" s="13">
        <f t="shared" si="45"/>
        <v>4728473.6453789352</v>
      </c>
      <c r="M125" s="15">
        <f t="shared" si="38"/>
        <v>0.3654822626917415</v>
      </c>
      <c r="N125" s="13">
        <f t="shared" si="29"/>
        <v>1480.7810918027801</v>
      </c>
      <c r="O125" s="13">
        <f t="shared" si="39"/>
        <v>100949.43838108622</v>
      </c>
      <c r="P125" s="15">
        <f t="shared" si="30"/>
        <v>0.25052315104861195</v>
      </c>
      <c r="Q125" s="7">
        <f t="shared" si="40"/>
        <v>402954.52918639773</v>
      </c>
      <c r="R125" s="7">
        <f t="shared" si="41"/>
        <v>302005.09080531151</v>
      </c>
      <c r="S125" s="13">
        <f>IF(Calc!$AD$32="Sim",R125,Q125)</f>
        <v>302005.09080531151</v>
      </c>
      <c r="T125" s="9">
        <f t="shared" si="42"/>
        <v>121</v>
      </c>
      <c r="U125" s="17">
        <f t="shared" ca="1" si="43"/>
        <v>49188</v>
      </c>
      <c r="V125" s="22"/>
      <c r="W125" s="22"/>
      <c r="X125" s="22"/>
    </row>
    <row r="126" spans="2:24" x14ac:dyDescent="0.2">
      <c r="B126" s="17">
        <f t="shared" ca="1" si="31"/>
        <v>49188</v>
      </c>
      <c r="C126" s="9">
        <f t="shared" si="44"/>
        <v>122</v>
      </c>
      <c r="D126" s="9"/>
      <c r="E126" s="13">
        <f t="shared" si="32"/>
        <v>1642.1943006398603</v>
      </c>
      <c r="F126" s="14">
        <f t="shared" si="33"/>
        <v>193269.78117400125</v>
      </c>
      <c r="G126" s="15">
        <f t="shared" si="34"/>
        <v>0.63253476639507389</v>
      </c>
      <c r="H126" s="13">
        <f t="shared" si="35"/>
        <v>4012.4920071126908</v>
      </c>
      <c r="I126" s="13">
        <f t="shared" si="36"/>
        <v>215339.43432014913</v>
      </c>
      <c r="J126" s="15">
        <f t="shared" si="28"/>
        <v>0.36746523360492611</v>
      </c>
      <c r="K126" s="13">
        <f t="shared" si="37"/>
        <v>112278.29529850555</v>
      </c>
      <c r="L126" s="13">
        <f t="shared" si="45"/>
        <v>4840751.9406774407</v>
      </c>
      <c r="M126" s="15">
        <f t="shared" si="38"/>
        <v>0.36746523360492611</v>
      </c>
      <c r="N126" s="13">
        <f t="shared" si="29"/>
        <v>1501.5609862030308</v>
      </c>
      <c r="O126" s="13">
        <f t="shared" si="39"/>
        <v>103061.1390216435</v>
      </c>
      <c r="P126" s="15">
        <f t="shared" si="30"/>
        <v>0.25222421598349615</v>
      </c>
      <c r="Q126" s="7">
        <f t="shared" si="40"/>
        <v>408609.2154941503</v>
      </c>
      <c r="R126" s="7">
        <f t="shared" si="41"/>
        <v>305548.0764725068</v>
      </c>
      <c r="S126" s="13">
        <f>IF(Calc!$AD$32="Sim",R126,Q126)</f>
        <v>305548.0764725068</v>
      </c>
      <c r="T126" s="9">
        <f t="shared" si="42"/>
        <v>122</v>
      </c>
      <c r="U126" s="17">
        <f t="shared" ca="1" si="43"/>
        <v>49218</v>
      </c>
      <c r="V126" s="22"/>
      <c r="W126" s="22"/>
      <c r="X126" s="22"/>
    </row>
    <row r="127" spans="2:24" x14ac:dyDescent="0.2">
      <c r="B127" s="17">
        <f t="shared" ca="1" si="31"/>
        <v>49218</v>
      </c>
      <c r="C127" s="9">
        <f t="shared" si="44"/>
        <v>123</v>
      </c>
      <c r="D127" s="9"/>
      <c r="E127" s="13">
        <f t="shared" si="32"/>
        <v>1648.884803497469</v>
      </c>
      <c r="F127" s="14">
        <f t="shared" si="33"/>
        <v>194918.66597749872</v>
      </c>
      <c r="G127" s="15">
        <f t="shared" si="34"/>
        <v>0.63055992143548623</v>
      </c>
      <c r="H127" s="13">
        <f t="shared" si="35"/>
        <v>4068.7995603703712</v>
      </c>
      <c r="I127" s="13">
        <f t="shared" si="36"/>
        <v>219408.23388051949</v>
      </c>
      <c r="J127" s="15">
        <f t="shared" si="28"/>
        <v>0.36944007856451377</v>
      </c>
      <c r="K127" s="13">
        <f t="shared" si="37"/>
        <v>114201.30716281958</v>
      </c>
      <c r="L127" s="13">
        <f t="shared" si="45"/>
        <v>4954953.2478402602</v>
      </c>
      <c r="M127" s="15">
        <f t="shared" si="38"/>
        <v>0.36944007856451377</v>
      </c>
      <c r="N127" s="13">
        <f t="shared" si="29"/>
        <v>1522.572386452103</v>
      </c>
      <c r="O127" s="13">
        <f t="shared" si="39"/>
        <v>105206.92671769985</v>
      </c>
      <c r="P127" s="15">
        <f t="shared" si="30"/>
        <v>0.2539225108332388</v>
      </c>
      <c r="Q127" s="7">
        <f t="shared" si="40"/>
        <v>414326.89985801815</v>
      </c>
      <c r="R127" s="7">
        <f t="shared" si="41"/>
        <v>309119.9731403183</v>
      </c>
      <c r="S127" s="13">
        <f>IF(Calc!$AD$32="Sim",R127,Q127)</f>
        <v>309119.9731403183</v>
      </c>
      <c r="T127" s="9">
        <f t="shared" si="42"/>
        <v>123</v>
      </c>
      <c r="U127" s="17">
        <f t="shared" ca="1" si="43"/>
        <v>49249</v>
      </c>
      <c r="V127" s="22"/>
      <c r="W127" s="22"/>
      <c r="X127" s="22"/>
    </row>
    <row r="128" spans="2:24" x14ac:dyDescent="0.2">
      <c r="B128" s="17">
        <f t="shared" ca="1" si="31"/>
        <v>49249</v>
      </c>
      <c r="C128" s="9">
        <f t="shared" si="44"/>
        <v>124</v>
      </c>
      <c r="D128" s="9"/>
      <c r="E128" s="13">
        <f t="shared" si="32"/>
        <v>1655.6025642918944</v>
      </c>
      <c r="F128" s="14">
        <f t="shared" si="33"/>
        <v>196574.2685417906</v>
      </c>
      <c r="G128" s="15">
        <f t="shared" si="34"/>
        <v>0.62859313995652721</v>
      </c>
      <c r="H128" s="13">
        <f t="shared" si="35"/>
        <v>4125.7344280725292</v>
      </c>
      <c r="I128" s="13">
        <f t="shared" si="36"/>
        <v>223533.96830859201</v>
      </c>
      <c r="J128" s="15">
        <f t="shared" si="28"/>
        <v>0.37140686004347279</v>
      </c>
      <c r="K128" s="13">
        <f t="shared" si="37"/>
        <v>116146.72067451786</v>
      </c>
      <c r="L128" s="13">
        <f t="shared" si="45"/>
        <v>5071099.9685147777</v>
      </c>
      <c r="M128" s="15">
        <f t="shared" si="38"/>
        <v>0.37140686004347284</v>
      </c>
      <c r="N128" s="13">
        <f t="shared" si="29"/>
        <v>1543.8176979787372</v>
      </c>
      <c r="O128" s="13">
        <f t="shared" si="39"/>
        <v>107387.24763407413</v>
      </c>
      <c r="P128" s="15">
        <f t="shared" si="30"/>
        <v>0.25561804843240682</v>
      </c>
      <c r="Q128" s="7">
        <f t="shared" si="40"/>
        <v>420108.23685038259</v>
      </c>
      <c r="R128" s="7">
        <f t="shared" si="41"/>
        <v>312720.98921630846</v>
      </c>
      <c r="S128" s="13">
        <f>IF(Calc!$AD$32="Sim",R128,Q128)</f>
        <v>312720.98921630846</v>
      </c>
      <c r="T128" s="9">
        <f t="shared" si="42"/>
        <v>124</v>
      </c>
      <c r="U128" s="17">
        <f t="shared" ca="1" si="43"/>
        <v>49279</v>
      </c>
      <c r="V128" s="22"/>
      <c r="W128" s="22"/>
      <c r="X128" s="22"/>
    </row>
    <row r="129" spans="2:24" x14ac:dyDescent="0.2">
      <c r="B129" s="17">
        <f t="shared" ca="1" si="31"/>
        <v>49279</v>
      </c>
      <c r="C129" s="9">
        <f t="shared" si="44"/>
        <v>125</v>
      </c>
      <c r="D129" s="9"/>
      <c r="E129" s="13">
        <f t="shared" si="32"/>
        <v>1662.3476940753453</v>
      </c>
      <c r="F129" s="14">
        <f t="shared" si="33"/>
        <v>198236.61623586595</v>
      </c>
      <c r="G129" s="15">
        <f t="shared" si="34"/>
        <v>0.62663436060384947</v>
      </c>
      <c r="H129" s="13">
        <f t="shared" si="35"/>
        <v>4183.3031282410702</v>
      </c>
      <c r="I129" s="13">
        <f t="shared" si="36"/>
        <v>227717.27143683308</v>
      </c>
      <c r="J129" s="15">
        <f t="shared" si="28"/>
        <v>0.37336563939615053</v>
      </c>
      <c r="K129" s="13">
        <f t="shared" si="37"/>
        <v>118114.71828852457</v>
      </c>
      <c r="L129" s="13">
        <f t="shared" si="45"/>
        <v>5189214.6868033027</v>
      </c>
      <c r="M129" s="15">
        <f t="shared" si="38"/>
        <v>0.37336563939615053</v>
      </c>
      <c r="N129" s="13">
        <f t="shared" si="29"/>
        <v>1565.299350572257</v>
      </c>
      <c r="O129" s="13">
        <f t="shared" si="39"/>
        <v>109602.55314830848</v>
      </c>
      <c r="P129" s="15">
        <f t="shared" si="30"/>
        <v>0.25731084119726727</v>
      </c>
      <c r="Q129" s="7">
        <f t="shared" si="40"/>
        <v>425953.887672699</v>
      </c>
      <c r="R129" s="7">
        <f t="shared" si="41"/>
        <v>316351.33452439052</v>
      </c>
      <c r="S129" s="13">
        <f>IF(Calc!$AD$32="Sim",R129,Q129)</f>
        <v>316351.33452439052</v>
      </c>
      <c r="T129" s="9">
        <f t="shared" si="42"/>
        <v>125</v>
      </c>
      <c r="U129" s="17">
        <f t="shared" ca="1" si="43"/>
        <v>49310</v>
      </c>
      <c r="V129" s="22"/>
      <c r="W129" s="22"/>
      <c r="X129" s="22"/>
    </row>
    <row r="130" spans="2:24" x14ac:dyDescent="0.2">
      <c r="B130" s="17">
        <f t="shared" ca="1" si="31"/>
        <v>49310</v>
      </c>
      <c r="C130" s="9">
        <f t="shared" si="44"/>
        <v>126</v>
      </c>
      <c r="D130" s="9"/>
      <c r="E130" s="13">
        <f t="shared" si="32"/>
        <v>1669.1203043524706</v>
      </c>
      <c r="F130" s="14">
        <f t="shared" si="33"/>
        <v>199905.73654021841</v>
      </c>
      <c r="G130" s="15">
        <f t="shared" si="34"/>
        <v>0.62468352310888975</v>
      </c>
      <c r="H130" s="13">
        <f t="shared" si="35"/>
        <v>4241.5122449080927</v>
      </c>
      <c r="I130" s="13">
        <f t="shared" si="36"/>
        <v>231958.78368174116</v>
      </c>
      <c r="J130" s="15">
        <f t="shared" si="28"/>
        <v>0.37531647689111025</v>
      </c>
      <c r="K130" s="13">
        <f t="shared" si="37"/>
        <v>120105.48377393174</v>
      </c>
      <c r="L130" s="13">
        <f t="shared" si="45"/>
        <v>5309320.1705772346</v>
      </c>
      <c r="M130" s="15">
        <f t="shared" si="38"/>
        <v>0.37531647689111031</v>
      </c>
      <c r="N130" s="13">
        <f t="shared" si="29"/>
        <v>1587.0197986268076</v>
      </c>
      <c r="O130" s="13">
        <f t="shared" si="39"/>
        <v>111853.29990780941</v>
      </c>
      <c r="P130" s="15">
        <f t="shared" si="30"/>
        <v>0.25900090113983359</v>
      </c>
      <c r="Q130" s="7">
        <f t="shared" si="40"/>
        <v>431864.52022195957</v>
      </c>
      <c r="R130" s="7">
        <f t="shared" si="41"/>
        <v>320011.22031415015</v>
      </c>
      <c r="S130" s="13">
        <f>IF(Calc!$AD$32="Sim",R130,Q130)</f>
        <v>320011.22031415015</v>
      </c>
      <c r="T130" s="9">
        <f t="shared" si="42"/>
        <v>126</v>
      </c>
      <c r="U130" s="17">
        <f t="shared" ca="1" si="43"/>
        <v>49341</v>
      </c>
      <c r="V130" s="22"/>
      <c r="W130" s="22"/>
      <c r="X130" s="22"/>
    </row>
    <row r="131" spans="2:24" x14ac:dyDescent="0.2">
      <c r="B131" s="17">
        <f t="shared" ca="1" si="31"/>
        <v>49341</v>
      </c>
      <c r="C131" s="9">
        <f t="shared" si="44"/>
        <v>127</v>
      </c>
      <c r="D131" s="9"/>
      <c r="E131" s="13">
        <f t="shared" si="32"/>
        <v>1675.9205070822034</v>
      </c>
      <c r="F131" s="14">
        <f t="shared" si="33"/>
        <v>201581.6570473006</v>
      </c>
      <c r="G131" s="15">
        <f t="shared" si="34"/>
        <v>0.62274056825724855</v>
      </c>
      <c r="H131" s="13">
        <f t="shared" si="35"/>
        <v>4300.3684287777069</v>
      </c>
      <c r="I131" s="13">
        <f t="shared" si="36"/>
        <v>236259.15211051886</v>
      </c>
      <c r="J131" s="15">
        <f t="shared" si="28"/>
        <v>0.37725943174275145</v>
      </c>
      <c r="K131" s="13">
        <f t="shared" si="37"/>
        <v>122119.20222292608</v>
      </c>
      <c r="L131" s="13">
        <f t="shared" si="45"/>
        <v>5431439.3728001602</v>
      </c>
      <c r="M131" s="15">
        <f t="shared" si="38"/>
        <v>0.37725943174275145</v>
      </c>
      <c r="N131" s="13">
        <f t="shared" si="29"/>
        <v>1608.9815213880324</v>
      </c>
      <c r="O131" s="13">
        <f t="shared" si="39"/>
        <v>114139.94988759281</v>
      </c>
      <c r="P131" s="15">
        <f t="shared" si="30"/>
        <v>0.26068823988138373</v>
      </c>
      <c r="Q131" s="7">
        <f t="shared" si="40"/>
        <v>437840.80915781949</v>
      </c>
      <c r="R131" s="7">
        <f t="shared" si="41"/>
        <v>323700.85927022668</v>
      </c>
      <c r="S131" s="13">
        <f>IF(Calc!$AD$32="Sim",R131,Q131)</f>
        <v>323700.85927022668</v>
      </c>
      <c r="T131" s="9">
        <f t="shared" si="42"/>
        <v>127</v>
      </c>
      <c r="U131" s="17">
        <f t="shared" ca="1" si="43"/>
        <v>49369</v>
      </c>
      <c r="V131" s="22"/>
      <c r="W131" s="22"/>
      <c r="X131" s="22"/>
    </row>
    <row r="132" spans="2:24" x14ac:dyDescent="0.2">
      <c r="B132" s="17">
        <f t="shared" ca="1" si="31"/>
        <v>49369</v>
      </c>
      <c r="C132" s="9">
        <f t="shared" si="44"/>
        <v>128</v>
      </c>
      <c r="D132" s="9"/>
      <c r="E132" s="13">
        <f t="shared" si="32"/>
        <v>1682.748414679611</v>
      </c>
      <c r="F132" s="14">
        <f t="shared" si="33"/>
        <v>203264.4054619802</v>
      </c>
      <c r="G132" s="15">
        <f t="shared" si="34"/>
        <v>0.6208054378582335</v>
      </c>
      <c r="H132" s="13">
        <f t="shared" si="35"/>
        <v>4359.8783978944484</v>
      </c>
      <c r="I132" s="13">
        <f t="shared" si="36"/>
        <v>240619.0305084133</v>
      </c>
      <c r="J132" s="15">
        <f t="shared" si="28"/>
        <v>0.3791945621417665</v>
      </c>
      <c r="K132" s="13">
        <f t="shared" si="37"/>
        <v>124156.06005977554</v>
      </c>
      <c r="L132" s="13">
        <f t="shared" si="45"/>
        <v>5555595.4328599358</v>
      </c>
      <c r="M132" s="15">
        <f t="shared" si="38"/>
        <v>0.37919456214176656</v>
      </c>
      <c r="N132" s="13">
        <f t="shared" si="29"/>
        <v>1631.1870232022113</v>
      </c>
      <c r="O132" s="13">
        <f t="shared" si="39"/>
        <v>116462.97044863779</v>
      </c>
      <c r="P132" s="15">
        <f t="shared" si="30"/>
        <v>0.26237286866547038</v>
      </c>
      <c r="Q132" s="7">
        <f t="shared" si="40"/>
        <v>443883.43597039353</v>
      </c>
      <c r="R132" s="7">
        <f t="shared" si="41"/>
        <v>327420.46552175574</v>
      </c>
      <c r="S132" s="13">
        <f>IF(Calc!$AD$32="Sim",R132,Q132)</f>
        <v>327420.46552175574</v>
      </c>
      <c r="T132" s="9">
        <f t="shared" si="42"/>
        <v>128</v>
      </c>
      <c r="U132" s="17">
        <f t="shared" ca="1" si="43"/>
        <v>49400</v>
      </c>
      <c r="V132" s="22"/>
      <c r="W132" s="22"/>
      <c r="X132" s="22"/>
    </row>
    <row r="133" spans="2:24" x14ac:dyDescent="0.2">
      <c r="B133" s="17">
        <f t="shared" ca="1" si="31"/>
        <v>49400</v>
      </c>
      <c r="C133" s="9">
        <f t="shared" si="44"/>
        <v>129</v>
      </c>
      <c r="D133" s="9"/>
      <c r="E133" s="13">
        <f t="shared" si="32"/>
        <v>1689.6041400177537</v>
      </c>
      <c r="F133" s="14">
        <f t="shared" si="33"/>
        <v>204954.00960199797</v>
      </c>
      <c r="G133" s="15">
        <f t="shared" si="34"/>
        <v>0.61887807471551615</v>
      </c>
      <c r="H133" s="13">
        <f t="shared" si="35"/>
        <v>4420.0489383183849</v>
      </c>
      <c r="I133" s="13">
        <f t="shared" si="36"/>
        <v>245039.07944673169</v>
      </c>
      <c r="J133" s="15">
        <f t="shared" ref="J133:J196" si="46">1-G133</f>
        <v>0.38112192528448385</v>
      </c>
      <c r="K133" s="13">
        <f t="shared" si="37"/>
        <v>126216.24504987441</v>
      </c>
      <c r="L133" s="13">
        <f t="shared" si="45"/>
        <v>5681811.6779098101</v>
      </c>
      <c r="M133" s="15">
        <f t="shared" si="38"/>
        <v>0.38112192528448391</v>
      </c>
      <c r="N133" s="13">
        <f t="shared" ref="N133:N196" si="47">Q133*Inflação</f>
        <v>1653.6388337678891</v>
      </c>
      <c r="O133" s="13">
        <f t="shared" si="39"/>
        <v>118822.8343968573</v>
      </c>
      <c r="P133" s="15">
        <f t="shared" ref="P133:P196" si="48">O133/Q133</f>
        <v>0.26405479837044787</v>
      </c>
      <c r="Q133" s="7">
        <f t="shared" si="40"/>
        <v>449993.08904872969</v>
      </c>
      <c r="R133" s="7">
        <f t="shared" si="41"/>
        <v>331170.25465187238</v>
      </c>
      <c r="S133" s="13">
        <f>IF(Calc!$AD$32="Sim",R133,Q133)</f>
        <v>331170.25465187238</v>
      </c>
      <c r="T133" s="9">
        <f t="shared" si="42"/>
        <v>129</v>
      </c>
      <c r="U133" s="17">
        <f t="shared" ca="1" si="43"/>
        <v>49430</v>
      </c>
      <c r="V133" s="22"/>
      <c r="W133" s="22"/>
      <c r="X133" s="22"/>
    </row>
    <row r="134" spans="2:24" x14ac:dyDescent="0.2">
      <c r="B134" s="17">
        <f t="shared" ref="B134:B197" ca="1" si="49">DATE(YEAR(B133),MONTH(B133)+1,1)</f>
        <v>49430</v>
      </c>
      <c r="C134" s="9">
        <f t="shared" si="44"/>
        <v>130</v>
      </c>
      <c r="D134" s="9"/>
      <c r="E134" s="13">
        <f t="shared" ref="E134:E197" si="50">IF($AE$33,IF($AE$34,$E133*(1+Inflação)*(1+Crescimento_Salário),$E133*(1+Inflação)),IF($AE$34,$E133*(1+Crescimento_Salário),$E133))</f>
        <v>1696.4877964295508</v>
      </c>
      <c r="F134" s="14">
        <f t="shared" ref="F134:F197" si="51">F133+E134</f>
        <v>206650.49739842751</v>
      </c>
      <c r="G134" s="15">
        <f t="shared" ref="G134:G197" si="52">IF(F134&lt;=0,0,F134/S134)</f>
        <v>0.6169584225988558</v>
      </c>
      <c r="H134" s="13">
        <f t="shared" ref="H134:H197" si="53">Q133*Taxa</f>
        <v>4480.8869048069437</v>
      </c>
      <c r="I134" s="13">
        <f t="shared" ref="I134:I197" si="54">I133+H134</f>
        <v>249519.96635153863</v>
      </c>
      <c r="J134" s="15">
        <f t="shared" si="46"/>
        <v>0.3830415774011442</v>
      </c>
      <c r="K134" s="13">
        <f t="shared" ref="K134:K197" si="55">R134-F134</f>
        <v>128299.94630884792</v>
      </c>
      <c r="L134" s="13">
        <f t="shared" si="45"/>
        <v>5810111.6242186576</v>
      </c>
      <c r="M134" s="15">
        <f t="shared" ref="M134:M197" si="56">K134/R134</f>
        <v>0.38304157740114414</v>
      </c>
      <c r="N134" s="13">
        <f t="shared" si="47"/>
        <v>1676.3395083900136</v>
      </c>
      <c r="O134" s="13">
        <f t="shared" ref="O134:O197" si="57">Q134-R134</f>
        <v>121220.02004269074</v>
      </c>
      <c r="P134" s="15">
        <f t="shared" si="48"/>
        <v>0.26573403952153563</v>
      </c>
      <c r="Q134" s="7">
        <f t="shared" ref="Q134:Q197" si="58">Q133+E134+H134</f>
        <v>456170.46374996618</v>
      </c>
      <c r="R134" s="7">
        <f t="shared" ref="R134:R197" si="59">(R133+E134)*(1+((1+Taxa)/(1+Inflação)-1))</f>
        <v>334950.44370727544</v>
      </c>
      <c r="S134" s="13">
        <f>IF(Calc!$AD$32="Sim",R134,Q134)</f>
        <v>334950.44370727544</v>
      </c>
      <c r="T134" s="9">
        <f t="shared" ref="T134:T197" si="60">C134</f>
        <v>130</v>
      </c>
      <c r="U134" s="17">
        <f t="shared" ref="U134:U197" ca="1" si="61">DATE(YEAR(U133),MONTH(U133)+1,1)</f>
        <v>49461</v>
      </c>
      <c r="V134" s="22"/>
      <c r="W134" s="22"/>
      <c r="X134" s="22"/>
    </row>
    <row r="135" spans="2:24" x14ac:dyDescent="0.2">
      <c r="B135" s="17">
        <f t="shared" ca="1" si="49"/>
        <v>49461</v>
      </c>
      <c r="C135" s="9">
        <f t="shared" ref="C135:C198" si="62">C134+1</f>
        <v>131</v>
      </c>
      <c r="D135" s="9"/>
      <c r="E135" s="13">
        <f t="shared" si="50"/>
        <v>1703.3994977096536</v>
      </c>
      <c r="F135" s="14">
        <f t="shared" si="51"/>
        <v>208353.89689613716</v>
      </c>
      <c r="G135" s="15">
        <f t="shared" si="52"/>
        <v>0.6150464262168438</v>
      </c>
      <c r="H135" s="13">
        <f t="shared" si="53"/>
        <v>4542.3992215035651</v>
      </c>
      <c r="I135" s="13">
        <f t="shared" si="54"/>
        <v>254062.36557304219</v>
      </c>
      <c r="J135" s="15">
        <f t="shared" si="46"/>
        <v>0.3849535737831562</v>
      </c>
      <c r="K135" s="13">
        <f t="shared" si="55"/>
        <v>130407.35431171698</v>
      </c>
      <c r="L135" s="13">
        <f t="shared" ref="L135:L198" si="63">L134+K135</f>
        <v>5940518.9785303744</v>
      </c>
      <c r="M135" s="15">
        <f t="shared" si="56"/>
        <v>0.38495357378315614</v>
      </c>
      <c r="N135" s="13">
        <f t="shared" si="47"/>
        <v>1699.291628236615</v>
      </c>
      <c r="O135" s="13">
        <f t="shared" si="57"/>
        <v>123655.01126132527</v>
      </c>
      <c r="P135" s="15">
        <f t="shared" si="48"/>
        <v>0.26741060230243746</v>
      </c>
      <c r="Q135" s="7">
        <f t="shared" si="58"/>
        <v>462416.2624691794</v>
      </c>
      <c r="R135" s="7">
        <f t="shared" si="59"/>
        <v>338761.25120785413</v>
      </c>
      <c r="S135" s="13">
        <f>IF(Calc!$AD$32="Sim",R135,Q135)</f>
        <v>338761.25120785413</v>
      </c>
      <c r="T135" s="9">
        <f t="shared" si="60"/>
        <v>131</v>
      </c>
      <c r="U135" s="17">
        <f t="shared" ca="1" si="61"/>
        <v>49491</v>
      </c>
      <c r="V135" s="22"/>
      <c r="W135" s="22"/>
      <c r="X135" s="22"/>
    </row>
    <row r="136" spans="2:24" x14ac:dyDescent="0.2">
      <c r="B136" s="17">
        <f t="shared" ca="1" si="49"/>
        <v>49491</v>
      </c>
      <c r="C136" s="9">
        <f t="shared" si="62"/>
        <v>132</v>
      </c>
      <c r="D136" s="9">
        <v>11</v>
      </c>
      <c r="E136" s="13">
        <f t="shared" si="50"/>
        <v>1710.339358116327</v>
      </c>
      <c r="F136" s="14">
        <f t="shared" si="51"/>
        <v>210064.23625425348</v>
      </c>
      <c r="G136" s="15">
        <f t="shared" si="52"/>
        <v>0.61314203119062516</v>
      </c>
      <c r="H136" s="13">
        <f t="shared" si="53"/>
        <v>4604.5928826332183</v>
      </c>
      <c r="I136" s="13">
        <f t="shared" si="54"/>
        <v>258666.9584556754</v>
      </c>
      <c r="J136" s="15">
        <f t="shared" si="46"/>
        <v>0.38685796880937484</v>
      </c>
      <c r="K136" s="13">
        <f t="shared" si="55"/>
        <v>132538.66090212291</v>
      </c>
      <c r="L136" s="13">
        <f t="shared" si="63"/>
        <v>6073057.6394324973</v>
      </c>
      <c r="M136" s="15">
        <f t="shared" si="56"/>
        <v>0.38685796880937484</v>
      </c>
      <c r="N136" s="13">
        <f t="shared" si="47"/>
        <v>1722.4978005980431</v>
      </c>
      <c r="O136" s="13">
        <f t="shared" si="57"/>
        <v>126128.29755355255</v>
      </c>
      <c r="P136" s="15">
        <f t="shared" si="48"/>
        <v>0.26908449656653677</v>
      </c>
      <c r="Q136" s="7">
        <f t="shared" si="58"/>
        <v>468731.19470992894</v>
      </c>
      <c r="R136" s="7">
        <f t="shared" si="59"/>
        <v>342602.89715637639</v>
      </c>
      <c r="S136" s="13">
        <f>IF(Calc!$AD$32="Sim",R136,Q136)</f>
        <v>342602.89715637639</v>
      </c>
      <c r="T136" s="9">
        <f t="shared" si="60"/>
        <v>132</v>
      </c>
      <c r="U136" s="17">
        <f t="shared" ca="1" si="61"/>
        <v>49522</v>
      </c>
      <c r="V136" s="22"/>
      <c r="W136" s="22"/>
      <c r="X136" s="22"/>
    </row>
    <row r="137" spans="2:24" x14ac:dyDescent="0.2">
      <c r="B137" s="17">
        <f t="shared" ca="1" si="49"/>
        <v>49522</v>
      </c>
      <c r="C137" s="9">
        <f t="shared" si="62"/>
        <v>133</v>
      </c>
      <c r="D137" s="9"/>
      <c r="E137" s="13">
        <f t="shared" si="50"/>
        <v>1717.3074923733386</v>
      </c>
      <c r="F137" s="14">
        <f t="shared" si="51"/>
        <v>211781.54374662682</v>
      </c>
      <c r="G137" s="15">
        <f t="shared" si="52"/>
        <v>0.61124518402855721</v>
      </c>
      <c r="H137" s="13">
        <f t="shared" si="53"/>
        <v>4667.47495320487</v>
      </c>
      <c r="I137" s="13">
        <f t="shared" si="54"/>
        <v>263334.43340888026</v>
      </c>
      <c r="J137" s="15">
        <f t="shared" si="46"/>
        <v>0.38875481597144279</v>
      </c>
      <c r="K137" s="13">
        <f t="shared" si="55"/>
        <v>134694.05930161319</v>
      </c>
      <c r="L137" s="13">
        <f t="shared" si="63"/>
        <v>6207751.6987341102</v>
      </c>
      <c r="M137" s="15">
        <f t="shared" si="56"/>
        <v>0.38875481597144274</v>
      </c>
      <c r="N137" s="13">
        <f t="shared" si="47"/>
        <v>1745.960659148798</v>
      </c>
      <c r="O137" s="13">
        <f t="shared" si="57"/>
        <v>128640.37410726713</v>
      </c>
      <c r="P137" s="15">
        <f t="shared" si="48"/>
        <v>0.27075573184768459</v>
      </c>
      <c r="Q137" s="7">
        <f t="shared" si="58"/>
        <v>475115.97715550713</v>
      </c>
      <c r="R137" s="7">
        <f t="shared" si="59"/>
        <v>346475.60304824001</v>
      </c>
      <c r="S137" s="13">
        <f>IF(Calc!$AD$32="Sim",R137,Q137)</f>
        <v>346475.60304824001</v>
      </c>
      <c r="T137" s="9">
        <f t="shared" si="60"/>
        <v>133</v>
      </c>
      <c r="U137" s="17">
        <f t="shared" ca="1" si="61"/>
        <v>49553</v>
      </c>
      <c r="V137" s="22"/>
      <c r="W137" s="22"/>
      <c r="X137" s="22"/>
    </row>
    <row r="138" spans="2:24" x14ac:dyDescent="0.2">
      <c r="B138" s="17">
        <f t="shared" ca="1" si="49"/>
        <v>49553</v>
      </c>
      <c r="C138" s="9">
        <f t="shared" si="62"/>
        <v>134</v>
      </c>
      <c r="D138" s="9"/>
      <c r="E138" s="13">
        <f t="shared" si="50"/>
        <v>1724.3040156718544</v>
      </c>
      <c r="F138" s="14">
        <f t="shared" si="51"/>
        <v>213505.84776229868</v>
      </c>
      <c r="G138" s="15">
        <f t="shared" si="52"/>
        <v>0.60935583210176647</v>
      </c>
      <c r="H138" s="13">
        <f t="shared" si="53"/>
        <v>4731.0525697209641</v>
      </c>
      <c r="I138" s="13">
        <f t="shared" si="54"/>
        <v>268065.48597860121</v>
      </c>
      <c r="J138" s="15">
        <f t="shared" si="46"/>
        <v>0.39064416789823353</v>
      </c>
      <c r="K138" s="13">
        <f t="shared" si="55"/>
        <v>136873.74411898784</v>
      </c>
      <c r="L138" s="13">
        <f t="shared" si="63"/>
        <v>6344625.4428530978</v>
      </c>
      <c r="M138" s="15">
        <f t="shared" si="56"/>
        <v>0.39064416789823353</v>
      </c>
      <c r="N138" s="13">
        <f t="shared" si="47"/>
        <v>1769.6828642119713</v>
      </c>
      <c r="O138" s="13">
        <f t="shared" si="57"/>
        <v>131191.74185961339</v>
      </c>
      <c r="P138" s="15">
        <f t="shared" si="48"/>
        <v>0.27242431737059863</v>
      </c>
      <c r="Q138" s="7">
        <f t="shared" si="58"/>
        <v>481571.33374089992</v>
      </c>
      <c r="R138" s="7">
        <f t="shared" si="59"/>
        <v>350379.59188128653</v>
      </c>
      <c r="S138" s="13">
        <f>IF(Calc!$AD$32="Sim",R138,Q138)</f>
        <v>350379.59188128653</v>
      </c>
      <c r="T138" s="9">
        <f t="shared" si="60"/>
        <v>134</v>
      </c>
      <c r="U138" s="17">
        <f t="shared" ca="1" si="61"/>
        <v>49583</v>
      </c>
      <c r="V138" s="22"/>
      <c r="W138" s="22"/>
      <c r="X138" s="22"/>
    </row>
    <row r="139" spans="2:24" x14ac:dyDescent="0.2">
      <c r="B139" s="17">
        <f t="shared" ca="1" si="49"/>
        <v>49583</v>
      </c>
      <c r="C139" s="9">
        <f t="shared" si="62"/>
        <v>135</v>
      </c>
      <c r="D139" s="9"/>
      <c r="E139" s="13">
        <f t="shared" si="50"/>
        <v>1731.3290436723435</v>
      </c>
      <c r="F139" s="14">
        <f t="shared" si="51"/>
        <v>215237.17680597102</v>
      </c>
      <c r="G139" s="15">
        <f t="shared" si="52"/>
        <v>0.6074739236205644</v>
      </c>
      <c r="H139" s="13">
        <f t="shared" si="53"/>
        <v>4795.3329408939826</v>
      </c>
      <c r="I139" s="13">
        <f t="shared" si="54"/>
        <v>272860.81891949521</v>
      </c>
      <c r="J139" s="15">
        <f t="shared" si="46"/>
        <v>0.3925260763794356</v>
      </c>
      <c r="K139" s="13">
        <f t="shared" si="55"/>
        <v>139077.91135970765</v>
      </c>
      <c r="L139" s="13">
        <f t="shared" si="63"/>
        <v>6483703.3542128056</v>
      </c>
      <c r="M139" s="15">
        <f t="shared" si="56"/>
        <v>0.3925260763794356</v>
      </c>
      <c r="N139" s="13">
        <f t="shared" si="47"/>
        <v>1793.6671030263296</v>
      </c>
      <c r="O139" s="13">
        <f t="shared" si="57"/>
        <v>133782.90755978762</v>
      </c>
      <c r="P139" s="15">
        <f t="shared" si="48"/>
        <v>0.27409026206088877</v>
      </c>
      <c r="Q139" s="7">
        <f t="shared" si="58"/>
        <v>488097.99572546629</v>
      </c>
      <c r="R139" s="7">
        <f t="shared" si="59"/>
        <v>354315.08816567867</v>
      </c>
      <c r="S139" s="13">
        <f>IF(Calc!$AD$32="Sim",R139,Q139)</f>
        <v>354315.08816567867</v>
      </c>
      <c r="T139" s="9">
        <f t="shared" si="60"/>
        <v>135</v>
      </c>
      <c r="U139" s="17">
        <f t="shared" ca="1" si="61"/>
        <v>49614</v>
      </c>
      <c r="V139" s="22"/>
      <c r="W139" s="22"/>
      <c r="X139" s="22"/>
    </row>
    <row r="140" spans="2:24" x14ac:dyDescent="0.2">
      <c r="B140" s="17">
        <f t="shared" ca="1" si="49"/>
        <v>49614</v>
      </c>
      <c r="C140" s="9">
        <f t="shared" si="62"/>
        <v>136</v>
      </c>
      <c r="D140" s="9"/>
      <c r="E140" s="13">
        <f t="shared" si="50"/>
        <v>1738.38269250649</v>
      </c>
      <c r="F140" s="14">
        <f t="shared" si="51"/>
        <v>216975.55949847749</v>
      </c>
      <c r="G140" s="15">
        <f t="shared" si="52"/>
        <v>0.60559940761169007</v>
      </c>
      <c r="H140" s="13">
        <f t="shared" si="53"/>
        <v>4860.3233483701688</v>
      </c>
      <c r="I140" s="13">
        <f t="shared" si="54"/>
        <v>277721.14226786536</v>
      </c>
      <c r="J140" s="15">
        <f t="shared" si="46"/>
        <v>0.39440059238830993</v>
      </c>
      <c r="K140" s="13">
        <f t="shared" si="55"/>
        <v>141306.75843536382</v>
      </c>
      <c r="L140" s="13">
        <f t="shared" si="63"/>
        <v>6625010.1126481695</v>
      </c>
      <c r="M140" s="15">
        <f t="shared" si="56"/>
        <v>0.39440059238830993</v>
      </c>
      <c r="N140" s="13">
        <f t="shared" si="47"/>
        <v>1817.9160900160625</v>
      </c>
      <c r="O140" s="13">
        <f t="shared" si="57"/>
        <v>136414.3838325016</v>
      </c>
      <c r="P140" s="15">
        <f t="shared" si="48"/>
        <v>0.2757535745547246</v>
      </c>
      <c r="Q140" s="7">
        <f t="shared" si="58"/>
        <v>494696.70176634291</v>
      </c>
      <c r="R140" s="7">
        <f t="shared" si="59"/>
        <v>358282.31793384132</v>
      </c>
      <c r="S140" s="13">
        <f>IF(Calc!$AD$32="Sim",R140,Q140)</f>
        <v>358282.31793384132</v>
      </c>
      <c r="T140" s="9">
        <f t="shared" si="60"/>
        <v>136</v>
      </c>
      <c r="U140" s="17">
        <f t="shared" ca="1" si="61"/>
        <v>49644</v>
      </c>
      <c r="V140" s="22"/>
      <c r="W140" s="22"/>
      <c r="X140" s="22"/>
    </row>
    <row r="141" spans="2:24" x14ac:dyDescent="0.2">
      <c r="B141" s="17">
        <f t="shared" ca="1" si="49"/>
        <v>49644</v>
      </c>
      <c r="C141" s="9">
        <f t="shared" si="62"/>
        <v>137</v>
      </c>
      <c r="D141" s="9"/>
      <c r="E141" s="13">
        <f t="shared" si="50"/>
        <v>1745.4650787791134</v>
      </c>
      <c r="F141" s="14">
        <f t="shared" si="51"/>
        <v>218721.02457725661</v>
      </c>
      <c r="G141" s="15">
        <f t="shared" si="52"/>
        <v>0.60373223389634223</v>
      </c>
      <c r="H141" s="13">
        <f t="shared" si="53"/>
        <v>4926.0311474604632</v>
      </c>
      <c r="I141" s="13">
        <f t="shared" si="54"/>
        <v>282647.17341532581</v>
      </c>
      <c r="J141" s="15">
        <f t="shared" si="46"/>
        <v>0.39626776610365777</v>
      </c>
      <c r="K141" s="13">
        <f t="shared" si="55"/>
        <v>143560.48417321025</v>
      </c>
      <c r="L141" s="13">
        <f t="shared" si="63"/>
        <v>6768570.5968213798</v>
      </c>
      <c r="M141" s="15">
        <f t="shared" si="56"/>
        <v>0.39626776610365777</v>
      </c>
      <c r="N141" s="13">
        <f t="shared" si="47"/>
        <v>1842.4325670632265</v>
      </c>
      <c r="O141" s="13">
        <f t="shared" si="57"/>
        <v>139086.68924211559</v>
      </c>
      <c r="P141" s="15">
        <f t="shared" si="48"/>
        <v>0.27741426320816087</v>
      </c>
      <c r="Q141" s="7">
        <f t="shared" si="58"/>
        <v>501368.19799258246</v>
      </c>
      <c r="R141" s="7">
        <f t="shared" si="59"/>
        <v>362281.50875046686</v>
      </c>
      <c r="S141" s="13">
        <f>IF(Calc!$AD$32="Sim",R141,Q141)</f>
        <v>362281.50875046686</v>
      </c>
      <c r="T141" s="9">
        <f t="shared" si="60"/>
        <v>137</v>
      </c>
      <c r="U141" s="17">
        <f t="shared" ca="1" si="61"/>
        <v>49675</v>
      </c>
      <c r="V141" s="22"/>
      <c r="W141" s="22"/>
      <c r="X141" s="22"/>
    </row>
    <row r="142" spans="2:24" x14ac:dyDescent="0.2">
      <c r="B142" s="17">
        <f t="shared" ca="1" si="49"/>
        <v>49675</v>
      </c>
      <c r="C142" s="9">
        <f t="shared" si="62"/>
        <v>138</v>
      </c>
      <c r="D142" s="9"/>
      <c r="E142" s="13">
        <f t="shared" si="50"/>
        <v>1752.5763195700949</v>
      </c>
      <c r="F142" s="14">
        <f t="shared" si="51"/>
        <v>220473.60089682671</v>
      </c>
      <c r="G142" s="15">
        <f t="shared" si="52"/>
        <v>0.60187235306897102</v>
      </c>
      <c r="H142" s="13">
        <f t="shared" si="53"/>
        <v>4992.4637678787476</v>
      </c>
      <c r="I142" s="13">
        <f t="shared" si="54"/>
        <v>287639.63718320458</v>
      </c>
      <c r="J142" s="15">
        <f t="shared" si="46"/>
        <v>0.39812764693102898</v>
      </c>
      <c r="K142" s="13">
        <f t="shared" si="55"/>
        <v>145839.28882575827</v>
      </c>
      <c r="L142" s="13">
        <f t="shared" si="63"/>
        <v>6914409.8856471386</v>
      </c>
      <c r="M142" s="15">
        <f t="shared" si="56"/>
        <v>0.39812764693102898</v>
      </c>
      <c r="N142" s="13">
        <f t="shared" si="47"/>
        <v>1867.219303782907</v>
      </c>
      <c r="O142" s="13">
        <f t="shared" si="57"/>
        <v>141800.34835744632</v>
      </c>
      <c r="P142" s="15">
        <f t="shared" si="48"/>
        <v>0.27907233610613347</v>
      </c>
      <c r="Q142" s="7">
        <f t="shared" si="58"/>
        <v>508113.2380800313</v>
      </c>
      <c r="R142" s="7">
        <f t="shared" si="59"/>
        <v>366312.88972258498</v>
      </c>
      <c r="S142" s="13">
        <f>IF(Calc!$AD$32="Sim",R142,Q142)</f>
        <v>366312.88972258498</v>
      </c>
      <c r="T142" s="9">
        <f t="shared" si="60"/>
        <v>138</v>
      </c>
      <c r="U142" s="17">
        <f t="shared" ca="1" si="61"/>
        <v>49706</v>
      </c>
      <c r="V142" s="22"/>
      <c r="W142" s="22"/>
      <c r="X142" s="22"/>
    </row>
    <row r="143" spans="2:24" x14ac:dyDescent="0.2">
      <c r="B143" s="17">
        <f t="shared" ca="1" si="49"/>
        <v>49706</v>
      </c>
      <c r="C143" s="9">
        <f t="shared" si="62"/>
        <v>139</v>
      </c>
      <c r="D143" s="9"/>
      <c r="E143" s="13">
        <f t="shared" si="50"/>
        <v>1759.7165324363143</v>
      </c>
      <c r="F143" s="14">
        <f t="shared" si="51"/>
        <v>222233.31742926303</v>
      </c>
      <c r="G143" s="15">
        <f t="shared" si="52"/>
        <v>0.60001971647679753</v>
      </c>
      <c r="H143" s="13">
        <f t="shared" si="53"/>
        <v>5059.6287144874595</v>
      </c>
      <c r="I143" s="13">
        <f t="shared" si="54"/>
        <v>292699.26589769206</v>
      </c>
      <c r="J143" s="15">
        <f t="shared" si="46"/>
        <v>0.39998028352320247</v>
      </c>
      <c r="K143" s="13">
        <f t="shared" si="55"/>
        <v>148143.3740804345</v>
      </c>
      <c r="L143" s="13">
        <f t="shared" si="63"/>
        <v>7062553.259727573</v>
      </c>
      <c r="M143" s="15">
        <f t="shared" si="56"/>
        <v>0.39998028352320242</v>
      </c>
      <c r="N143" s="13">
        <f t="shared" si="47"/>
        <v>1892.2790978011269</v>
      </c>
      <c r="O143" s="13">
        <f t="shared" si="57"/>
        <v>144555.89181725756</v>
      </c>
      <c r="P143" s="15">
        <f t="shared" si="48"/>
        <v>0.28072780107113982</v>
      </c>
      <c r="Q143" s="7">
        <f t="shared" si="58"/>
        <v>514932.58332695509</v>
      </c>
      <c r="R143" s="7">
        <f t="shared" si="59"/>
        <v>370376.69150969753</v>
      </c>
      <c r="S143" s="13">
        <f>IF(Calc!$AD$32="Sim",R143,Q143)</f>
        <v>370376.69150969753</v>
      </c>
      <c r="T143" s="9">
        <f t="shared" si="60"/>
        <v>139</v>
      </c>
      <c r="U143" s="17">
        <f t="shared" ca="1" si="61"/>
        <v>49735</v>
      </c>
      <c r="V143" s="22"/>
      <c r="W143" s="22"/>
      <c r="X143" s="22"/>
    </row>
    <row r="144" spans="2:24" x14ac:dyDescent="0.2">
      <c r="B144" s="17">
        <f t="shared" ca="1" si="49"/>
        <v>49735</v>
      </c>
      <c r="C144" s="9">
        <f t="shared" si="62"/>
        <v>140</v>
      </c>
      <c r="D144" s="9"/>
      <c r="E144" s="13">
        <f t="shared" si="50"/>
        <v>1766.8858354135923</v>
      </c>
      <c r="F144" s="14">
        <f t="shared" si="51"/>
        <v>224000.20326467662</v>
      </c>
      <c r="G144" s="15">
        <f t="shared" si="52"/>
        <v>0.59817427620003272</v>
      </c>
      <c r="H144" s="13">
        <f t="shared" si="53"/>
        <v>5127.5335680506423</v>
      </c>
      <c r="I144" s="13">
        <f t="shared" si="54"/>
        <v>297826.79946574272</v>
      </c>
      <c r="J144" s="15">
        <f t="shared" si="46"/>
        <v>0.40182572379996728</v>
      </c>
      <c r="K144" s="13">
        <f t="shared" si="55"/>
        <v>150472.94306930201</v>
      </c>
      <c r="L144" s="13">
        <f t="shared" si="63"/>
        <v>7213026.2027968746</v>
      </c>
      <c r="M144" s="15">
        <f t="shared" si="56"/>
        <v>0.40182572379996723</v>
      </c>
      <c r="N144" s="13">
        <f t="shared" si="47"/>
        <v>1917.6147750355315</v>
      </c>
      <c r="O144" s="13">
        <f t="shared" si="57"/>
        <v>147353.85639644071</v>
      </c>
      <c r="P144" s="15">
        <f t="shared" si="48"/>
        <v>0.28238066567161735</v>
      </c>
      <c r="Q144" s="7">
        <f t="shared" si="58"/>
        <v>521827.00273041934</v>
      </c>
      <c r="R144" s="7">
        <f t="shared" si="59"/>
        <v>374473.14633397863</v>
      </c>
      <c r="S144" s="13">
        <f>IF(Calc!$AD$32="Sim",R144,Q144)</f>
        <v>374473.14633397863</v>
      </c>
      <c r="T144" s="9">
        <f t="shared" si="60"/>
        <v>140</v>
      </c>
      <c r="U144" s="17">
        <f t="shared" ca="1" si="61"/>
        <v>49766</v>
      </c>
      <c r="V144" s="22"/>
      <c r="W144" s="22"/>
      <c r="X144" s="22"/>
    </row>
    <row r="145" spans="2:24" x14ac:dyDescent="0.2">
      <c r="B145" s="17">
        <f t="shared" ca="1" si="49"/>
        <v>49766</v>
      </c>
      <c r="C145" s="9">
        <f t="shared" si="62"/>
        <v>141</v>
      </c>
      <c r="D145" s="9"/>
      <c r="E145" s="13">
        <f t="shared" si="50"/>
        <v>1774.0843470186421</v>
      </c>
      <c r="F145" s="14">
        <f t="shared" si="51"/>
        <v>225774.28761169527</v>
      </c>
      <c r="G145" s="15">
        <f t="shared" si="52"/>
        <v>0.59633598503276652</v>
      </c>
      <c r="H145" s="13">
        <f t="shared" si="53"/>
        <v>5196.1859859945198</v>
      </c>
      <c r="I145" s="13">
        <f t="shared" si="54"/>
        <v>303022.98545173724</v>
      </c>
      <c r="J145" s="15">
        <f t="shared" si="46"/>
        <v>0.40366401496723348</v>
      </c>
      <c r="K145" s="13">
        <f t="shared" si="55"/>
        <v>152828.20037884547</v>
      </c>
      <c r="L145" s="13">
        <f t="shared" si="63"/>
        <v>7365854.40317572</v>
      </c>
      <c r="M145" s="15">
        <f t="shared" si="56"/>
        <v>0.40366401496723348</v>
      </c>
      <c r="N145" s="13">
        <f t="shared" si="47"/>
        <v>1943.229189978874</v>
      </c>
      <c r="O145" s="13">
        <f t="shared" si="57"/>
        <v>150194.78507289168</v>
      </c>
      <c r="P145" s="15">
        <f t="shared" si="48"/>
        <v>0.28403093723003164</v>
      </c>
      <c r="Q145" s="7">
        <f t="shared" si="58"/>
        <v>528797.27306343243</v>
      </c>
      <c r="R145" s="7">
        <f t="shared" si="59"/>
        <v>378602.48799054074</v>
      </c>
      <c r="S145" s="13">
        <f>IF(Calc!$AD$32="Sim",R145,Q145)</f>
        <v>378602.48799054074</v>
      </c>
      <c r="T145" s="9">
        <f t="shared" si="60"/>
        <v>141</v>
      </c>
      <c r="U145" s="17">
        <f t="shared" ca="1" si="61"/>
        <v>49796</v>
      </c>
      <c r="V145" s="22"/>
      <c r="W145" s="22"/>
      <c r="X145" s="22"/>
    </row>
    <row r="146" spans="2:24" x14ac:dyDescent="0.2">
      <c r="B146" s="17">
        <f t="shared" ca="1" si="49"/>
        <v>49796</v>
      </c>
      <c r="C146" s="9">
        <f t="shared" si="62"/>
        <v>142</v>
      </c>
      <c r="D146" s="9"/>
      <c r="E146" s="13">
        <f t="shared" si="50"/>
        <v>1781.3121862510291</v>
      </c>
      <c r="F146" s="14">
        <f t="shared" si="51"/>
        <v>227555.59979794628</v>
      </c>
      <c r="G146" s="15">
        <f t="shared" si="52"/>
        <v>0.59450479646450094</v>
      </c>
      <c r="H146" s="13">
        <f t="shared" si="53"/>
        <v>5265.5937031756621</v>
      </c>
      <c r="I146" s="13">
        <f t="shared" si="54"/>
        <v>308288.57915491291</v>
      </c>
      <c r="J146" s="15">
        <f t="shared" si="46"/>
        <v>0.40549520353549906</v>
      </c>
      <c r="K146" s="13">
        <f t="shared" si="55"/>
        <v>155209.35205982073</v>
      </c>
      <c r="L146" s="13">
        <f t="shared" si="63"/>
        <v>7521063.7552355407</v>
      </c>
      <c r="M146" s="15">
        <f t="shared" si="56"/>
        <v>0.40549520353549906</v>
      </c>
      <c r="N146" s="13">
        <f t="shared" si="47"/>
        <v>1969.1252259853331</v>
      </c>
      <c r="O146" s="13">
        <f t="shared" si="57"/>
        <v>153079.22709509212</v>
      </c>
      <c r="P146" s="15">
        <f t="shared" si="48"/>
        <v>0.2856786228306854</v>
      </c>
      <c r="Q146" s="7">
        <f t="shared" si="58"/>
        <v>535844.17895285913</v>
      </c>
      <c r="R146" s="7">
        <f t="shared" si="59"/>
        <v>382764.95185776701</v>
      </c>
      <c r="S146" s="13">
        <f>IF(Calc!$AD$32="Sim",R146,Q146)</f>
        <v>382764.95185776701</v>
      </c>
      <c r="T146" s="9">
        <f t="shared" si="60"/>
        <v>142</v>
      </c>
      <c r="U146" s="17">
        <f t="shared" ca="1" si="61"/>
        <v>49827</v>
      </c>
      <c r="V146" s="22"/>
      <c r="W146" s="22"/>
      <c r="X146" s="22"/>
    </row>
    <row r="147" spans="2:24" x14ac:dyDescent="0.2">
      <c r="B147" s="17">
        <f t="shared" ca="1" si="49"/>
        <v>49827</v>
      </c>
      <c r="C147" s="9">
        <f t="shared" si="62"/>
        <v>143</v>
      </c>
      <c r="D147" s="9"/>
      <c r="E147" s="13">
        <f t="shared" si="50"/>
        <v>1788.5694725951371</v>
      </c>
      <c r="F147" s="14">
        <f t="shared" si="51"/>
        <v>229344.16927054143</v>
      </c>
      <c r="G147" s="15">
        <f t="shared" si="52"/>
        <v>0.59268066466230329</v>
      </c>
      <c r="H147" s="13">
        <f t="shared" si="53"/>
        <v>5335.7645326568227</v>
      </c>
      <c r="I147" s="13">
        <f t="shared" si="54"/>
        <v>313624.34368756972</v>
      </c>
      <c r="J147" s="15">
        <f t="shared" si="46"/>
        <v>0.40731933533769671</v>
      </c>
      <c r="K147" s="13">
        <f t="shared" si="55"/>
        <v>157616.60563716848</v>
      </c>
      <c r="L147" s="13">
        <f t="shared" si="63"/>
        <v>7678680.3608727092</v>
      </c>
      <c r="M147" s="15">
        <f t="shared" si="56"/>
        <v>0.40731933533769676</v>
      </c>
      <c r="N147" s="13">
        <f t="shared" si="47"/>
        <v>1995.3057955596851</v>
      </c>
      <c r="O147" s="13">
        <f t="shared" si="57"/>
        <v>156007.73805040121</v>
      </c>
      <c r="P147" s="15">
        <f t="shared" si="48"/>
        <v>0.28732372932726002</v>
      </c>
      <c r="Q147" s="7">
        <f t="shared" si="58"/>
        <v>542968.51295811113</v>
      </c>
      <c r="R147" s="7">
        <f t="shared" si="59"/>
        <v>386960.77490770991</v>
      </c>
      <c r="S147" s="13">
        <f>IF(Calc!$AD$32="Sim",R147,Q147)</f>
        <v>386960.77490770991</v>
      </c>
      <c r="T147" s="9">
        <f t="shared" si="60"/>
        <v>143</v>
      </c>
      <c r="U147" s="17">
        <f t="shared" ca="1" si="61"/>
        <v>49857</v>
      </c>
      <c r="V147" s="22"/>
      <c r="W147" s="22"/>
      <c r="X147" s="22"/>
    </row>
    <row r="148" spans="2:24" x14ac:dyDescent="0.2">
      <c r="B148" s="17">
        <f t="shared" ca="1" si="49"/>
        <v>49857</v>
      </c>
      <c r="C148" s="9">
        <f t="shared" si="62"/>
        <v>144</v>
      </c>
      <c r="D148" s="9">
        <v>12</v>
      </c>
      <c r="E148" s="13">
        <f t="shared" si="50"/>
        <v>1795.8563260221442</v>
      </c>
      <c r="F148" s="14">
        <f t="shared" si="51"/>
        <v>231140.02559656359</v>
      </c>
      <c r="G148" s="15">
        <f t="shared" si="52"/>
        <v>0.59086354445355105</v>
      </c>
      <c r="H148" s="13">
        <f t="shared" si="53"/>
        <v>5406.7063664905136</v>
      </c>
      <c r="I148" s="13">
        <f t="shared" si="54"/>
        <v>319031.05005406024</v>
      </c>
      <c r="J148" s="15">
        <f t="shared" si="46"/>
        <v>0.40913645554644895</v>
      </c>
      <c r="K148" s="13">
        <f t="shared" si="55"/>
        <v>160050.17011999403</v>
      </c>
      <c r="L148" s="13">
        <f t="shared" si="63"/>
        <v>7838730.5309927035</v>
      </c>
      <c r="M148" s="15">
        <f t="shared" si="56"/>
        <v>0.4091364555464489</v>
      </c>
      <c r="N148" s="13">
        <f t="shared" si="47"/>
        <v>2021.7738406493663</v>
      </c>
      <c r="O148" s="13">
        <f t="shared" si="57"/>
        <v>158980.87993406615</v>
      </c>
      <c r="P148" s="15">
        <f t="shared" si="48"/>
        <v>0.28896626335010039</v>
      </c>
      <c r="Q148" s="7">
        <f t="shared" si="58"/>
        <v>550171.07565062377</v>
      </c>
      <c r="R148" s="7">
        <f t="shared" si="59"/>
        <v>391190.19571655762</v>
      </c>
      <c r="S148" s="13">
        <f>IF(Calc!$AD$32="Sim",R148,Q148)</f>
        <v>391190.19571655762</v>
      </c>
      <c r="T148" s="9">
        <f t="shared" si="60"/>
        <v>144</v>
      </c>
      <c r="U148" s="17">
        <f t="shared" ca="1" si="61"/>
        <v>49888</v>
      </c>
      <c r="V148" s="22"/>
      <c r="W148" s="22"/>
      <c r="X148" s="22"/>
    </row>
    <row r="149" spans="2:24" x14ac:dyDescent="0.2">
      <c r="B149" s="17">
        <f t="shared" ca="1" si="49"/>
        <v>49888</v>
      </c>
      <c r="C149" s="9">
        <f t="shared" si="62"/>
        <v>145</v>
      </c>
      <c r="D149" s="9"/>
      <c r="E149" s="13">
        <f t="shared" si="50"/>
        <v>1803.1728669920064</v>
      </c>
      <c r="F149" s="14">
        <f t="shared" si="51"/>
        <v>232943.1984635556</v>
      </c>
      <c r="G149" s="15">
        <f t="shared" si="52"/>
        <v>0.5890533913092505</v>
      </c>
      <c r="H149" s="13">
        <f t="shared" si="53"/>
        <v>5478.4271765104122</v>
      </c>
      <c r="I149" s="13">
        <f t="shared" si="54"/>
        <v>324509.47723057063</v>
      </c>
      <c r="J149" s="15">
        <f t="shared" si="46"/>
        <v>0.4109466086907495</v>
      </c>
      <c r="K149" s="13">
        <f t="shared" si="55"/>
        <v>162510.25601161167</v>
      </c>
      <c r="L149" s="13">
        <f t="shared" si="63"/>
        <v>8001240.7870043153</v>
      </c>
      <c r="M149" s="15">
        <f t="shared" si="56"/>
        <v>0.41094660869074945</v>
      </c>
      <c r="N149" s="13">
        <f t="shared" si="47"/>
        <v>2048.5323329394505</v>
      </c>
      <c r="O149" s="13">
        <f t="shared" si="57"/>
        <v>161999.2212189589</v>
      </c>
      <c r="P149" s="15">
        <f t="shared" si="48"/>
        <v>0.29060623131325275</v>
      </c>
      <c r="Q149" s="7">
        <f t="shared" si="58"/>
        <v>557452.67569412617</v>
      </c>
      <c r="R149" s="7">
        <f t="shared" si="59"/>
        <v>395453.45447516727</v>
      </c>
      <c r="S149" s="13">
        <f>IF(Calc!$AD$32="Sim",R149,Q149)</f>
        <v>395453.45447516727</v>
      </c>
      <c r="T149" s="9">
        <f t="shared" si="60"/>
        <v>145</v>
      </c>
      <c r="U149" s="17">
        <f t="shared" ca="1" si="61"/>
        <v>49919</v>
      </c>
      <c r="V149" s="22"/>
      <c r="W149" s="22"/>
      <c r="X149" s="22"/>
    </row>
    <row r="150" spans="2:24" x14ac:dyDescent="0.2">
      <c r="B150" s="17">
        <f t="shared" ca="1" si="49"/>
        <v>49919</v>
      </c>
      <c r="C150" s="9">
        <f t="shared" si="62"/>
        <v>146</v>
      </c>
      <c r="D150" s="9"/>
      <c r="E150" s="13">
        <f t="shared" si="50"/>
        <v>1810.519216455448</v>
      </c>
      <c r="F150" s="14">
        <f t="shared" si="51"/>
        <v>234753.71768001106</v>
      </c>
      <c r="G150" s="15">
        <f t="shared" si="52"/>
        <v>0.58725016132790242</v>
      </c>
      <c r="H150" s="13">
        <f t="shared" si="53"/>
        <v>5550.9350151306589</v>
      </c>
      <c r="I150" s="13">
        <f t="shared" si="54"/>
        <v>330060.4122457013</v>
      </c>
      <c r="J150" s="15">
        <f t="shared" si="46"/>
        <v>0.41274983867209758</v>
      </c>
      <c r="K150" s="13">
        <f t="shared" si="55"/>
        <v>164997.07531965541</v>
      </c>
      <c r="L150" s="13">
        <f t="shared" si="63"/>
        <v>8166237.8623239705</v>
      </c>
      <c r="M150" s="15">
        <f t="shared" si="56"/>
        <v>0.41274983867209758</v>
      </c>
      <c r="N150" s="13">
        <f t="shared" si="47"/>
        <v>2075.5842741505685</v>
      </c>
      <c r="O150" s="13">
        <f t="shared" si="57"/>
        <v>165063.33692604577</v>
      </c>
      <c r="P150" s="15">
        <f t="shared" si="48"/>
        <v>0.29224363942126569</v>
      </c>
      <c r="Q150" s="7">
        <f t="shared" si="58"/>
        <v>564814.12992571224</v>
      </c>
      <c r="R150" s="7">
        <f t="shared" si="59"/>
        <v>399750.79299966648</v>
      </c>
      <c r="S150" s="13">
        <f>IF(Calc!$AD$32="Sim",R150,Q150)</f>
        <v>399750.79299966648</v>
      </c>
      <c r="T150" s="9">
        <f t="shared" si="60"/>
        <v>146</v>
      </c>
      <c r="U150" s="17">
        <f t="shared" ca="1" si="61"/>
        <v>49949</v>
      </c>
      <c r="V150" s="22"/>
      <c r="W150" s="22"/>
      <c r="X150" s="22"/>
    </row>
    <row r="151" spans="2:24" x14ac:dyDescent="0.2">
      <c r="B151" s="17">
        <f t="shared" ca="1" si="49"/>
        <v>49949</v>
      </c>
      <c r="C151" s="9">
        <f t="shared" si="62"/>
        <v>147</v>
      </c>
      <c r="D151" s="9"/>
      <c r="E151" s="13">
        <f t="shared" si="50"/>
        <v>1817.8954958559616</v>
      </c>
      <c r="F151" s="14">
        <f t="shared" si="51"/>
        <v>236571.61317586701</v>
      </c>
      <c r="G151" s="15">
        <f t="shared" si="52"/>
        <v>0.58545381121989581</v>
      </c>
      <c r="H151" s="13">
        <f t="shared" si="53"/>
        <v>5624.2380161531428</v>
      </c>
      <c r="I151" s="13">
        <f t="shared" si="54"/>
        <v>335684.65026185446</v>
      </c>
      <c r="J151" s="15">
        <f t="shared" si="46"/>
        <v>0.41454618878010419</v>
      </c>
      <c r="K151" s="13">
        <f t="shared" si="55"/>
        <v>167510.84156625607</v>
      </c>
      <c r="L151" s="13">
        <f t="shared" si="63"/>
        <v>8333748.7038902268</v>
      </c>
      <c r="M151" s="15">
        <f t="shared" si="56"/>
        <v>0.41454618878010424</v>
      </c>
      <c r="N151" s="13">
        <f t="shared" si="47"/>
        <v>2102.9326963398057</v>
      </c>
      <c r="O151" s="13">
        <f t="shared" si="57"/>
        <v>168173.80869559821</v>
      </c>
      <c r="P151" s="15">
        <f t="shared" si="48"/>
        <v>0.29387849367576313</v>
      </c>
      <c r="Q151" s="7">
        <f t="shared" si="58"/>
        <v>572256.2634377213</v>
      </c>
      <c r="R151" s="7">
        <f t="shared" si="59"/>
        <v>404082.45474212308</v>
      </c>
      <c r="S151" s="13">
        <f>IF(Calc!$AD$32="Sim",R151,Q151)</f>
        <v>404082.45474212308</v>
      </c>
      <c r="T151" s="9">
        <f t="shared" si="60"/>
        <v>147</v>
      </c>
      <c r="U151" s="17">
        <f t="shared" ca="1" si="61"/>
        <v>49980</v>
      </c>
      <c r="V151" s="22"/>
      <c r="W151" s="22"/>
      <c r="X151" s="22"/>
    </row>
    <row r="152" spans="2:24" x14ac:dyDescent="0.2">
      <c r="B152" s="17">
        <f t="shared" ca="1" si="49"/>
        <v>49980</v>
      </c>
      <c r="C152" s="9">
        <f t="shared" si="62"/>
        <v>148</v>
      </c>
      <c r="D152" s="9"/>
      <c r="E152" s="13">
        <f t="shared" si="50"/>
        <v>1825.3018271318156</v>
      </c>
      <c r="F152" s="14">
        <f t="shared" si="51"/>
        <v>238396.91500299884</v>
      </c>
      <c r="G152" s="15">
        <f t="shared" si="52"/>
        <v>0.58366429829240907</v>
      </c>
      <c r="H152" s="13">
        <f t="shared" si="53"/>
        <v>5698.3443955828388</v>
      </c>
      <c r="I152" s="13">
        <f t="shared" si="54"/>
        <v>341382.99465743732</v>
      </c>
      <c r="J152" s="15">
        <f t="shared" si="46"/>
        <v>0.41633570170759093</v>
      </c>
      <c r="K152" s="13">
        <f t="shared" si="55"/>
        <v>170051.76979828527</v>
      </c>
      <c r="L152" s="13">
        <f t="shared" si="63"/>
        <v>8503800.4736885112</v>
      </c>
      <c r="M152" s="15">
        <f t="shared" si="56"/>
        <v>0.41633570170759099</v>
      </c>
      <c r="N152" s="13">
        <f t="shared" si="47"/>
        <v>2130.5806622045984</v>
      </c>
      <c r="O152" s="13">
        <f t="shared" si="57"/>
        <v>171331.22485915176</v>
      </c>
      <c r="P152" s="15">
        <f t="shared" si="48"/>
        <v>0.29551079988179763</v>
      </c>
      <c r="Q152" s="7">
        <f t="shared" si="58"/>
        <v>579779.90966043586</v>
      </c>
      <c r="R152" s="7">
        <f t="shared" si="59"/>
        <v>408448.68480128411</v>
      </c>
      <c r="S152" s="13">
        <f>IF(Calc!$AD$32="Sim",R152,Q152)</f>
        <v>408448.68480128411</v>
      </c>
      <c r="T152" s="9">
        <f t="shared" si="60"/>
        <v>148</v>
      </c>
      <c r="U152" s="17">
        <f t="shared" ca="1" si="61"/>
        <v>50010</v>
      </c>
      <c r="V152" s="22"/>
      <c r="W152" s="22"/>
      <c r="X152" s="22"/>
    </row>
    <row r="153" spans="2:24" x14ac:dyDescent="0.2">
      <c r="B153" s="17">
        <f t="shared" ca="1" si="49"/>
        <v>50010</v>
      </c>
      <c r="C153" s="9">
        <f t="shared" si="62"/>
        <v>149</v>
      </c>
      <c r="D153" s="9"/>
      <c r="E153" s="13">
        <f t="shared" si="50"/>
        <v>1832.7383327180701</v>
      </c>
      <c r="F153" s="14">
        <f t="shared" si="51"/>
        <v>240229.6533357169</v>
      </c>
      <c r="G153" s="15">
        <f t="shared" si="52"/>
        <v>0.58188158043479887</v>
      </c>
      <c r="H153" s="13">
        <f t="shared" si="53"/>
        <v>5773.2624524512885</v>
      </c>
      <c r="I153" s="13">
        <f t="shared" si="54"/>
        <v>347156.2571098886</v>
      </c>
      <c r="J153" s="15">
        <f t="shared" si="46"/>
        <v>0.41811841956520113</v>
      </c>
      <c r="K153" s="13">
        <f t="shared" si="55"/>
        <v>172620.07659766628</v>
      </c>
      <c r="L153" s="13">
        <f t="shared" si="63"/>
        <v>8676420.5502861775</v>
      </c>
      <c r="M153" s="15">
        <f t="shared" si="56"/>
        <v>0.41811841956520113</v>
      </c>
      <c r="N153" s="13">
        <f t="shared" si="47"/>
        <v>2158.5312653896685</v>
      </c>
      <c r="O153" s="13">
        <f t="shared" si="57"/>
        <v>174536.180512222</v>
      </c>
      <c r="P153" s="15">
        <f t="shared" si="48"/>
        <v>0.29714056365399472</v>
      </c>
      <c r="Q153" s="7">
        <f t="shared" si="58"/>
        <v>587385.91044560517</v>
      </c>
      <c r="R153" s="7">
        <f t="shared" si="59"/>
        <v>412849.72993338318</v>
      </c>
      <c r="S153" s="13">
        <f>IF(Calc!$AD$32="Sim",R153,Q153)</f>
        <v>412849.72993338318</v>
      </c>
      <c r="T153" s="9">
        <f t="shared" si="60"/>
        <v>149</v>
      </c>
      <c r="U153" s="17">
        <f t="shared" ca="1" si="61"/>
        <v>50041</v>
      </c>
      <c r="V153" s="22"/>
      <c r="W153" s="22"/>
      <c r="X153" s="22"/>
    </row>
    <row r="154" spans="2:24" x14ac:dyDescent="0.2">
      <c r="B154" s="17">
        <f t="shared" ca="1" si="49"/>
        <v>50041</v>
      </c>
      <c r="C154" s="9">
        <f t="shared" si="62"/>
        <v>150</v>
      </c>
      <c r="D154" s="9"/>
      <c r="E154" s="13">
        <f t="shared" si="50"/>
        <v>1840.2051355486008</v>
      </c>
      <c r="F154" s="14">
        <f t="shared" si="51"/>
        <v>242069.8584712655</v>
      </c>
      <c r="G154" s="15">
        <f t="shared" si="52"/>
        <v>0.58010561610445877</v>
      </c>
      <c r="H154" s="13">
        <f t="shared" si="53"/>
        <v>5849.0005696482967</v>
      </c>
      <c r="I154" s="13">
        <f t="shared" si="54"/>
        <v>353005.25767953688</v>
      </c>
      <c r="J154" s="15">
        <f t="shared" si="46"/>
        <v>0.41989438389554123</v>
      </c>
      <c r="K154" s="13">
        <f t="shared" si="55"/>
        <v>175215.98009175292</v>
      </c>
      <c r="L154" s="13">
        <f t="shared" si="63"/>
        <v>8851636.53037793</v>
      </c>
      <c r="M154" s="15">
        <f t="shared" si="56"/>
        <v>0.41989438389554129</v>
      </c>
      <c r="N154" s="13">
        <f t="shared" si="47"/>
        <v>2186.7876307970187</v>
      </c>
      <c r="O154" s="13">
        <f t="shared" si="57"/>
        <v>177789.2775877837</v>
      </c>
      <c r="P154" s="15">
        <f t="shared" si="48"/>
        <v>0.2987677904224933</v>
      </c>
      <c r="Q154" s="7">
        <f t="shared" si="58"/>
        <v>595075.11615080212</v>
      </c>
      <c r="R154" s="7">
        <f t="shared" si="59"/>
        <v>417285.83856301842</v>
      </c>
      <c r="S154" s="13">
        <f>IF(Calc!$AD$32="Sim",R154,Q154)</f>
        <v>417285.83856301842</v>
      </c>
      <c r="T154" s="9">
        <f t="shared" si="60"/>
        <v>150</v>
      </c>
      <c r="U154" s="17">
        <f t="shared" ca="1" si="61"/>
        <v>50072</v>
      </c>
      <c r="V154" s="22"/>
      <c r="W154" s="22"/>
      <c r="X154" s="22"/>
    </row>
    <row r="155" spans="2:24" x14ac:dyDescent="0.2">
      <c r="B155" s="17">
        <f t="shared" ca="1" si="49"/>
        <v>50072</v>
      </c>
      <c r="C155" s="9">
        <f t="shared" si="62"/>
        <v>151</v>
      </c>
      <c r="D155" s="9"/>
      <c r="E155" s="13">
        <f t="shared" si="50"/>
        <v>1847.7023590581312</v>
      </c>
      <c r="F155" s="14">
        <f t="shared" si="51"/>
        <v>243917.56083032364</v>
      </c>
      <c r="G155" s="15">
        <f t="shared" si="52"/>
        <v>0.57833636431312807</v>
      </c>
      <c r="H155" s="13">
        <f t="shared" si="53"/>
        <v>5925.5672147619343</v>
      </c>
      <c r="I155" s="13">
        <f t="shared" si="54"/>
        <v>358930.8248942988</v>
      </c>
      <c r="J155" s="15">
        <f t="shared" si="46"/>
        <v>0.42166363568687193</v>
      </c>
      <c r="K155" s="13">
        <f t="shared" si="55"/>
        <v>177839.69996377648</v>
      </c>
      <c r="L155" s="13">
        <f t="shared" si="63"/>
        <v>9029476.2303417064</v>
      </c>
      <c r="M155" s="15">
        <f t="shared" si="56"/>
        <v>0.42166363568687198</v>
      </c>
      <c r="N155" s="13">
        <f t="shared" si="47"/>
        <v>2215.3529148990224</v>
      </c>
      <c r="O155" s="13">
        <f t="shared" si="57"/>
        <v>181091.12493052206</v>
      </c>
      <c r="P155" s="15">
        <f t="shared" si="48"/>
        <v>0.30039248543869118</v>
      </c>
      <c r="Q155" s="7">
        <f t="shared" si="58"/>
        <v>602848.38572462217</v>
      </c>
      <c r="R155" s="7">
        <f t="shared" si="59"/>
        <v>421757.26079410012</v>
      </c>
      <c r="S155" s="13">
        <f>IF(Calc!$AD$32="Sim",R155,Q155)</f>
        <v>421757.26079410012</v>
      </c>
      <c r="T155" s="9">
        <f t="shared" si="60"/>
        <v>151</v>
      </c>
      <c r="U155" s="17">
        <f t="shared" ca="1" si="61"/>
        <v>50100</v>
      </c>
      <c r="V155" s="22"/>
      <c r="W155" s="22"/>
      <c r="X155" s="22"/>
    </row>
    <row r="156" spans="2:24" x14ac:dyDescent="0.2">
      <c r="B156" s="17">
        <f t="shared" ca="1" si="49"/>
        <v>50100</v>
      </c>
      <c r="C156" s="9">
        <f t="shared" si="62"/>
        <v>152</v>
      </c>
      <c r="D156" s="9"/>
      <c r="E156" s="13">
        <f t="shared" si="50"/>
        <v>1855.230127184273</v>
      </c>
      <c r="F156" s="14">
        <f t="shared" si="51"/>
        <v>245772.79095750791</v>
      </c>
      <c r="G156" s="15">
        <f t="shared" si="52"/>
        <v>0.57657378461363684</v>
      </c>
      <c r="H156" s="13">
        <f t="shared" si="53"/>
        <v>6002.9709409269217</v>
      </c>
      <c r="I156" s="13">
        <f t="shared" si="54"/>
        <v>364933.79583522573</v>
      </c>
      <c r="J156" s="15">
        <f t="shared" si="46"/>
        <v>0.42342621538636316</v>
      </c>
      <c r="K156" s="13">
        <f t="shared" si="55"/>
        <v>180491.45746336109</v>
      </c>
      <c r="L156" s="13">
        <f t="shared" si="63"/>
        <v>9209967.6878050677</v>
      </c>
      <c r="M156" s="15">
        <f t="shared" si="56"/>
        <v>0.42342621538636316</v>
      </c>
      <c r="N156" s="13">
        <f t="shared" si="47"/>
        <v>2244.2303060546406</v>
      </c>
      <c r="O156" s="13">
        <f t="shared" si="57"/>
        <v>184442.3383718644</v>
      </c>
      <c r="P156" s="15">
        <f t="shared" si="48"/>
        <v>0.30201465378080483</v>
      </c>
      <c r="Q156" s="7">
        <f t="shared" si="58"/>
        <v>610706.5867927334</v>
      </c>
      <c r="R156" s="7">
        <f t="shared" si="59"/>
        <v>426264.248420869</v>
      </c>
      <c r="S156" s="13">
        <f>IF(Calc!$AD$32="Sim",R156,Q156)</f>
        <v>426264.248420869</v>
      </c>
      <c r="T156" s="9">
        <f t="shared" si="60"/>
        <v>152</v>
      </c>
      <c r="U156" s="17">
        <f t="shared" ca="1" si="61"/>
        <v>50131</v>
      </c>
      <c r="V156" s="22"/>
      <c r="W156" s="22"/>
      <c r="X156" s="22"/>
    </row>
    <row r="157" spans="2:24" x14ac:dyDescent="0.2">
      <c r="B157" s="17">
        <f t="shared" ca="1" si="49"/>
        <v>50131</v>
      </c>
      <c r="C157" s="9">
        <f t="shared" si="62"/>
        <v>153</v>
      </c>
      <c r="D157" s="9"/>
      <c r="E157" s="13">
        <f t="shared" si="50"/>
        <v>1862.7885643695754</v>
      </c>
      <c r="F157" s="14">
        <f t="shared" si="51"/>
        <v>247635.57952187749</v>
      </c>
      <c r="G157" s="15">
        <f t="shared" si="52"/>
        <v>0.57481783708706824</v>
      </c>
      <c r="H157" s="13">
        <f t="shared" si="53"/>
        <v>6081.2203876814838</v>
      </c>
      <c r="I157" s="13">
        <f t="shared" si="54"/>
        <v>371015.01622290723</v>
      </c>
      <c r="J157" s="15">
        <f t="shared" si="46"/>
        <v>0.42518216291293176</v>
      </c>
      <c r="K157" s="13">
        <f t="shared" si="55"/>
        <v>183171.47541710813</v>
      </c>
      <c r="L157" s="13">
        <f t="shared" si="63"/>
        <v>9393139.1632221751</v>
      </c>
      <c r="M157" s="15">
        <f t="shared" si="56"/>
        <v>0.42518216291293176</v>
      </c>
      <c r="N157" s="13">
        <f t="shared" si="47"/>
        <v>2273.4230248287922</v>
      </c>
      <c r="O157" s="13">
        <f t="shared" si="57"/>
        <v>187843.54080579884</v>
      </c>
      <c r="P157" s="15">
        <f t="shared" si="48"/>
        <v>0.30363430035924677</v>
      </c>
      <c r="Q157" s="7">
        <f t="shared" si="58"/>
        <v>618650.59574478446</v>
      </c>
      <c r="R157" s="7">
        <f t="shared" si="59"/>
        <v>430807.05493898562</v>
      </c>
      <c r="S157" s="13">
        <f>IF(Calc!$AD$32="Sim",R157,Q157)</f>
        <v>430807.05493898562</v>
      </c>
      <c r="T157" s="9">
        <f t="shared" si="60"/>
        <v>153</v>
      </c>
      <c r="U157" s="17">
        <f t="shared" ca="1" si="61"/>
        <v>50161</v>
      </c>
      <c r="V157" s="22"/>
      <c r="W157" s="22"/>
      <c r="X157" s="22"/>
    </row>
    <row r="158" spans="2:24" x14ac:dyDescent="0.2">
      <c r="B158" s="17">
        <f t="shared" ca="1" si="49"/>
        <v>50161</v>
      </c>
      <c r="C158" s="9">
        <f t="shared" si="62"/>
        <v>154</v>
      </c>
      <c r="D158" s="9"/>
      <c r="E158" s="13">
        <f t="shared" si="50"/>
        <v>1870.3777955635817</v>
      </c>
      <c r="F158" s="14">
        <f t="shared" si="51"/>
        <v>249505.95731744106</v>
      </c>
      <c r="G158" s="15">
        <f t="shared" si="52"/>
        <v>0.57306848233032359</v>
      </c>
      <c r="H158" s="13">
        <f t="shared" si="53"/>
        <v>6160.3242818327562</v>
      </c>
      <c r="I158" s="13">
        <f t="shared" si="54"/>
        <v>377175.34050474002</v>
      </c>
      <c r="J158" s="15">
        <f t="shared" si="46"/>
        <v>0.42693151766967641</v>
      </c>
      <c r="K158" s="13">
        <f t="shared" si="55"/>
        <v>185879.97823925008</v>
      </c>
      <c r="L158" s="13">
        <f t="shared" si="63"/>
        <v>9579019.1414614245</v>
      </c>
      <c r="M158" s="15">
        <f t="shared" si="56"/>
        <v>0.42693151766967641</v>
      </c>
      <c r="N158" s="13">
        <f t="shared" si="47"/>
        <v>2302.934324314916</v>
      </c>
      <c r="O158" s="13">
        <f t="shared" si="57"/>
        <v>191295.36226548965</v>
      </c>
      <c r="P158" s="15">
        <f t="shared" si="48"/>
        <v>0.30525142992183119</v>
      </c>
      <c r="Q158" s="7">
        <f t="shared" si="58"/>
        <v>626681.29782218079</v>
      </c>
      <c r="R158" s="7">
        <f t="shared" si="59"/>
        <v>435385.93555669114</v>
      </c>
      <c r="S158" s="13">
        <f>IF(Calc!$AD$32="Sim",R158,Q158)</f>
        <v>435385.93555669114</v>
      </c>
      <c r="T158" s="9">
        <f t="shared" si="60"/>
        <v>154</v>
      </c>
      <c r="U158" s="17">
        <f t="shared" ca="1" si="61"/>
        <v>50192</v>
      </c>
      <c r="V158" s="22"/>
      <c r="W158" s="22"/>
      <c r="X158" s="22"/>
    </row>
    <row r="159" spans="2:24" x14ac:dyDescent="0.2">
      <c r="B159" s="17">
        <f t="shared" ca="1" si="49"/>
        <v>50192</v>
      </c>
      <c r="C159" s="9">
        <f t="shared" si="62"/>
        <v>155</v>
      </c>
      <c r="D159" s="9"/>
      <c r="E159" s="13">
        <f t="shared" si="50"/>
        <v>1877.997946224895</v>
      </c>
      <c r="F159" s="14">
        <f t="shared" si="51"/>
        <v>251383.95526366596</v>
      </c>
      <c r="G159" s="15">
        <f t="shared" si="52"/>
        <v>0.57132568144407592</v>
      </c>
      <c r="H159" s="13">
        <f t="shared" si="53"/>
        <v>6240.2914383308289</v>
      </c>
      <c r="I159" s="13">
        <f t="shared" si="54"/>
        <v>383415.63194307085</v>
      </c>
      <c r="J159" s="15">
        <f t="shared" si="46"/>
        <v>0.42867431855592408</v>
      </c>
      <c r="K159" s="13">
        <f t="shared" si="55"/>
        <v>188617.19194237408</v>
      </c>
      <c r="L159" s="13">
        <f t="shared" si="63"/>
        <v>9767636.3334037978</v>
      </c>
      <c r="M159" s="15">
        <f t="shared" si="56"/>
        <v>0.42867431855592414</v>
      </c>
      <c r="N159" s="13">
        <f t="shared" si="47"/>
        <v>2332.7674904607479</v>
      </c>
      <c r="O159" s="13">
        <f t="shared" si="57"/>
        <v>194798.4400006964</v>
      </c>
      <c r="P159" s="15">
        <f t="shared" si="48"/>
        <v>0.30686604705881132</v>
      </c>
      <c r="Q159" s="7">
        <f t="shared" si="58"/>
        <v>634799.58720673644</v>
      </c>
      <c r="R159" s="7">
        <f t="shared" si="59"/>
        <v>440001.14720604004</v>
      </c>
      <c r="S159" s="13">
        <f>IF(Calc!$AD$32="Sim",R159,Q159)</f>
        <v>440001.14720604004</v>
      </c>
      <c r="T159" s="9">
        <f t="shared" si="60"/>
        <v>155</v>
      </c>
      <c r="U159" s="17">
        <f t="shared" ca="1" si="61"/>
        <v>50222</v>
      </c>
      <c r="V159" s="22"/>
      <c r="W159" s="22"/>
      <c r="X159" s="22"/>
    </row>
    <row r="160" spans="2:24" x14ac:dyDescent="0.2">
      <c r="B160" s="17">
        <f t="shared" ca="1" si="49"/>
        <v>50222</v>
      </c>
      <c r="C160" s="9">
        <f t="shared" si="62"/>
        <v>156</v>
      </c>
      <c r="D160" s="9">
        <v>13</v>
      </c>
      <c r="E160" s="13">
        <f t="shared" si="50"/>
        <v>1885.6491423232526</v>
      </c>
      <c r="F160" s="14">
        <f t="shared" si="51"/>
        <v>253269.60440598923</v>
      </c>
      <c r="G160" s="15">
        <f t="shared" si="52"/>
        <v>0.56958939602109582</v>
      </c>
      <c r="H160" s="13">
        <f t="shared" si="53"/>
        <v>6321.1307611515167</v>
      </c>
      <c r="I160" s="13">
        <f t="shared" si="54"/>
        <v>389736.76270422235</v>
      </c>
      <c r="J160" s="15">
        <f t="shared" si="46"/>
        <v>0.43041060397890418</v>
      </c>
      <c r="K160" s="13">
        <f t="shared" si="55"/>
        <v>191383.34414821619</v>
      </c>
      <c r="L160" s="13">
        <f t="shared" si="63"/>
        <v>9959019.6775520146</v>
      </c>
      <c r="M160" s="15">
        <f t="shared" si="56"/>
        <v>0.43041060397890424</v>
      </c>
      <c r="N160" s="13">
        <f t="shared" si="47"/>
        <v>2362.9258423973533</v>
      </c>
      <c r="O160" s="13">
        <f t="shared" si="57"/>
        <v>198353.41855600587</v>
      </c>
      <c r="P160" s="15">
        <f t="shared" si="48"/>
        <v>0.30847815620775665</v>
      </c>
      <c r="Q160" s="7">
        <f t="shared" si="58"/>
        <v>643006.36711021129</v>
      </c>
      <c r="R160" s="7">
        <f t="shared" si="59"/>
        <v>444652.94855420542</v>
      </c>
      <c r="S160" s="13">
        <f>IF(Calc!$AD$32="Sim",R160,Q160)</f>
        <v>444652.94855420542</v>
      </c>
      <c r="T160" s="9">
        <f t="shared" si="60"/>
        <v>156</v>
      </c>
      <c r="U160" s="17">
        <f t="shared" ca="1" si="61"/>
        <v>50253</v>
      </c>
      <c r="V160" s="22"/>
      <c r="W160" s="22"/>
      <c r="X160" s="22"/>
    </row>
    <row r="161" spans="2:24" x14ac:dyDescent="0.2">
      <c r="B161" s="17">
        <f t="shared" ca="1" si="49"/>
        <v>50253</v>
      </c>
      <c r="C161" s="9">
        <f t="shared" si="62"/>
        <v>157</v>
      </c>
      <c r="D161" s="9"/>
      <c r="E161" s="13">
        <f t="shared" si="50"/>
        <v>1893.3315103416078</v>
      </c>
      <c r="F161" s="14">
        <f t="shared" si="51"/>
        <v>255162.93591633084</v>
      </c>
      <c r="G161" s="15">
        <f t="shared" si="52"/>
        <v>0.5678595881349382</v>
      </c>
      <c r="H161" s="13">
        <f t="shared" si="53"/>
        <v>6402.8512441879375</v>
      </c>
      <c r="I161" s="13">
        <f t="shared" si="54"/>
        <v>396139.61394841026</v>
      </c>
      <c r="J161" s="15">
        <f t="shared" si="46"/>
        <v>0.4321404118650618</v>
      </c>
      <c r="K161" s="13">
        <f t="shared" si="55"/>
        <v>194178.66409852618</v>
      </c>
      <c r="L161" s="13">
        <f t="shared" si="63"/>
        <v>10153198.34165054</v>
      </c>
      <c r="M161" s="15">
        <f t="shared" si="56"/>
        <v>0.4321404118650618</v>
      </c>
      <c r="N161" s="13">
        <f t="shared" si="47"/>
        <v>2393.4127327714409</v>
      </c>
      <c r="O161" s="13">
        <f t="shared" si="57"/>
        <v>201960.94984988379</v>
      </c>
      <c r="P161" s="15">
        <f t="shared" si="48"/>
        <v>0.3100877616582739</v>
      </c>
      <c r="Q161" s="7">
        <f t="shared" si="58"/>
        <v>651302.54986474081</v>
      </c>
      <c r="R161" s="7">
        <f t="shared" si="59"/>
        <v>449341.60001485702</v>
      </c>
      <c r="S161" s="13">
        <f>IF(Calc!$AD$32="Sim",R161,Q161)</f>
        <v>449341.60001485702</v>
      </c>
      <c r="T161" s="9">
        <f t="shared" si="60"/>
        <v>157</v>
      </c>
      <c r="U161" s="17">
        <f t="shared" ca="1" si="61"/>
        <v>50284</v>
      </c>
      <c r="V161" s="22"/>
      <c r="W161" s="22"/>
      <c r="X161" s="22"/>
    </row>
    <row r="162" spans="2:24" x14ac:dyDescent="0.2">
      <c r="B162" s="17">
        <f t="shared" ca="1" si="49"/>
        <v>50284</v>
      </c>
      <c r="C162" s="9">
        <f t="shared" si="62"/>
        <v>158</v>
      </c>
      <c r="D162" s="9"/>
      <c r="E162" s="13">
        <f t="shared" si="50"/>
        <v>1901.0451772782214</v>
      </c>
      <c r="F162" s="14">
        <f t="shared" si="51"/>
        <v>257063.98109360907</v>
      </c>
      <c r="G162" s="15">
        <f t="shared" si="52"/>
        <v>0.56613622032897559</v>
      </c>
      <c r="H162" s="13">
        <f t="shared" si="53"/>
        <v>6485.4619721509862</v>
      </c>
      <c r="I162" s="13">
        <f t="shared" si="54"/>
        <v>402625.07592056127</v>
      </c>
      <c r="J162" s="15">
        <f t="shared" si="46"/>
        <v>0.43386377967102441</v>
      </c>
      <c r="K162" s="13">
        <f t="shared" si="55"/>
        <v>197003.38266600342</v>
      </c>
      <c r="L162" s="13">
        <f t="shared" si="63"/>
        <v>10350201.724316543</v>
      </c>
      <c r="M162" s="15">
        <f t="shared" si="56"/>
        <v>0.43386377967102446</v>
      </c>
      <c r="N162" s="13">
        <f t="shared" si="47"/>
        <v>2424.2315480809939</v>
      </c>
      <c r="O162" s="13">
        <f t="shared" si="57"/>
        <v>205621.6932545575</v>
      </c>
      <c r="P162" s="15">
        <f t="shared" si="48"/>
        <v>0.31169486755658093</v>
      </c>
      <c r="Q162" s="7">
        <f t="shared" si="58"/>
        <v>659689.05701416999</v>
      </c>
      <c r="R162" s="7">
        <f t="shared" si="59"/>
        <v>454067.36375961249</v>
      </c>
      <c r="S162" s="13">
        <f>IF(Calc!$AD$32="Sim",R162,Q162)</f>
        <v>454067.36375961249</v>
      </c>
      <c r="T162" s="9">
        <f t="shared" si="60"/>
        <v>158</v>
      </c>
      <c r="U162" s="17">
        <f t="shared" ca="1" si="61"/>
        <v>50314</v>
      </c>
      <c r="V162" s="22"/>
      <c r="W162" s="22"/>
      <c r="X162" s="22"/>
    </row>
    <row r="163" spans="2:24" x14ac:dyDescent="0.2">
      <c r="B163" s="17">
        <f t="shared" ca="1" si="49"/>
        <v>50314</v>
      </c>
      <c r="C163" s="9">
        <f t="shared" si="62"/>
        <v>159</v>
      </c>
      <c r="D163" s="9"/>
      <c r="E163" s="13">
        <f t="shared" si="50"/>
        <v>1908.7902706487607</v>
      </c>
      <c r="F163" s="14">
        <f t="shared" si="51"/>
        <v>258972.77136425782</v>
      </c>
      <c r="G163" s="15">
        <f t="shared" si="52"/>
        <v>0.56441925560576467</v>
      </c>
      <c r="H163" s="13">
        <f t="shared" si="53"/>
        <v>6568.9721214788069</v>
      </c>
      <c r="I163" s="13">
        <f t="shared" si="54"/>
        <v>409194.04804204009</v>
      </c>
      <c r="J163" s="15">
        <f t="shared" si="46"/>
        <v>0.43558074439423533</v>
      </c>
      <c r="K163" s="13">
        <f t="shared" si="55"/>
        <v>199857.73236530487</v>
      </c>
      <c r="L163" s="13">
        <f t="shared" si="63"/>
        <v>10550059.456681848</v>
      </c>
      <c r="M163" s="15">
        <f t="shared" si="56"/>
        <v>0.43558074439423528</v>
      </c>
      <c r="N163" s="13">
        <f t="shared" si="47"/>
        <v>2455.3857090142542</v>
      </c>
      <c r="O163" s="13">
        <f t="shared" si="57"/>
        <v>209336.31567673484</v>
      </c>
      <c r="P163" s="15">
        <f t="shared" si="48"/>
        <v>0.31329947790993501</v>
      </c>
      <c r="Q163" s="7">
        <f t="shared" si="58"/>
        <v>668166.81940629752</v>
      </c>
      <c r="R163" s="7">
        <f t="shared" si="59"/>
        <v>458830.50372956268</v>
      </c>
      <c r="S163" s="13">
        <f>IF(Calc!$AD$32="Sim",R163,Q163)</f>
        <v>458830.50372956268</v>
      </c>
      <c r="T163" s="9">
        <f t="shared" si="60"/>
        <v>159</v>
      </c>
      <c r="U163" s="17">
        <f t="shared" ca="1" si="61"/>
        <v>50345</v>
      </c>
      <c r="V163" s="22"/>
      <c r="W163" s="22"/>
      <c r="X163" s="22"/>
    </row>
    <row r="164" spans="2:24" x14ac:dyDescent="0.2">
      <c r="B164" s="17">
        <f t="shared" ca="1" si="49"/>
        <v>50345</v>
      </c>
      <c r="C164" s="9">
        <f t="shared" si="62"/>
        <v>160</v>
      </c>
      <c r="D164" s="9"/>
      <c r="E164" s="13">
        <f t="shared" si="50"/>
        <v>1916.5669184884075</v>
      </c>
      <c r="F164" s="14">
        <f t="shared" si="51"/>
        <v>260889.33828274623</v>
      </c>
      <c r="G164" s="15">
        <f t="shared" si="52"/>
        <v>0.56270865741673659</v>
      </c>
      <c r="H164" s="13">
        <f t="shared" si="53"/>
        <v>6653.3909612553343</v>
      </c>
      <c r="I164" s="13">
        <f t="shared" si="54"/>
        <v>415847.43900329544</v>
      </c>
      <c r="J164" s="15">
        <f t="shared" si="46"/>
        <v>0.43729134258326341</v>
      </c>
      <c r="K164" s="13">
        <f t="shared" si="55"/>
        <v>202741.94736412473</v>
      </c>
      <c r="L164" s="13">
        <f t="shared" si="63"/>
        <v>10752801.404045973</v>
      </c>
      <c r="M164" s="15">
        <f t="shared" si="56"/>
        <v>0.43729134258326346</v>
      </c>
      <c r="N164" s="13">
        <f t="shared" si="47"/>
        <v>2486.878670792084</v>
      </c>
      <c r="O164" s="13">
        <f t="shared" si="57"/>
        <v>213105.49163917021</v>
      </c>
      <c r="P164" s="15">
        <f t="shared" si="48"/>
        <v>0.31490159659092298</v>
      </c>
      <c r="Q164" s="7">
        <f t="shared" si="58"/>
        <v>676736.77728604118</v>
      </c>
      <c r="R164" s="7">
        <f t="shared" si="59"/>
        <v>463631.28564687097</v>
      </c>
      <c r="S164" s="13">
        <f>IF(Calc!$AD$32="Sim",R164,Q164)</f>
        <v>463631.28564687097</v>
      </c>
      <c r="T164" s="9">
        <f t="shared" si="60"/>
        <v>160</v>
      </c>
      <c r="U164" s="17">
        <f t="shared" ca="1" si="61"/>
        <v>50375</v>
      </c>
      <c r="V164" s="22"/>
      <c r="W164" s="22"/>
      <c r="X164" s="22"/>
    </row>
    <row r="165" spans="2:24" x14ac:dyDescent="0.2">
      <c r="B165" s="17">
        <f t="shared" ca="1" si="49"/>
        <v>50375</v>
      </c>
      <c r="C165" s="9">
        <f t="shared" si="62"/>
        <v>161</v>
      </c>
      <c r="D165" s="9"/>
      <c r="E165" s="13">
        <f t="shared" si="50"/>
        <v>1924.3752493539748</v>
      </c>
      <c r="F165" s="14">
        <f t="shared" si="51"/>
        <v>262813.7135321002</v>
      </c>
      <c r="G165" s="15">
        <f t="shared" si="52"/>
        <v>0.56100438965219546</v>
      </c>
      <c r="H165" s="13">
        <f t="shared" si="53"/>
        <v>6738.7278541379983</v>
      </c>
      <c r="I165" s="13">
        <f t="shared" si="54"/>
        <v>422586.16685743345</v>
      </c>
      <c r="J165" s="15">
        <f t="shared" si="46"/>
        <v>0.43899561034780454</v>
      </c>
      <c r="K165" s="13">
        <f t="shared" si="55"/>
        <v>205656.26349434728</v>
      </c>
      <c r="L165" s="13">
        <f t="shared" si="63"/>
        <v>10958457.667540321</v>
      </c>
      <c r="M165" s="15">
        <f t="shared" si="56"/>
        <v>0.43899561034780454</v>
      </c>
      <c r="N165" s="13">
        <f t="shared" si="47"/>
        <v>2518.7139235137497</v>
      </c>
      <c r="O165" s="13">
        <f t="shared" si="57"/>
        <v>216929.90336308564</v>
      </c>
      <c r="P165" s="15">
        <f t="shared" si="48"/>
        <v>0.31650122734161834</v>
      </c>
      <c r="Q165" s="7">
        <f t="shared" si="58"/>
        <v>685399.88038953312</v>
      </c>
      <c r="R165" s="7">
        <f t="shared" si="59"/>
        <v>468469.97702644748</v>
      </c>
      <c r="S165" s="13">
        <f>IF(Calc!$AD$32="Sim",R165,Q165)</f>
        <v>468469.97702644748</v>
      </c>
      <c r="T165" s="9">
        <f t="shared" si="60"/>
        <v>161</v>
      </c>
      <c r="U165" s="17">
        <f t="shared" ca="1" si="61"/>
        <v>50406</v>
      </c>
      <c r="V165" s="22"/>
      <c r="W165" s="22"/>
      <c r="X165" s="22"/>
    </row>
    <row r="166" spans="2:24" x14ac:dyDescent="0.2">
      <c r="B166" s="17">
        <f t="shared" ca="1" si="49"/>
        <v>50406</v>
      </c>
      <c r="C166" s="9">
        <f t="shared" si="62"/>
        <v>162</v>
      </c>
      <c r="D166" s="9"/>
      <c r="E166" s="13">
        <f t="shared" si="50"/>
        <v>1932.2153923260321</v>
      </c>
      <c r="F166" s="14">
        <f t="shared" si="51"/>
        <v>264745.9289244262</v>
      </c>
      <c r="G166" s="15">
        <f t="shared" si="52"/>
        <v>0.55930641663161917</v>
      </c>
      <c r="H166" s="13">
        <f t="shared" si="53"/>
        <v>6824.9922572946998</v>
      </c>
      <c r="I166" s="13">
        <f t="shared" si="54"/>
        <v>429411.15911472816</v>
      </c>
      <c r="J166" s="15">
        <f t="shared" si="46"/>
        <v>0.44069358336838083</v>
      </c>
      <c r="K166" s="13">
        <f t="shared" si="55"/>
        <v>208600.91826327221</v>
      </c>
      <c r="L166" s="13">
        <f t="shared" si="63"/>
        <v>11167058.585803593</v>
      </c>
      <c r="M166" s="15">
        <f t="shared" si="56"/>
        <v>0.44069358336838088</v>
      </c>
      <c r="N166" s="13">
        <f t="shared" si="47"/>
        <v>2550.8949925061538</v>
      </c>
      <c r="O166" s="13">
        <f t="shared" si="57"/>
        <v>220810.24085145543</v>
      </c>
      <c r="P166" s="15">
        <f t="shared" si="48"/>
        <v>0.31809837377760902</v>
      </c>
      <c r="Q166" s="7">
        <f t="shared" si="58"/>
        <v>694157.08803915384</v>
      </c>
      <c r="R166" s="7">
        <f t="shared" si="59"/>
        <v>473346.84718769841</v>
      </c>
      <c r="S166" s="13">
        <f>IF(Calc!$AD$32="Sim",R166,Q166)</f>
        <v>473346.84718769841</v>
      </c>
      <c r="T166" s="9">
        <f t="shared" si="60"/>
        <v>162</v>
      </c>
      <c r="U166" s="17">
        <f t="shared" ca="1" si="61"/>
        <v>50437</v>
      </c>
      <c r="V166" s="22"/>
      <c r="W166" s="22"/>
      <c r="X166" s="22"/>
    </row>
    <row r="167" spans="2:24" x14ac:dyDescent="0.2">
      <c r="B167" s="17">
        <f t="shared" ca="1" si="49"/>
        <v>50437</v>
      </c>
      <c r="C167" s="9">
        <f t="shared" si="62"/>
        <v>163</v>
      </c>
      <c r="D167" s="9"/>
      <c r="E167" s="13">
        <f t="shared" si="50"/>
        <v>1940.087477011039</v>
      </c>
      <c r="F167" s="14">
        <f t="shared" si="51"/>
        <v>266686.01640143723</v>
      </c>
      <c r="G167" s="15">
        <f t="shared" si="52"/>
        <v>0.55761470309424632</v>
      </c>
      <c r="H167" s="13">
        <f t="shared" si="53"/>
        <v>6912.1937233501294</v>
      </c>
      <c r="I167" s="13">
        <f t="shared" si="54"/>
        <v>436323.35283807828</v>
      </c>
      <c r="J167" s="15">
        <f t="shared" si="46"/>
        <v>0.44238529690575368</v>
      </c>
      <c r="K167" s="13">
        <f t="shared" si="55"/>
        <v>211576.15086491406</v>
      </c>
      <c r="L167" s="13">
        <f t="shared" si="63"/>
        <v>11378634.736668507</v>
      </c>
      <c r="M167" s="15">
        <f t="shared" si="56"/>
        <v>0.44238529690575373</v>
      </c>
      <c r="N167" s="13">
        <f t="shared" si="47"/>
        <v>2583.4254386765515</v>
      </c>
      <c r="O167" s="13">
        <f t="shared" si="57"/>
        <v>224747.20197316376</v>
      </c>
      <c r="P167" s="15">
        <f t="shared" si="48"/>
        <v>0.31969303939190102</v>
      </c>
      <c r="Q167" s="7">
        <f t="shared" si="58"/>
        <v>703009.36923951504</v>
      </c>
      <c r="R167" s="7">
        <f t="shared" si="59"/>
        <v>478262.16726635129</v>
      </c>
      <c r="S167" s="13">
        <f>IF(Calc!$AD$32="Sim",R167,Q167)</f>
        <v>478262.16726635129</v>
      </c>
      <c r="T167" s="9">
        <f t="shared" si="60"/>
        <v>163</v>
      </c>
      <c r="U167" s="17">
        <f t="shared" ca="1" si="61"/>
        <v>50465</v>
      </c>
      <c r="V167" s="22"/>
      <c r="W167" s="22"/>
      <c r="X167" s="22"/>
    </row>
    <row r="168" spans="2:24" x14ac:dyDescent="0.2">
      <c r="B168" s="17">
        <f t="shared" ca="1" si="49"/>
        <v>50465</v>
      </c>
      <c r="C168" s="9">
        <f t="shared" si="62"/>
        <v>164</v>
      </c>
      <c r="D168" s="9"/>
      <c r="E168" s="13">
        <f t="shared" si="50"/>
        <v>1947.991633543488</v>
      </c>
      <c r="F168" s="14">
        <f t="shared" si="51"/>
        <v>268634.00803498074</v>
      </c>
      <c r="G168" s="15">
        <f t="shared" si="52"/>
        <v>0.55592921418994357</v>
      </c>
      <c r="H168" s="13">
        <f t="shared" si="53"/>
        <v>7000.3419013415296</v>
      </c>
      <c r="I168" s="13">
        <f t="shared" si="54"/>
        <v>443323.69473941979</v>
      </c>
      <c r="J168" s="15">
        <f t="shared" si="46"/>
        <v>0.44407078581005643</v>
      </c>
      <c r="K168" s="13">
        <f t="shared" si="55"/>
        <v>214582.20219137543</v>
      </c>
      <c r="L168" s="13">
        <f t="shared" si="63"/>
        <v>11593216.938859882</v>
      </c>
      <c r="M168" s="15">
        <f t="shared" si="56"/>
        <v>0.44407078581005649</v>
      </c>
      <c r="N168" s="13">
        <f t="shared" si="47"/>
        <v>2616.3088588687915</v>
      </c>
      <c r="O168" s="13">
        <f t="shared" si="57"/>
        <v>228741.49254804396</v>
      </c>
      <c r="P168" s="15">
        <f t="shared" si="48"/>
        <v>0.32128522755870215</v>
      </c>
      <c r="Q168" s="7">
        <f t="shared" si="58"/>
        <v>711957.70277440012</v>
      </c>
      <c r="R168" s="7">
        <f t="shared" si="59"/>
        <v>483216.21022635617</v>
      </c>
      <c r="S168" s="13">
        <f>IF(Calc!$AD$32="Sim",R168,Q168)</f>
        <v>483216.21022635617</v>
      </c>
      <c r="T168" s="9">
        <f t="shared" si="60"/>
        <v>164</v>
      </c>
      <c r="U168" s="17">
        <f t="shared" ca="1" si="61"/>
        <v>50496</v>
      </c>
      <c r="V168" s="22"/>
      <c r="W168" s="22"/>
      <c r="X168" s="22"/>
    </row>
    <row r="169" spans="2:24" x14ac:dyDescent="0.2">
      <c r="B169" s="17">
        <f t="shared" ca="1" si="49"/>
        <v>50496</v>
      </c>
      <c r="C169" s="9">
        <f t="shared" si="62"/>
        <v>165</v>
      </c>
      <c r="D169" s="9"/>
      <c r="E169" s="13">
        <f t="shared" si="50"/>
        <v>1955.9279925880555</v>
      </c>
      <c r="F169" s="14">
        <f t="shared" si="51"/>
        <v>270589.93602756882</v>
      </c>
      <c r="G169" s="15">
        <f t="shared" si="52"/>
        <v>0.55424991547034119</v>
      </c>
      <c r="H169" s="13">
        <f t="shared" si="53"/>
        <v>7089.4465376839989</v>
      </c>
      <c r="I169" s="13">
        <f t="shared" si="54"/>
        <v>450413.1412771038</v>
      </c>
      <c r="J169" s="15">
        <f t="shared" si="46"/>
        <v>0.44575008452965881</v>
      </c>
      <c r="K169" s="13">
        <f t="shared" si="55"/>
        <v>217619.31484429451</v>
      </c>
      <c r="L169" s="13">
        <f t="shared" si="63"/>
        <v>11810836.253704177</v>
      </c>
      <c r="M169" s="15">
        <f t="shared" si="56"/>
        <v>0.44575008452965886</v>
      </c>
      <c r="N169" s="13">
        <f t="shared" si="47"/>
        <v>2649.5488862231068</v>
      </c>
      <c r="O169" s="13">
        <f t="shared" si="57"/>
        <v>232793.82643280877</v>
      </c>
      <c r="P169" s="15">
        <f t="shared" si="48"/>
        <v>0.32287494153709106</v>
      </c>
      <c r="Q169" s="7">
        <f t="shared" si="58"/>
        <v>721003.0773046721</v>
      </c>
      <c r="R169" s="7">
        <f t="shared" si="59"/>
        <v>488209.25087186333</v>
      </c>
      <c r="S169" s="13">
        <f>IF(Calc!$AD$32="Sim",R169,Q169)</f>
        <v>488209.25087186333</v>
      </c>
      <c r="T169" s="9">
        <f t="shared" si="60"/>
        <v>165</v>
      </c>
      <c r="U169" s="17">
        <f t="shared" ca="1" si="61"/>
        <v>50526</v>
      </c>
      <c r="V169" s="22"/>
      <c r="W169" s="22"/>
      <c r="X169" s="22"/>
    </row>
    <row r="170" spans="2:24" x14ac:dyDescent="0.2">
      <c r="B170" s="17">
        <f t="shared" ca="1" si="49"/>
        <v>50526</v>
      </c>
      <c r="C170" s="9">
        <f t="shared" si="62"/>
        <v>166</v>
      </c>
      <c r="D170" s="9"/>
      <c r="E170" s="13">
        <f t="shared" si="50"/>
        <v>1963.8966853417621</v>
      </c>
      <c r="F170" s="14">
        <f t="shared" si="51"/>
        <v>272553.8327129106</v>
      </c>
      <c r="G170" s="15">
        <f t="shared" si="52"/>
        <v>0.552576772880228</v>
      </c>
      <c r="H170" s="13">
        <f t="shared" si="53"/>
        <v>7179.5174771454285</v>
      </c>
      <c r="I170" s="13">
        <f t="shared" si="54"/>
        <v>457592.65875424922</v>
      </c>
      <c r="J170" s="15">
        <f t="shared" si="46"/>
        <v>0.447423227119772</v>
      </c>
      <c r="K170" s="13">
        <f t="shared" si="55"/>
        <v>220687.733146368</v>
      </c>
      <c r="L170" s="13">
        <f t="shared" si="63"/>
        <v>12031523.986850545</v>
      </c>
      <c r="M170" s="15">
        <f t="shared" si="56"/>
        <v>0.447423227119772</v>
      </c>
      <c r="N170" s="13">
        <f t="shared" si="47"/>
        <v>2683.1491905395023</v>
      </c>
      <c r="O170" s="13">
        <f t="shared" si="57"/>
        <v>236904.92560788064</v>
      </c>
      <c r="P170" s="15">
        <f t="shared" si="48"/>
        <v>0.32446218447457431</v>
      </c>
      <c r="Q170" s="7">
        <f t="shared" si="58"/>
        <v>730146.49146715924</v>
      </c>
      <c r="R170" s="7">
        <f t="shared" si="59"/>
        <v>493241.56585927861</v>
      </c>
      <c r="S170" s="13">
        <f>IF(Calc!$AD$32="Sim",R170,Q170)</f>
        <v>493241.56585927861</v>
      </c>
      <c r="T170" s="9">
        <f t="shared" si="60"/>
        <v>166</v>
      </c>
      <c r="U170" s="17">
        <f t="shared" ca="1" si="61"/>
        <v>50557</v>
      </c>
      <c r="V170" s="22"/>
      <c r="W170" s="22"/>
      <c r="X170" s="22"/>
    </row>
    <row r="171" spans="2:24" x14ac:dyDescent="0.2">
      <c r="B171" s="17">
        <f t="shared" ca="1" si="49"/>
        <v>50557</v>
      </c>
      <c r="C171" s="9">
        <f t="shared" si="62"/>
        <v>167</v>
      </c>
      <c r="D171" s="9"/>
      <c r="E171" s="13">
        <f t="shared" si="50"/>
        <v>1971.8978435361412</v>
      </c>
      <c r="F171" s="14">
        <f t="shared" si="51"/>
        <v>274525.73055644677</v>
      </c>
      <c r="G171" s="15">
        <f t="shared" si="52"/>
        <v>0.55090975274919696</v>
      </c>
      <c r="H171" s="13">
        <f t="shared" si="53"/>
        <v>7270.5646638311737</v>
      </c>
      <c r="I171" s="13">
        <f t="shared" si="54"/>
        <v>464863.22341808036</v>
      </c>
      <c r="J171" s="15">
        <f t="shared" si="46"/>
        <v>0.44909024725080304</v>
      </c>
      <c r="K171" s="13">
        <f t="shared" si="55"/>
        <v>223787.7031529494</v>
      </c>
      <c r="L171" s="13">
        <f t="shared" si="63"/>
        <v>12255311.690003494</v>
      </c>
      <c r="M171" s="15">
        <f t="shared" si="56"/>
        <v>0.4490902472508031</v>
      </c>
      <c r="N171" s="13">
        <f t="shared" si="47"/>
        <v>2717.1134786447606</v>
      </c>
      <c r="O171" s="13">
        <f t="shared" si="57"/>
        <v>241075.52026513033</v>
      </c>
      <c r="P171" s="15">
        <f t="shared" si="48"/>
        <v>0.32604695941053496</v>
      </c>
      <c r="Q171" s="7">
        <f t="shared" si="58"/>
        <v>739388.95397452649</v>
      </c>
      <c r="R171" s="7">
        <f t="shared" si="59"/>
        <v>498313.43370939617</v>
      </c>
      <c r="S171" s="13">
        <f>IF(Calc!$AD$32="Sim",R171,Q171)</f>
        <v>498313.43370939617</v>
      </c>
      <c r="T171" s="9">
        <f t="shared" si="60"/>
        <v>167</v>
      </c>
      <c r="U171" s="17">
        <f t="shared" ca="1" si="61"/>
        <v>50587</v>
      </c>
      <c r="V171" s="22"/>
      <c r="W171" s="22"/>
      <c r="X171" s="22"/>
    </row>
    <row r="172" spans="2:24" x14ac:dyDescent="0.2">
      <c r="B172" s="17">
        <f t="shared" ca="1" si="49"/>
        <v>50587</v>
      </c>
      <c r="C172" s="9">
        <f t="shared" si="62"/>
        <v>168</v>
      </c>
      <c r="D172" s="9">
        <v>14</v>
      </c>
      <c r="E172" s="13">
        <f t="shared" si="50"/>
        <v>1979.9315994394167</v>
      </c>
      <c r="F172" s="14">
        <f t="shared" si="51"/>
        <v>276505.66215588618</v>
      </c>
      <c r="G172" s="15">
        <f t="shared" si="52"/>
        <v>0.54924882178353218</v>
      </c>
      <c r="H172" s="13">
        <f t="shared" si="53"/>
        <v>7362.5981421785409</v>
      </c>
      <c r="I172" s="13">
        <f t="shared" si="54"/>
        <v>472225.82156025892</v>
      </c>
      <c r="J172" s="15">
        <f t="shared" si="46"/>
        <v>0.45075117821646782</v>
      </c>
      <c r="K172" s="13">
        <f t="shared" si="55"/>
        <v>226919.47266372299</v>
      </c>
      <c r="L172" s="13">
        <f t="shared" si="63"/>
        <v>12482231.162667217</v>
      </c>
      <c r="M172" s="15">
        <f t="shared" si="56"/>
        <v>0.45075117821646782</v>
      </c>
      <c r="N172" s="13">
        <f t="shared" si="47"/>
        <v>2751.4454947631189</v>
      </c>
      <c r="O172" s="13">
        <f t="shared" si="57"/>
        <v>245306.34889653529</v>
      </c>
      <c r="P172" s="15">
        <f t="shared" si="48"/>
        <v>0.32762926927957886</v>
      </c>
      <c r="Q172" s="7">
        <f t="shared" si="58"/>
        <v>748731.48371614446</v>
      </c>
      <c r="R172" s="7">
        <f t="shared" si="59"/>
        <v>503425.13481960917</v>
      </c>
      <c r="S172" s="13">
        <f>IF(Calc!$AD$32="Sim",R172,Q172)</f>
        <v>503425.13481960917</v>
      </c>
      <c r="T172" s="9">
        <f t="shared" si="60"/>
        <v>168</v>
      </c>
      <c r="U172" s="17">
        <f t="shared" ca="1" si="61"/>
        <v>50618</v>
      </c>
      <c r="V172" s="22"/>
      <c r="W172" s="22"/>
      <c r="X172" s="22"/>
    </row>
    <row r="173" spans="2:24" x14ac:dyDescent="0.2">
      <c r="B173" s="17">
        <f t="shared" ca="1" si="49"/>
        <v>50618</v>
      </c>
      <c r="C173" s="9">
        <f t="shared" si="62"/>
        <v>169</v>
      </c>
      <c r="D173" s="9"/>
      <c r="E173" s="13">
        <f t="shared" si="50"/>
        <v>1987.9980858586898</v>
      </c>
      <c r="F173" s="14">
        <f t="shared" si="51"/>
        <v>278493.66024174489</v>
      </c>
      <c r="G173" s="15">
        <f t="shared" si="52"/>
        <v>0.54759394705833009</v>
      </c>
      <c r="H173" s="13">
        <f t="shared" si="53"/>
        <v>7455.6280579612076</v>
      </c>
      <c r="I173" s="13">
        <f t="shared" si="54"/>
        <v>479681.44961822015</v>
      </c>
      <c r="J173" s="15">
        <f t="shared" si="46"/>
        <v>0.45240605294166991</v>
      </c>
      <c r="K173" s="13">
        <f t="shared" si="55"/>
        <v>230083.29123445461</v>
      </c>
      <c r="L173" s="13">
        <f t="shared" si="63"/>
        <v>12712314.453901671</v>
      </c>
      <c r="M173" s="15">
        <f t="shared" si="56"/>
        <v>0.45240605294166991</v>
      </c>
      <c r="N173" s="13">
        <f t="shared" si="47"/>
        <v>2786.1490208906393</v>
      </c>
      <c r="O173" s="13">
        <f t="shared" si="57"/>
        <v>249598.15838376485</v>
      </c>
      <c r="P173" s="15">
        <f t="shared" si="48"/>
        <v>0.32920911691477955</v>
      </c>
      <c r="Q173" s="7">
        <f t="shared" si="58"/>
        <v>758175.10985996434</v>
      </c>
      <c r="R173" s="7">
        <f t="shared" si="59"/>
        <v>508576.95147619949</v>
      </c>
      <c r="S173" s="13">
        <f>IF(Calc!$AD$32="Sim",R173,Q173)</f>
        <v>508576.95147619949</v>
      </c>
      <c r="T173" s="9">
        <f t="shared" si="60"/>
        <v>169</v>
      </c>
      <c r="U173" s="17">
        <f t="shared" ca="1" si="61"/>
        <v>50649</v>
      </c>
      <c r="V173" s="22"/>
      <c r="W173" s="22"/>
      <c r="X173" s="22"/>
    </row>
    <row r="174" spans="2:24" x14ac:dyDescent="0.2">
      <c r="B174" s="17">
        <f t="shared" ca="1" si="49"/>
        <v>50649</v>
      </c>
      <c r="C174" s="9">
        <f t="shared" si="62"/>
        <v>170</v>
      </c>
      <c r="D174" s="9"/>
      <c r="E174" s="13">
        <f t="shared" si="50"/>
        <v>1996.097436142134</v>
      </c>
      <c r="F174" s="14">
        <f t="shared" si="51"/>
        <v>280489.75767788704</v>
      </c>
      <c r="G174" s="15">
        <f t="shared" si="52"/>
        <v>0.54594509600984498</v>
      </c>
      <c r="H174" s="13">
        <f t="shared" si="53"/>
        <v>7549.6646593036621</v>
      </c>
      <c r="I174" s="13">
        <f t="shared" si="54"/>
        <v>487231.11427752383</v>
      </c>
      <c r="J174" s="15">
        <f t="shared" si="46"/>
        <v>0.45405490399015502</v>
      </c>
      <c r="K174" s="13">
        <f t="shared" si="55"/>
        <v>233279.41018881911</v>
      </c>
      <c r="L174" s="13">
        <f t="shared" si="63"/>
        <v>12945593.864090489</v>
      </c>
      <c r="M174" s="15">
        <f t="shared" si="56"/>
        <v>0.45405490399015502</v>
      </c>
      <c r="N174" s="13">
        <f t="shared" si="47"/>
        <v>2821.2278771733172</v>
      </c>
      <c r="O174" s="13">
        <f t="shared" si="57"/>
        <v>253951.70408870396</v>
      </c>
      <c r="P174" s="15">
        <f t="shared" si="48"/>
        <v>0.33078650505082752</v>
      </c>
      <c r="Q174" s="7">
        <f t="shared" si="58"/>
        <v>767720.87195541011</v>
      </c>
      <c r="R174" s="7">
        <f t="shared" si="59"/>
        <v>513769.16786670615</v>
      </c>
      <c r="S174" s="13">
        <f>IF(Calc!$AD$32="Sim",R174,Q174)</f>
        <v>513769.16786670615</v>
      </c>
      <c r="T174" s="9">
        <f t="shared" si="60"/>
        <v>170</v>
      </c>
      <c r="U174" s="17">
        <f t="shared" ca="1" si="61"/>
        <v>50679</v>
      </c>
      <c r="V174" s="22"/>
      <c r="W174" s="22"/>
      <c r="X174" s="22"/>
    </row>
    <row r="175" spans="2:24" x14ac:dyDescent="0.2">
      <c r="B175" s="17">
        <f t="shared" ca="1" si="49"/>
        <v>50679</v>
      </c>
      <c r="C175" s="9">
        <f t="shared" si="62"/>
        <v>171</v>
      </c>
      <c r="D175" s="9"/>
      <c r="E175" s="13">
        <f t="shared" si="50"/>
        <v>2004.2297841812001</v>
      </c>
      <c r="F175" s="14">
        <f t="shared" si="51"/>
        <v>282493.98746206827</v>
      </c>
      <c r="G175" s="15">
        <f t="shared" si="52"/>
        <v>0.5443022364280532</v>
      </c>
      <c r="H175" s="13">
        <f t="shared" si="53"/>
        <v>7644.7182977057701</v>
      </c>
      <c r="I175" s="13">
        <f t="shared" si="54"/>
        <v>494875.83257522958</v>
      </c>
      <c r="J175" s="15">
        <f t="shared" si="46"/>
        <v>0.4556977635719468</v>
      </c>
      <c r="K175" s="13">
        <f t="shared" si="55"/>
        <v>236508.08263030555</v>
      </c>
      <c r="L175" s="13">
        <f t="shared" si="63"/>
        <v>13182101.946720794</v>
      </c>
      <c r="M175" s="15">
        <f t="shared" si="56"/>
        <v>0.45569776357194686</v>
      </c>
      <c r="N175" s="13">
        <f t="shared" si="47"/>
        <v>2856.685922288963</v>
      </c>
      <c r="O175" s="13">
        <f t="shared" si="57"/>
        <v>258367.74994492327</v>
      </c>
      <c r="P175" s="15">
        <f t="shared" si="48"/>
        <v>0.33236143632708454</v>
      </c>
      <c r="Q175" s="7">
        <f t="shared" si="58"/>
        <v>777369.82003729709</v>
      </c>
      <c r="R175" s="7">
        <f t="shared" si="59"/>
        <v>519002.07009237382</v>
      </c>
      <c r="S175" s="13">
        <f>IF(Calc!$AD$32="Sim",R175,Q175)</f>
        <v>519002.07009237382</v>
      </c>
      <c r="T175" s="9">
        <f t="shared" si="60"/>
        <v>171</v>
      </c>
      <c r="U175" s="17">
        <f t="shared" ca="1" si="61"/>
        <v>50710</v>
      </c>
      <c r="V175" s="22"/>
      <c r="W175" s="22"/>
      <c r="X175" s="22"/>
    </row>
    <row r="176" spans="2:24" x14ac:dyDescent="0.2">
      <c r="B176" s="17">
        <f t="shared" ca="1" si="49"/>
        <v>50710</v>
      </c>
      <c r="C176" s="9">
        <f t="shared" si="62"/>
        <v>172</v>
      </c>
      <c r="D176" s="9"/>
      <c r="E176" s="13">
        <f t="shared" si="50"/>
        <v>2012.3952644128292</v>
      </c>
      <c r="F176" s="14">
        <f t="shared" si="51"/>
        <v>284506.38272648107</v>
      </c>
      <c r="G176" s="15">
        <f t="shared" si="52"/>
        <v>0.54266533644942716</v>
      </c>
      <c r="H176" s="13">
        <f t="shared" si="53"/>
        <v>7740.7994290775614</v>
      </c>
      <c r="I176" s="13">
        <f t="shared" si="54"/>
        <v>502616.63200430712</v>
      </c>
      <c r="J176" s="15">
        <f t="shared" si="46"/>
        <v>0.45733466355057284</v>
      </c>
      <c r="K176" s="13">
        <f t="shared" si="55"/>
        <v>239769.56345419999</v>
      </c>
      <c r="L176" s="13">
        <f t="shared" si="63"/>
        <v>13421871.510174993</v>
      </c>
      <c r="M176" s="15">
        <f t="shared" si="56"/>
        <v>0.45733466355057278</v>
      </c>
      <c r="N176" s="13">
        <f t="shared" si="47"/>
        <v>2892.5270538328923</v>
      </c>
      <c r="O176" s="13">
        <f t="shared" si="57"/>
        <v>262847.06855010643</v>
      </c>
      <c r="P176" s="15">
        <f t="shared" si="48"/>
        <v>0.33393391329054917</v>
      </c>
      <c r="Q176" s="7">
        <f t="shared" si="58"/>
        <v>787123.01473078749</v>
      </c>
      <c r="R176" s="7">
        <f t="shared" si="59"/>
        <v>524275.94618068106</v>
      </c>
      <c r="S176" s="13">
        <f>IF(Calc!$AD$32="Sim",R176,Q176)</f>
        <v>524275.94618068106</v>
      </c>
      <c r="T176" s="9">
        <f t="shared" si="60"/>
        <v>172</v>
      </c>
      <c r="U176" s="17">
        <f t="shared" ca="1" si="61"/>
        <v>50740</v>
      </c>
      <c r="V176" s="22"/>
      <c r="W176" s="22"/>
      <c r="X176" s="22"/>
    </row>
    <row r="177" spans="2:24" x14ac:dyDescent="0.2">
      <c r="B177" s="17">
        <f t="shared" ca="1" si="49"/>
        <v>50740</v>
      </c>
      <c r="C177" s="9">
        <f t="shared" si="62"/>
        <v>173</v>
      </c>
      <c r="D177" s="9"/>
      <c r="E177" s="13">
        <f t="shared" si="50"/>
        <v>2020.5940118216747</v>
      </c>
      <c r="F177" s="14">
        <f t="shared" si="51"/>
        <v>286526.97673830274</v>
      </c>
      <c r="G177" s="15">
        <f t="shared" si="52"/>
        <v>0.54103436454991338</v>
      </c>
      <c r="H177" s="13">
        <f t="shared" si="53"/>
        <v>7837.9186147843475</v>
      </c>
      <c r="I177" s="13">
        <f t="shared" si="54"/>
        <v>510454.55061909149</v>
      </c>
      <c r="J177" s="15">
        <f t="shared" si="46"/>
        <v>0.45896563545008662</v>
      </c>
      <c r="K177" s="13">
        <f t="shared" si="55"/>
        <v>243064.10935964703</v>
      </c>
      <c r="L177" s="13">
        <f t="shared" si="63"/>
        <v>13664935.61953464</v>
      </c>
      <c r="M177" s="15">
        <f t="shared" si="56"/>
        <v>0.45896563545008656</v>
      </c>
      <c r="N177" s="13">
        <f t="shared" si="47"/>
        <v>2928.7552087074696</v>
      </c>
      <c r="O177" s="13">
        <f t="shared" si="57"/>
        <v>267390.44125944376</v>
      </c>
      <c r="P177" s="15">
        <f t="shared" si="48"/>
        <v>0.33550393839873383</v>
      </c>
      <c r="Q177" s="7">
        <f t="shared" si="58"/>
        <v>796981.52735739353</v>
      </c>
      <c r="R177" s="7">
        <f t="shared" si="59"/>
        <v>529591.08609794977</v>
      </c>
      <c r="S177" s="13">
        <f>IF(Calc!$AD$32="Sim",R177,Q177)</f>
        <v>529591.08609794977</v>
      </c>
      <c r="T177" s="9">
        <f t="shared" si="60"/>
        <v>173</v>
      </c>
      <c r="U177" s="17">
        <f t="shared" ca="1" si="61"/>
        <v>50771</v>
      </c>
      <c r="V177" s="22"/>
      <c r="W177" s="22"/>
      <c r="X177" s="22"/>
    </row>
    <row r="178" spans="2:24" x14ac:dyDescent="0.2">
      <c r="B178" s="17">
        <f t="shared" ca="1" si="49"/>
        <v>50771</v>
      </c>
      <c r="C178" s="9">
        <f t="shared" si="62"/>
        <v>174</v>
      </c>
      <c r="D178" s="9"/>
      <c r="E178" s="13">
        <f t="shared" si="50"/>
        <v>2028.8261619423349</v>
      </c>
      <c r="F178" s="14">
        <f t="shared" si="51"/>
        <v>288555.80290024506</v>
      </c>
      <c r="G178" s="15">
        <f t="shared" si="52"/>
        <v>0.53940928953810607</v>
      </c>
      <c r="H178" s="13">
        <f t="shared" si="53"/>
        <v>7936.0865227022605</v>
      </c>
      <c r="I178" s="13">
        <f t="shared" si="54"/>
        <v>518390.63714179373</v>
      </c>
      <c r="J178" s="15">
        <f t="shared" si="46"/>
        <v>0.46059071046189393</v>
      </c>
      <c r="K178" s="13">
        <f t="shared" si="55"/>
        <v>246391.9788617898</v>
      </c>
      <c r="L178" s="13">
        <f t="shared" si="63"/>
        <v>13911327.59839643</v>
      </c>
      <c r="M178" s="15">
        <f t="shared" si="56"/>
        <v>0.46059071046189387</v>
      </c>
      <c r="N178" s="13">
        <f t="shared" si="47"/>
        <v>2965.3743635155338</v>
      </c>
      <c r="O178" s="13">
        <f t="shared" si="57"/>
        <v>271998.65828000323</v>
      </c>
      <c r="P178" s="15">
        <f t="shared" si="48"/>
        <v>0.337071514022459</v>
      </c>
      <c r="Q178" s="7">
        <f t="shared" si="58"/>
        <v>806946.4400420381</v>
      </c>
      <c r="R178" s="7">
        <f t="shared" si="59"/>
        <v>534947.78176203487</v>
      </c>
      <c r="S178" s="13">
        <f>IF(Calc!$AD$32="Sim",R178,Q178)</f>
        <v>534947.78176203487</v>
      </c>
      <c r="T178" s="9">
        <f t="shared" si="60"/>
        <v>174</v>
      </c>
      <c r="U178" s="17">
        <f t="shared" ca="1" si="61"/>
        <v>50802</v>
      </c>
      <c r="V178" s="22"/>
      <c r="W178" s="22"/>
      <c r="X178" s="22"/>
    </row>
    <row r="179" spans="2:24" x14ac:dyDescent="0.2">
      <c r="B179" s="17">
        <f t="shared" ca="1" si="49"/>
        <v>50802</v>
      </c>
      <c r="C179" s="9">
        <f t="shared" si="62"/>
        <v>175</v>
      </c>
      <c r="D179" s="9"/>
      <c r="E179" s="13">
        <f t="shared" si="50"/>
        <v>2037.0918508615921</v>
      </c>
      <c r="F179" s="14">
        <f t="shared" si="51"/>
        <v>290592.89475110668</v>
      </c>
      <c r="G179" s="15">
        <f t="shared" si="52"/>
        <v>0.53779008054861099</v>
      </c>
      <c r="H179" s="13">
        <f t="shared" si="53"/>
        <v>8035.313928284334</v>
      </c>
      <c r="I179" s="13">
        <f t="shared" si="54"/>
        <v>526425.95107007807</v>
      </c>
      <c r="J179" s="15">
        <f t="shared" si="46"/>
        <v>0.46220991945138901</v>
      </c>
      <c r="K179" s="13">
        <f t="shared" si="55"/>
        <v>249753.4323039903</v>
      </c>
      <c r="L179" s="13">
        <f t="shared" si="63"/>
        <v>14161081.030700421</v>
      </c>
      <c r="M179" s="15">
        <f t="shared" si="56"/>
        <v>0.46220991945138906</v>
      </c>
      <c r="N179" s="13">
        <f t="shared" si="47"/>
        <v>3002.3885349577536</v>
      </c>
      <c r="O179" s="13">
        <f t="shared" si="57"/>
        <v>276672.51876608701</v>
      </c>
      <c r="P179" s="15">
        <f t="shared" si="48"/>
        <v>0.33863664244856434</v>
      </c>
      <c r="Q179" s="7">
        <f t="shared" si="58"/>
        <v>817018.84582118399</v>
      </c>
      <c r="R179" s="7">
        <f t="shared" si="59"/>
        <v>540346.32705509698</v>
      </c>
      <c r="S179" s="13">
        <f>IF(Calc!$AD$32="Sim",R179,Q179)</f>
        <v>540346.32705509698</v>
      </c>
      <c r="T179" s="9">
        <f t="shared" si="60"/>
        <v>175</v>
      </c>
      <c r="U179" s="17">
        <f t="shared" ca="1" si="61"/>
        <v>50830</v>
      </c>
      <c r="V179" s="22"/>
      <c r="W179" s="22"/>
      <c r="X179" s="22"/>
    </row>
    <row r="180" spans="2:24" x14ac:dyDescent="0.2">
      <c r="B180" s="17">
        <f t="shared" ca="1" si="49"/>
        <v>50830</v>
      </c>
      <c r="C180" s="9">
        <f t="shared" si="62"/>
        <v>176</v>
      </c>
      <c r="D180" s="9"/>
      <c r="E180" s="13">
        <f t="shared" si="50"/>
        <v>2045.3912152206635</v>
      </c>
      <c r="F180" s="14">
        <f t="shared" si="51"/>
        <v>292638.28596632736</v>
      </c>
      <c r="G180" s="15">
        <f t="shared" si="52"/>
        <v>0.53617670703559261</v>
      </c>
      <c r="H180" s="13">
        <f t="shared" si="53"/>
        <v>8135.6117156372175</v>
      </c>
      <c r="I180" s="13">
        <f t="shared" si="54"/>
        <v>534561.56278571533</v>
      </c>
      <c r="J180" s="15">
        <f t="shared" si="46"/>
        <v>0.46382329296440739</v>
      </c>
      <c r="K180" s="13">
        <f t="shared" si="55"/>
        <v>253148.73187012883</v>
      </c>
      <c r="L180" s="13">
        <f t="shared" si="63"/>
        <v>14414229.762570551</v>
      </c>
      <c r="M180" s="15">
        <f t="shared" si="56"/>
        <v>0.46382329296440733</v>
      </c>
      <c r="N180" s="13">
        <f t="shared" si="47"/>
        <v>3039.8017802339455</v>
      </c>
      <c r="O180" s="13">
        <f t="shared" si="57"/>
        <v>281412.83091558574</v>
      </c>
      <c r="P180" s="15">
        <f t="shared" si="48"/>
        <v>0.34019932588254248</v>
      </c>
      <c r="Q180" s="7">
        <f t="shared" si="58"/>
        <v>827199.84875204193</v>
      </c>
      <c r="R180" s="7">
        <f t="shared" si="59"/>
        <v>545787.01783645619</v>
      </c>
      <c r="S180" s="13">
        <f>IF(Calc!$AD$32="Sim",R180,Q180)</f>
        <v>545787.01783645619</v>
      </c>
      <c r="T180" s="9">
        <f t="shared" si="60"/>
        <v>176</v>
      </c>
      <c r="U180" s="17">
        <f t="shared" ca="1" si="61"/>
        <v>50861</v>
      </c>
      <c r="V180" s="22"/>
      <c r="W180" s="22"/>
      <c r="X180" s="22"/>
    </row>
    <row r="181" spans="2:24" x14ac:dyDescent="0.2">
      <c r="B181" s="17">
        <f t="shared" ca="1" si="49"/>
        <v>50861</v>
      </c>
      <c r="C181" s="9">
        <f t="shared" si="62"/>
        <v>177</v>
      </c>
      <c r="D181" s="9"/>
      <c r="E181" s="13">
        <f t="shared" si="50"/>
        <v>2053.7243922174594</v>
      </c>
      <c r="F181" s="14">
        <f t="shared" si="51"/>
        <v>294692.01035854482</v>
      </c>
      <c r="G181" s="15">
        <f t="shared" si="52"/>
        <v>0.53456913876650014</v>
      </c>
      <c r="H181" s="13">
        <f t="shared" si="53"/>
        <v>8236.9908786086344</v>
      </c>
      <c r="I181" s="13">
        <f t="shared" si="54"/>
        <v>542798.55366432399</v>
      </c>
      <c r="J181" s="15">
        <f t="shared" si="46"/>
        <v>0.46543086123349986</v>
      </c>
      <c r="K181" s="13">
        <f t="shared" si="55"/>
        <v>256578.14159698418</v>
      </c>
      <c r="L181" s="13">
        <f t="shared" si="63"/>
        <v>14670807.904167535</v>
      </c>
      <c r="M181" s="15">
        <f t="shared" si="56"/>
        <v>0.4654308612334998</v>
      </c>
      <c r="N181" s="13">
        <f t="shared" si="47"/>
        <v>3077.6181974483961</v>
      </c>
      <c r="O181" s="13">
        <f t="shared" si="57"/>
        <v>286220.41206733906</v>
      </c>
      <c r="P181" s="15">
        <f t="shared" si="48"/>
        <v>0.34175956645109579</v>
      </c>
      <c r="Q181" s="7">
        <f t="shared" si="58"/>
        <v>837490.56402286806</v>
      </c>
      <c r="R181" s="7">
        <f t="shared" si="59"/>
        <v>551270.151955529</v>
      </c>
      <c r="S181" s="13">
        <f>IF(Calc!$AD$32="Sim",R181,Q181)</f>
        <v>551270.151955529</v>
      </c>
      <c r="T181" s="9">
        <f t="shared" si="60"/>
        <v>177</v>
      </c>
      <c r="U181" s="17">
        <f t="shared" ca="1" si="61"/>
        <v>50891</v>
      </c>
      <c r="V181" s="22"/>
      <c r="W181" s="22"/>
      <c r="X181" s="22"/>
    </row>
    <row r="182" spans="2:24" x14ac:dyDescent="0.2">
      <c r="B182" s="17">
        <f t="shared" ca="1" si="49"/>
        <v>50891</v>
      </c>
      <c r="C182" s="9">
        <f t="shared" si="62"/>
        <v>178</v>
      </c>
      <c r="D182" s="9"/>
      <c r="E182" s="13">
        <f t="shared" si="50"/>
        <v>2062.0915196088513</v>
      </c>
      <c r="F182" s="14">
        <f t="shared" si="51"/>
        <v>296754.10187815368</v>
      </c>
      <c r="G182" s="15">
        <f t="shared" si="52"/>
        <v>0.53296734581596295</v>
      </c>
      <c r="H182" s="13">
        <f t="shared" si="53"/>
        <v>8339.4625218856891</v>
      </c>
      <c r="I182" s="13">
        <f t="shared" si="54"/>
        <v>551138.01618620963</v>
      </c>
      <c r="J182" s="15">
        <f t="shared" si="46"/>
        <v>0.46703265418403705</v>
      </c>
      <c r="K182" s="13">
        <f t="shared" si="55"/>
        <v>260041.92738669511</v>
      </c>
      <c r="L182" s="13">
        <f t="shared" si="63"/>
        <v>14930849.83155423</v>
      </c>
      <c r="M182" s="15">
        <f t="shared" si="56"/>
        <v>0.46703265418403705</v>
      </c>
      <c r="N182" s="13">
        <f t="shared" si="47"/>
        <v>3115.8419260192322</v>
      </c>
      <c r="O182" s="13">
        <f t="shared" si="57"/>
        <v>291096.08879951376</v>
      </c>
      <c r="P182" s="15">
        <f t="shared" si="48"/>
        <v>0.34331736620462011</v>
      </c>
      <c r="Q182" s="7">
        <f t="shared" si="58"/>
        <v>847892.11806436256</v>
      </c>
      <c r="R182" s="7">
        <f t="shared" si="59"/>
        <v>556796.0292648488</v>
      </c>
      <c r="S182" s="13">
        <f>IF(Calc!$AD$32="Sim",R182,Q182)</f>
        <v>556796.0292648488</v>
      </c>
      <c r="T182" s="9">
        <f t="shared" si="60"/>
        <v>178</v>
      </c>
      <c r="U182" s="17">
        <f t="shared" ca="1" si="61"/>
        <v>50922</v>
      </c>
      <c r="V182" s="22"/>
      <c r="W182" s="22"/>
      <c r="X182" s="22"/>
    </row>
    <row r="183" spans="2:24" x14ac:dyDescent="0.2">
      <c r="B183" s="17">
        <f t="shared" ca="1" si="49"/>
        <v>50922</v>
      </c>
      <c r="C183" s="9">
        <f t="shared" si="62"/>
        <v>179</v>
      </c>
      <c r="D183" s="9"/>
      <c r="E183" s="13">
        <f t="shared" si="50"/>
        <v>2070.4927357129491</v>
      </c>
      <c r="F183" s="14">
        <f t="shared" si="51"/>
        <v>298824.59461386665</v>
      </c>
      <c r="G183" s="15">
        <f t="shared" si="52"/>
        <v>0.53137129855985399</v>
      </c>
      <c r="H183" s="13">
        <f t="shared" si="53"/>
        <v>8443.0378621041418</v>
      </c>
      <c r="I183" s="13">
        <f t="shared" si="54"/>
        <v>559581.05404831376</v>
      </c>
      <c r="J183" s="15">
        <f t="shared" si="46"/>
        <v>0.46862870144014601</v>
      </c>
      <c r="K183" s="13">
        <f t="shared" si="55"/>
        <v>263540.35701930267</v>
      </c>
      <c r="L183" s="13">
        <f t="shared" si="63"/>
        <v>15194390.188573534</v>
      </c>
      <c r="M183" s="15">
        <f t="shared" si="56"/>
        <v>0.46862870144014601</v>
      </c>
      <c r="N183" s="13">
        <f t="shared" si="47"/>
        <v>3154.4771470918708</v>
      </c>
      <c r="O183" s="13">
        <f t="shared" si="57"/>
        <v>296040.69702901028</v>
      </c>
      <c r="P183" s="15">
        <f t="shared" si="48"/>
        <v>0.34487272711961769</v>
      </c>
      <c r="Q183" s="7">
        <f t="shared" si="58"/>
        <v>858405.64866217959</v>
      </c>
      <c r="R183" s="7">
        <f t="shared" si="59"/>
        <v>562364.95163316932</v>
      </c>
      <c r="S183" s="13">
        <f>IF(Calc!$AD$32="Sim",R183,Q183)</f>
        <v>562364.95163316932</v>
      </c>
      <c r="T183" s="9">
        <f t="shared" si="60"/>
        <v>179</v>
      </c>
      <c r="U183" s="17">
        <f t="shared" ca="1" si="61"/>
        <v>50952</v>
      </c>
      <c r="V183" s="22"/>
      <c r="W183" s="22"/>
      <c r="X183" s="22"/>
    </row>
    <row r="184" spans="2:24" x14ac:dyDescent="0.2">
      <c r="B184" s="17">
        <f t="shared" ca="1" si="49"/>
        <v>50952</v>
      </c>
      <c r="C184" s="9">
        <f t="shared" si="62"/>
        <v>180</v>
      </c>
      <c r="D184" s="9">
        <v>15</v>
      </c>
      <c r="E184" s="13">
        <f t="shared" si="50"/>
        <v>2078.9281794113886</v>
      </c>
      <c r="F184" s="14">
        <f t="shared" si="51"/>
        <v>300903.52279327804</v>
      </c>
      <c r="G184" s="15">
        <f t="shared" si="52"/>
        <v>0.52978096766951255</v>
      </c>
      <c r="H184" s="13">
        <f t="shared" si="53"/>
        <v>8547.728228968741</v>
      </c>
      <c r="I184" s="13">
        <f t="shared" si="54"/>
        <v>568128.78227728244</v>
      </c>
      <c r="J184" s="15">
        <f t="shared" si="46"/>
        <v>0.47021903233048745</v>
      </c>
      <c r="K184" s="13">
        <f t="shared" si="55"/>
        <v>267073.70016537566</v>
      </c>
      <c r="L184" s="13">
        <f t="shared" si="63"/>
        <v>15461463.88873891</v>
      </c>
      <c r="M184" s="15">
        <f t="shared" si="56"/>
        <v>0.47021903233048745</v>
      </c>
      <c r="N184" s="13">
        <f t="shared" si="47"/>
        <v>3193.528083956598</v>
      </c>
      <c r="O184" s="13">
        <f t="shared" si="57"/>
        <v>301055.08211190591</v>
      </c>
      <c r="P184" s="15">
        <f t="shared" si="48"/>
        <v>0.34642565110103962</v>
      </c>
      <c r="Q184" s="7">
        <f t="shared" si="58"/>
        <v>869032.30507055961</v>
      </c>
      <c r="R184" s="7">
        <f t="shared" si="59"/>
        <v>567977.2229586537</v>
      </c>
      <c r="S184" s="13">
        <f>IF(Calc!$AD$32="Sim",R184,Q184)</f>
        <v>567977.2229586537</v>
      </c>
      <c r="T184" s="9">
        <f t="shared" si="60"/>
        <v>180</v>
      </c>
      <c r="U184" s="17">
        <f t="shared" ca="1" si="61"/>
        <v>50983</v>
      </c>
      <c r="V184" s="22"/>
      <c r="W184" s="22"/>
      <c r="X184" s="22"/>
    </row>
    <row r="185" spans="2:24" x14ac:dyDescent="0.2">
      <c r="B185" s="17">
        <f t="shared" ca="1" si="49"/>
        <v>50983</v>
      </c>
      <c r="C185" s="9">
        <f t="shared" si="62"/>
        <v>181</v>
      </c>
      <c r="D185" s="9"/>
      <c r="E185" s="13">
        <f t="shared" si="50"/>
        <v>2087.3979901516254</v>
      </c>
      <c r="F185" s="14">
        <f t="shared" si="51"/>
        <v>302990.92078342964</v>
      </c>
      <c r="G185" s="15">
        <f t="shared" si="52"/>
        <v>0.52819632410612338</v>
      </c>
      <c r="H185" s="13">
        <f t="shared" si="53"/>
        <v>8653.5450663847405</v>
      </c>
      <c r="I185" s="13">
        <f t="shared" si="54"/>
        <v>576782.32734366716</v>
      </c>
      <c r="J185" s="15">
        <f t="shared" si="46"/>
        <v>0.47180367589387662</v>
      </c>
      <c r="K185" s="13">
        <f t="shared" si="55"/>
        <v>270642.22839871759</v>
      </c>
      <c r="L185" s="13">
        <f t="shared" si="63"/>
        <v>15732106.117137628</v>
      </c>
      <c r="M185" s="15">
        <f t="shared" si="56"/>
        <v>0.47180367589387667</v>
      </c>
      <c r="N185" s="13">
        <f t="shared" si="47"/>
        <v>3232.9990024703147</v>
      </c>
      <c r="O185" s="13">
        <f t="shared" si="57"/>
        <v>306140.09894494875</v>
      </c>
      <c r="P185" s="15">
        <f t="shared" si="48"/>
        <v>0.34797613998456384</v>
      </c>
      <c r="Q185" s="7">
        <f t="shared" si="58"/>
        <v>879773.24812709598</v>
      </c>
      <c r="R185" s="7">
        <f t="shared" si="59"/>
        <v>573633.14918214723</v>
      </c>
      <c r="S185" s="13">
        <f>IF(Calc!$AD$32="Sim",R185,Q185)</f>
        <v>573633.14918214723</v>
      </c>
      <c r="T185" s="9">
        <f t="shared" si="60"/>
        <v>181</v>
      </c>
      <c r="U185" s="17">
        <f t="shared" ca="1" si="61"/>
        <v>51014</v>
      </c>
      <c r="V185" s="22"/>
      <c r="W185" s="22"/>
      <c r="X185" s="22"/>
    </row>
    <row r="186" spans="2:24" x14ac:dyDescent="0.2">
      <c r="B186" s="17">
        <f t="shared" ca="1" si="49"/>
        <v>51014</v>
      </c>
      <c r="C186" s="9">
        <f t="shared" si="62"/>
        <v>182</v>
      </c>
      <c r="D186" s="9"/>
      <c r="E186" s="13">
        <f t="shared" si="50"/>
        <v>2095.9023079492417</v>
      </c>
      <c r="F186" s="14">
        <f t="shared" si="51"/>
        <v>305086.8230913789</v>
      </c>
      <c r="G186" s="15">
        <f t="shared" si="52"/>
        <v>0.52661733911524589</v>
      </c>
      <c r="H186" s="13">
        <f t="shared" si="53"/>
        <v>8760.4999336007095</v>
      </c>
      <c r="I186" s="13">
        <f t="shared" si="54"/>
        <v>585542.82727726782</v>
      </c>
      <c r="J186" s="15">
        <f t="shared" si="46"/>
        <v>0.47338266088475411</v>
      </c>
      <c r="K186" s="13">
        <f t="shared" si="55"/>
        <v>274246.21520915674</v>
      </c>
      <c r="L186" s="13">
        <f t="shared" si="63"/>
        <v>16006352.332346784</v>
      </c>
      <c r="M186" s="15">
        <f t="shared" si="56"/>
        <v>0.47338266088475411</v>
      </c>
      <c r="N186" s="13">
        <f t="shared" si="47"/>
        <v>3272.8942114824863</v>
      </c>
      <c r="O186" s="13">
        <f t="shared" si="57"/>
        <v>311296.61206811026</v>
      </c>
      <c r="P186" s="15">
        <f t="shared" si="48"/>
        <v>0.34952419553880743</v>
      </c>
      <c r="Q186" s="7">
        <f t="shared" si="58"/>
        <v>890629.6503686459</v>
      </c>
      <c r="R186" s="7">
        <f t="shared" si="59"/>
        <v>579333.03830053564</v>
      </c>
      <c r="S186" s="13">
        <f>IF(Calc!$AD$32="Sim",R186,Q186)</f>
        <v>579333.03830053564</v>
      </c>
      <c r="T186" s="9">
        <f t="shared" si="60"/>
        <v>182</v>
      </c>
      <c r="U186" s="17">
        <f t="shared" ca="1" si="61"/>
        <v>51044</v>
      </c>
      <c r="V186" s="22"/>
      <c r="W186" s="22"/>
      <c r="X186" s="22"/>
    </row>
    <row r="187" spans="2:24" x14ac:dyDescent="0.2">
      <c r="B187" s="17">
        <f t="shared" ca="1" si="49"/>
        <v>51044</v>
      </c>
      <c r="C187" s="9">
        <f t="shared" si="62"/>
        <v>183</v>
      </c>
      <c r="D187" s="9"/>
      <c r="E187" s="13">
        <f t="shared" si="50"/>
        <v>2104.4412733902614</v>
      </c>
      <c r="F187" s="14">
        <f t="shared" si="51"/>
        <v>307191.26436476916</v>
      </c>
      <c r="G187" s="15">
        <f t="shared" si="52"/>
        <v>0.52504398422148801</v>
      </c>
      <c r="H187" s="13">
        <f t="shared" si="53"/>
        <v>8868.6045063627371</v>
      </c>
      <c r="I187" s="13">
        <f t="shared" si="54"/>
        <v>594411.43178363051</v>
      </c>
      <c r="J187" s="15">
        <f t="shared" si="46"/>
        <v>0.47495601577851199</v>
      </c>
      <c r="K187" s="13">
        <f t="shared" si="55"/>
        <v>277885.93601542135</v>
      </c>
      <c r="L187" s="13">
        <f t="shared" si="63"/>
        <v>16284238.268362205</v>
      </c>
      <c r="M187" s="15">
        <f t="shared" si="56"/>
        <v>0.47495601577851193</v>
      </c>
      <c r="N187" s="13">
        <f t="shared" si="47"/>
        <v>3313.2180632653467</v>
      </c>
      <c r="O187" s="13">
        <f t="shared" si="57"/>
        <v>316525.49576820841</v>
      </c>
      <c r="P187" s="15">
        <f t="shared" si="48"/>
        <v>0.3510698194674764</v>
      </c>
      <c r="Q187" s="7">
        <f t="shared" si="58"/>
        <v>901602.69614839891</v>
      </c>
      <c r="R187" s="7">
        <f t="shared" si="59"/>
        <v>585077.20038019051</v>
      </c>
      <c r="S187" s="13">
        <f>IF(Calc!$AD$32="Sim",R187,Q187)</f>
        <v>585077.20038019051</v>
      </c>
      <c r="T187" s="9">
        <f t="shared" si="60"/>
        <v>183</v>
      </c>
      <c r="U187" s="17">
        <f t="shared" ca="1" si="61"/>
        <v>51075</v>
      </c>
      <c r="V187" s="22"/>
      <c r="W187" s="22"/>
      <c r="X187" s="22"/>
    </row>
    <row r="188" spans="2:24" x14ac:dyDescent="0.2">
      <c r="B188" s="17">
        <f t="shared" ca="1" si="49"/>
        <v>51075</v>
      </c>
      <c r="C188" s="9">
        <f t="shared" si="62"/>
        <v>184</v>
      </c>
      <c r="D188" s="9"/>
      <c r="E188" s="13">
        <f t="shared" si="50"/>
        <v>2113.0150276334721</v>
      </c>
      <c r="F188" s="14">
        <f t="shared" si="51"/>
        <v>309304.27939240262</v>
      </c>
      <c r="G188" s="15">
        <f t="shared" si="52"/>
        <v>0.5234762312233231</v>
      </c>
      <c r="H188" s="13">
        <f t="shared" si="53"/>
        <v>8977.8705780801574</v>
      </c>
      <c r="I188" s="13">
        <f t="shared" si="54"/>
        <v>603389.3023617107</v>
      </c>
      <c r="J188" s="15">
        <f t="shared" si="46"/>
        <v>0.4765237687766769</v>
      </c>
      <c r="K188" s="13">
        <f t="shared" si="55"/>
        <v>281561.66817809676</v>
      </c>
      <c r="L188" s="13">
        <f t="shared" si="63"/>
        <v>16565799.936540302</v>
      </c>
      <c r="M188" s="15">
        <f t="shared" si="56"/>
        <v>0.47652376877667696</v>
      </c>
      <c r="N188" s="13">
        <f t="shared" si="47"/>
        <v>3353.9749539483932</v>
      </c>
      <c r="O188" s="13">
        <f t="shared" si="57"/>
        <v>321827.63418361323</v>
      </c>
      <c r="P188" s="15">
        <f t="shared" si="48"/>
        <v>0.35261301341145657</v>
      </c>
      <c r="Q188" s="7">
        <f t="shared" si="58"/>
        <v>912693.58175411262</v>
      </c>
      <c r="R188" s="7">
        <f t="shared" si="59"/>
        <v>590865.94757049938</v>
      </c>
      <c r="S188" s="13">
        <f>IF(Calc!$AD$32="Sim",R188,Q188)</f>
        <v>590865.94757049938</v>
      </c>
      <c r="T188" s="9">
        <f t="shared" si="60"/>
        <v>184</v>
      </c>
      <c r="U188" s="17">
        <f t="shared" ca="1" si="61"/>
        <v>51105</v>
      </c>
      <c r="V188" s="22"/>
      <c r="W188" s="22"/>
      <c r="X188" s="22"/>
    </row>
    <row r="189" spans="2:24" x14ac:dyDescent="0.2">
      <c r="B189" s="17">
        <f t="shared" ca="1" si="49"/>
        <v>51105</v>
      </c>
      <c r="C189" s="9">
        <f t="shared" si="62"/>
        <v>185</v>
      </c>
      <c r="D189" s="9"/>
      <c r="E189" s="13">
        <f t="shared" si="50"/>
        <v>2121.6237124127601</v>
      </c>
      <c r="F189" s="14">
        <f t="shared" si="51"/>
        <v>311425.9031048154</v>
      </c>
      <c r="G189" s="15">
        <f t="shared" si="52"/>
        <v>0.52191405218804043</v>
      </c>
      <c r="H189" s="13">
        <f t="shared" si="53"/>
        <v>9088.3100610029123</v>
      </c>
      <c r="I189" s="13">
        <f t="shared" si="54"/>
        <v>612477.61242271366</v>
      </c>
      <c r="J189" s="15">
        <f t="shared" si="46"/>
        <v>0.47808594781195957</v>
      </c>
      <c r="K189" s="13">
        <f t="shared" si="55"/>
        <v>285273.69101266924</v>
      </c>
      <c r="L189" s="13">
        <f t="shared" si="63"/>
        <v>16851073.627552971</v>
      </c>
      <c r="M189" s="15">
        <f t="shared" si="56"/>
        <v>0.47808594781195962</v>
      </c>
      <c r="N189" s="13">
        <f t="shared" si="47"/>
        <v>3395.169323957216</v>
      </c>
      <c r="O189" s="13">
        <f t="shared" si="57"/>
        <v>327203.92141004372</v>
      </c>
      <c r="P189" s="15">
        <f t="shared" si="48"/>
        <v>0.35415377895084377</v>
      </c>
      <c r="Q189" s="7">
        <f t="shared" si="58"/>
        <v>923903.51552752836</v>
      </c>
      <c r="R189" s="7">
        <f t="shared" si="59"/>
        <v>596699.59411748464</v>
      </c>
      <c r="S189" s="13">
        <f>IF(Calc!$AD$32="Sim",R189,Q189)</f>
        <v>596699.59411748464</v>
      </c>
      <c r="T189" s="9">
        <f t="shared" si="60"/>
        <v>185</v>
      </c>
      <c r="U189" s="17">
        <f t="shared" ca="1" si="61"/>
        <v>51136</v>
      </c>
      <c r="V189" s="22"/>
      <c r="W189" s="22"/>
      <c r="X189" s="22"/>
    </row>
    <row r="190" spans="2:24" x14ac:dyDescent="0.2">
      <c r="B190" s="17">
        <f t="shared" ca="1" si="49"/>
        <v>51136</v>
      </c>
      <c r="C190" s="9">
        <f t="shared" si="62"/>
        <v>186</v>
      </c>
      <c r="D190" s="9"/>
      <c r="E190" s="13">
        <f t="shared" si="50"/>
        <v>2130.2674700394532</v>
      </c>
      <c r="F190" s="14">
        <f t="shared" si="51"/>
        <v>313556.17057485483</v>
      </c>
      <c r="G190" s="15">
        <f t="shared" si="52"/>
        <v>0.52035741944683034</v>
      </c>
      <c r="H190" s="13">
        <f t="shared" si="53"/>
        <v>9199.934987410641</v>
      </c>
      <c r="I190" s="13">
        <f t="shared" si="54"/>
        <v>621677.54741012433</v>
      </c>
      <c r="J190" s="15">
        <f t="shared" si="46"/>
        <v>0.47964258055316966</v>
      </c>
      <c r="K190" s="13">
        <f t="shared" si="55"/>
        <v>289022.28580265387</v>
      </c>
      <c r="L190" s="13">
        <f t="shared" si="63"/>
        <v>17140095.913355626</v>
      </c>
      <c r="M190" s="15">
        <f t="shared" si="56"/>
        <v>0.47964258055316972</v>
      </c>
      <c r="N190" s="13">
        <f t="shared" si="47"/>
        <v>3436.8056584567062</v>
      </c>
      <c r="O190" s="13">
        <f t="shared" si="57"/>
        <v>332655.26160746976</v>
      </c>
      <c r="P190" s="15">
        <f t="shared" si="48"/>
        <v>0.35569211760691971</v>
      </c>
      <c r="Q190" s="7">
        <f t="shared" si="58"/>
        <v>935233.71798497846</v>
      </c>
      <c r="R190" s="7">
        <f t="shared" si="59"/>
        <v>602578.4563775087</v>
      </c>
      <c r="S190" s="13">
        <f>IF(Calc!$AD$32="Sim",R190,Q190)</f>
        <v>602578.4563775087</v>
      </c>
      <c r="T190" s="9">
        <f t="shared" si="60"/>
        <v>186</v>
      </c>
      <c r="U190" s="17">
        <f t="shared" ca="1" si="61"/>
        <v>51167</v>
      </c>
      <c r="V190" s="22"/>
      <c r="W190" s="22"/>
      <c r="X190" s="22"/>
    </row>
    <row r="191" spans="2:24" x14ac:dyDescent="0.2">
      <c r="B191" s="17">
        <f t="shared" ca="1" si="49"/>
        <v>51167</v>
      </c>
      <c r="C191" s="9">
        <f t="shared" si="62"/>
        <v>187</v>
      </c>
      <c r="D191" s="9"/>
      <c r="E191" s="13">
        <f t="shared" si="50"/>
        <v>2138.9464434046731</v>
      </c>
      <c r="F191" s="14">
        <f t="shared" si="51"/>
        <v>315695.11701825948</v>
      </c>
      <c r="G191" s="15">
        <f t="shared" si="52"/>
        <v>0.51880630558999585</v>
      </c>
      <c r="H191" s="13">
        <f t="shared" si="53"/>
        <v>9312.7575108136662</v>
      </c>
      <c r="I191" s="13">
        <f t="shared" si="54"/>
        <v>630990.30492093798</v>
      </c>
      <c r="J191" s="15">
        <f t="shared" si="46"/>
        <v>0.48119369441000415</v>
      </c>
      <c r="K191" s="13">
        <f t="shared" si="55"/>
        <v>292807.73581280874</v>
      </c>
      <c r="L191" s="13">
        <f t="shared" si="63"/>
        <v>17432903.649168435</v>
      </c>
      <c r="M191" s="15">
        <f t="shared" si="56"/>
        <v>0.48119369441000409</v>
      </c>
      <c r="N191" s="13">
        <f t="shared" si="47"/>
        <v>3478.8884877986875</v>
      </c>
      <c r="O191" s="13">
        <f t="shared" si="57"/>
        <v>338182.56910812855</v>
      </c>
      <c r="P191" s="15">
        <f t="shared" si="48"/>
        <v>0.35722803084407184</v>
      </c>
      <c r="Q191" s="7">
        <f t="shared" si="58"/>
        <v>946685.42193919676</v>
      </c>
      <c r="R191" s="7">
        <f t="shared" si="59"/>
        <v>608502.85283106822</v>
      </c>
      <c r="S191" s="13">
        <f>IF(Calc!$AD$32="Sim",R191,Q191)</f>
        <v>608502.85283106822</v>
      </c>
      <c r="T191" s="9">
        <f t="shared" si="60"/>
        <v>187</v>
      </c>
      <c r="U191" s="17">
        <f t="shared" ca="1" si="61"/>
        <v>51196</v>
      </c>
      <c r="V191" s="22"/>
      <c r="W191" s="22"/>
      <c r="X191" s="22"/>
    </row>
    <row r="192" spans="2:24" x14ac:dyDescent="0.2">
      <c r="B192" s="17">
        <f t="shared" ca="1" si="49"/>
        <v>51196</v>
      </c>
      <c r="C192" s="9">
        <f t="shared" si="62"/>
        <v>188</v>
      </c>
      <c r="D192" s="9"/>
      <c r="E192" s="13">
        <f t="shared" si="50"/>
        <v>2147.660775981698</v>
      </c>
      <c r="F192" s="14">
        <f t="shared" si="51"/>
        <v>317842.77779424121</v>
      </c>
      <c r="G192" s="15">
        <f t="shared" si="52"/>
        <v>0.51726068346228915</v>
      </c>
      <c r="H192" s="13">
        <f t="shared" si="53"/>
        <v>9426.7899071659267</v>
      </c>
      <c r="I192" s="13">
        <f t="shared" si="54"/>
        <v>640417.0948281039</v>
      </c>
      <c r="J192" s="15">
        <f t="shared" si="46"/>
        <v>0.48273931653771085</v>
      </c>
      <c r="K192" s="13">
        <f t="shared" si="55"/>
        <v>296630.32630243525</v>
      </c>
      <c r="L192" s="13">
        <f t="shared" si="63"/>
        <v>17729533.975470871</v>
      </c>
      <c r="M192" s="15">
        <f t="shared" si="56"/>
        <v>0.48273931653771085</v>
      </c>
      <c r="N192" s="13">
        <f t="shared" si="47"/>
        <v>3521.4223879740111</v>
      </c>
      <c r="O192" s="13">
        <f t="shared" si="57"/>
        <v>343786.76852566795</v>
      </c>
      <c r="P192" s="15">
        <f t="shared" si="48"/>
        <v>0.3587615200716604</v>
      </c>
      <c r="Q192" s="7">
        <f t="shared" si="58"/>
        <v>958259.87262234441</v>
      </c>
      <c r="R192" s="7">
        <f t="shared" si="59"/>
        <v>614473.10409667646</v>
      </c>
      <c r="S192" s="13">
        <f>IF(Calc!$AD$32="Sim",R192,Q192)</f>
        <v>614473.10409667646</v>
      </c>
      <c r="T192" s="9">
        <f t="shared" si="60"/>
        <v>188</v>
      </c>
      <c r="U192" s="17">
        <f t="shared" ca="1" si="61"/>
        <v>51227</v>
      </c>
      <c r="V192" s="22"/>
      <c r="W192" s="22"/>
      <c r="X192" s="22"/>
    </row>
    <row r="193" spans="2:24" x14ac:dyDescent="0.2">
      <c r="B193" s="17">
        <f t="shared" ca="1" si="49"/>
        <v>51227</v>
      </c>
      <c r="C193" s="9">
        <f t="shared" si="62"/>
        <v>189</v>
      </c>
      <c r="D193" s="9"/>
      <c r="E193" s="13">
        <f t="shared" si="50"/>
        <v>2156.4106118283335</v>
      </c>
      <c r="F193" s="14">
        <f t="shared" si="51"/>
        <v>319999.18840606953</v>
      </c>
      <c r="G193" s="15">
        <f t="shared" si="52"/>
        <v>0.51572052615836661</v>
      </c>
      <c r="H193" s="13">
        <f t="shared" si="53"/>
        <v>9542.0445760900402</v>
      </c>
      <c r="I193" s="13">
        <f t="shared" si="54"/>
        <v>649959.13940419396</v>
      </c>
      <c r="J193" s="15">
        <f t="shared" si="46"/>
        <v>0.48427947384163339</v>
      </c>
      <c r="K193" s="13">
        <f t="shared" si="55"/>
        <v>300490.34453876561</v>
      </c>
      <c r="L193" s="13">
        <f t="shared" si="63"/>
        <v>18030024.320009638</v>
      </c>
      <c r="M193" s="15">
        <f t="shared" si="56"/>
        <v>0.48427947384163339</v>
      </c>
      <c r="N193" s="13">
        <f t="shared" si="47"/>
        <v>3564.4119810691627</v>
      </c>
      <c r="O193" s="13">
        <f t="shared" si="57"/>
        <v>349468.79486542766</v>
      </c>
      <c r="P193" s="15">
        <f t="shared" si="48"/>
        <v>0.3602925866458343</v>
      </c>
      <c r="Q193" s="7">
        <f t="shared" si="58"/>
        <v>969958.3278102628</v>
      </c>
      <c r="R193" s="7">
        <f t="shared" si="59"/>
        <v>620489.53294483514</v>
      </c>
      <c r="S193" s="13">
        <f>IF(Calc!$AD$32="Sim",R193,Q193)</f>
        <v>620489.53294483514</v>
      </c>
      <c r="T193" s="9">
        <f t="shared" si="60"/>
        <v>189</v>
      </c>
      <c r="U193" s="17">
        <f t="shared" ca="1" si="61"/>
        <v>51257</v>
      </c>
      <c r="V193" s="22"/>
      <c r="W193" s="22"/>
      <c r="X193" s="22"/>
    </row>
    <row r="194" spans="2:24" x14ac:dyDescent="0.2">
      <c r="B194" s="17">
        <f t="shared" ca="1" si="49"/>
        <v>51257</v>
      </c>
      <c r="C194" s="9">
        <f t="shared" si="62"/>
        <v>190</v>
      </c>
      <c r="D194" s="9"/>
      <c r="E194" s="13">
        <f t="shared" si="50"/>
        <v>2165.1960955892951</v>
      </c>
      <c r="F194" s="14">
        <f t="shared" si="51"/>
        <v>322164.38450165885</v>
      </c>
      <c r="G194" s="15">
        <f t="shared" si="52"/>
        <v>0.51418580701836203</v>
      </c>
      <c r="H194" s="13">
        <f t="shared" si="53"/>
        <v>9658.5340421145665</v>
      </c>
      <c r="I194" s="13">
        <f t="shared" si="54"/>
        <v>659617.67344630859</v>
      </c>
      <c r="J194" s="15">
        <f t="shared" si="46"/>
        <v>0.48581419298163797</v>
      </c>
      <c r="K194" s="13">
        <f t="shared" si="55"/>
        <v>304388.07981043775</v>
      </c>
      <c r="L194" s="13">
        <f t="shared" si="63"/>
        <v>18334412.399820074</v>
      </c>
      <c r="M194" s="15">
        <f t="shared" si="56"/>
        <v>0.48581419298163797</v>
      </c>
      <c r="N194" s="13">
        <f t="shared" si="47"/>
        <v>3607.8619357274256</v>
      </c>
      <c r="O194" s="13">
        <f t="shared" si="57"/>
        <v>355229.59363587014</v>
      </c>
      <c r="P194" s="15">
        <f t="shared" si="48"/>
        <v>0.36182123187129672</v>
      </c>
      <c r="Q194" s="7">
        <f t="shared" si="58"/>
        <v>981782.05794796674</v>
      </c>
      <c r="R194" s="7">
        <f t="shared" si="59"/>
        <v>626552.46431209659</v>
      </c>
      <c r="S194" s="13">
        <f>IF(Calc!$AD$32="Sim",R194,Q194)</f>
        <v>626552.46431209659</v>
      </c>
      <c r="T194" s="9">
        <f t="shared" si="60"/>
        <v>190</v>
      </c>
      <c r="U194" s="17">
        <f t="shared" ca="1" si="61"/>
        <v>51288</v>
      </c>
      <c r="V194" s="22"/>
      <c r="W194" s="22"/>
      <c r="X194" s="22"/>
    </row>
    <row r="195" spans="2:24" x14ac:dyDescent="0.2">
      <c r="B195" s="17">
        <f t="shared" ca="1" si="49"/>
        <v>51288</v>
      </c>
      <c r="C195" s="9">
        <f t="shared" si="62"/>
        <v>191</v>
      </c>
      <c r="D195" s="9"/>
      <c r="E195" s="13">
        <f t="shared" si="50"/>
        <v>2174.017372498598</v>
      </c>
      <c r="F195" s="14">
        <f t="shared" si="51"/>
        <v>324338.40187415743</v>
      </c>
      <c r="G195" s="15">
        <f t="shared" si="52"/>
        <v>0.51265649962357118</v>
      </c>
      <c r="H195" s="13">
        <f t="shared" si="53"/>
        <v>9776.2709559236409</v>
      </c>
      <c r="I195" s="13">
        <f t="shared" si="54"/>
        <v>669393.94440223218</v>
      </c>
      <c r="J195" s="15">
        <f t="shared" si="46"/>
        <v>0.48734350037642882</v>
      </c>
      <c r="K195" s="13">
        <f t="shared" si="55"/>
        <v>308323.82344105799</v>
      </c>
      <c r="L195" s="13">
        <f t="shared" si="63"/>
        <v>18642736.223261133</v>
      </c>
      <c r="M195" s="15">
        <f t="shared" si="56"/>
        <v>0.48734350037642882</v>
      </c>
      <c r="N195" s="13">
        <f t="shared" si="47"/>
        <v>3651.7769676146427</v>
      </c>
      <c r="O195" s="13">
        <f t="shared" si="57"/>
        <v>361070.12096117355</v>
      </c>
      <c r="P195" s="15">
        <f t="shared" si="48"/>
        <v>0.36334745700302318</v>
      </c>
      <c r="Q195" s="7">
        <f t="shared" si="58"/>
        <v>993732.34627638897</v>
      </c>
      <c r="R195" s="7">
        <f t="shared" si="59"/>
        <v>632662.22531521542</v>
      </c>
      <c r="S195" s="13">
        <f>IF(Calc!$AD$32="Sim",R195,Q195)</f>
        <v>632662.22531521542</v>
      </c>
      <c r="T195" s="9">
        <f t="shared" si="60"/>
        <v>191</v>
      </c>
      <c r="U195" s="17">
        <f t="shared" ca="1" si="61"/>
        <v>51318</v>
      </c>
      <c r="V195" s="22"/>
      <c r="W195" s="22"/>
      <c r="X195" s="22"/>
    </row>
    <row r="196" spans="2:24" x14ac:dyDescent="0.2">
      <c r="B196" s="17">
        <f t="shared" ca="1" si="49"/>
        <v>51318</v>
      </c>
      <c r="C196" s="9">
        <f t="shared" si="62"/>
        <v>192</v>
      </c>
      <c r="D196" s="9">
        <v>16</v>
      </c>
      <c r="E196" s="13">
        <f t="shared" si="50"/>
        <v>2182.8745883819593</v>
      </c>
      <c r="F196" s="14">
        <f t="shared" si="51"/>
        <v>326521.27646253939</v>
      </c>
      <c r="G196" s="15">
        <f t="shared" si="52"/>
        <v>0.51113257779224663</v>
      </c>
      <c r="H196" s="13">
        <f t="shared" si="53"/>
        <v>9895.2680956190361</v>
      </c>
      <c r="I196" s="13">
        <f t="shared" si="54"/>
        <v>679289.21249785123</v>
      </c>
      <c r="J196" s="15">
        <f t="shared" si="46"/>
        <v>0.48886742220775337</v>
      </c>
      <c r="K196" s="13">
        <f t="shared" si="55"/>
        <v>312297.8688028524</v>
      </c>
      <c r="L196" s="13">
        <f t="shared" si="63"/>
        <v>18955034.092063986</v>
      </c>
      <c r="M196" s="15">
        <f t="shared" si="56"/>
        <v>0.48886742220775337</v>
      </c>
      <c r="N196" s="13">
        <f t="shared" si="47"/>
        <v>3696.1618398896271</v>
      </c>
      <c r="O196" s="13">
        <f t="shared" si="57"/>
        <v>366991.34369499818</v>
      </c>
      <c r="P196" s="15">
        <f t="shared" si="48"/>
        <v>0.36487126324793251</v>
      </c>
      <c r="Q196" s="7">
        <f t="shared" si="58"/>
        <v>1005810.48896039</v>
      </c>
      <c r="R196" s="7">
        <f t="shared" si="59"/>
        <v>638819.14526539179</v>
      </c>
      <c r="S196" s="13">
        <f>IF(Calc!$AD$32="Sim",R196,Q196)</f>
        <v>638819.14526539179</v>
      </c>
      <c r="T196" s="9">
        <f t="shared" si="60"/>
        <v>192</v>
      </c>
      <c r="U196" s="17">
        <f t="shared" ca="1" si="61"/>
        <v>51349</v>
      </c>
      <c r="V196" s="22"/>
      <c r="W196" s="22"/>
      <c r="X196" s="22"/>
    </row>
    <row r="197" spans="2:24" x14ac:dyDescent="0.2">
      <c r="B197" s="17">
        <f t="shared" ca="1" si="49"/>
        <v>51349</v>
      </c>
      <c r="C197" s="9">
        <f t="shared" si="62"/>
        <v>193</v>
      </c>
      <c r="D197" s="9"/>
      <c r="E197" s="13">
        <f t="shared" si="50"/>
        <v>2191.7678896592079</v>
      </c>
      <c r="F197" s="14">
        <f t="shared" si="51"/>
        <v>328713.0443521986</v>
      </c>
      <c r="G197" s="15">
        <f t="shared" si="52"/>
        <v>0.50961401557549746</v>
      </c>
      <c r="H197" s="13">
        <f t="shared" si="53"/>
        <v>10015.538367994863</v>
      </c>
      <c r="I197" s="13">
        <f t="shared" si="54"/>
        <v>689304.75086584606</v>
      </c>
      <c r="J197" s="15">
        <f t="shared" ref="J197:J260" si="64">1-G197</f>
        <v>0.49038598442450254</v>
      </c>
      <c r="K197" s="13">
        <f t="shared" si="55"/>
        <v>316310.51133040793</v>
      </c>
      <c r="L197" s="13">
        <f t="shared" si="63"/>
        <v>19271344.603394393</v>
      </c>
      <c r="M197" s="15">
        <f t="shared" si="56"/>
        <v>0.49038598442450254</v>
      </c>
      <c r="N197" s="13">
        <f t="shared" ref="N197:N260" si="65">Q197*Inflação</f>
        <v>3741.0213636792655</v>
      </c>
      <c r="O197" s="13">
        <f t="shared" si="57"/>
        <v>372994.23953543743</v>
      </c>
      <c r="P197" s="15">
        <f t="shared" ref="P197:P260" si="66">O197/Q197</f>
        <v>0.36639265176651231</v>
      </c>
      <c r="Q197" s="7">
        <f t="shared" si="58"/>
        <v>1018017.795218044</v>
      </c>
      <c r="R197" s="7">
        <f t="shared" si="59"/>
        <v>645023.55568260653</v>
      </c>
      <c r="S197" s="13">
        <f>IF(Calc!$AD$32="Sim",R197,Q197)</f>
        <v>645023.55568260653</v>
      </c>
      <c r="T197" s="9">
        <f t="shared" si="60"/>
        <v>193</v>
      </c>
      <c r="U197" s="17">
        <f t="shared" ca="1" si="61"/>
        <v>51380</v>
      </c>
      <c r="V197" s="22"/>
      <c r="W197" s="22"/>
      <c r="X197" s="22"/>
    </row>
    <row r="198" spans="2:24" x14ac:dyDescent="0.2">
      <c r="B198" s="17">
        <f t="shared" ref="B198:B261" ca="1" si="67">DATE(YEAR(B197),MONTH(B197)+1,1)</f>
        <v>51380</v>
      </c>
      <c r="C198" s="9">
        <f t="shared" si="62"/>
        <v>194</v>
      </c>
      <c r="D198" s="9"/>
      <c r="E198" s="13">
        <f t="shared" ref="E198:E261" si="68">IF($AE$33,IF($AE$34,$E197*(1+Inflação)*(1+Crescimento_Salário),$E197*(1+Inflação)),IF($AE$34,$E197*(1+Crescimento_Salário),$E197))</f>
        <v>2200.6974233467054</v>
      </c>
      <c r="F198" s="14">
        <f t="shared" ref="F198:F261" si="69">F197+E198</f>
        <v>330913.74177554529</v>
      </c>
      <c r="G198" s="15">
        <f t="shared" ref="G198:G261" si="70">IF(F198&lt;=0,0,F198/S198)</f>
        <v>0.50810078725329211</v>
      </c>
      <c r="H198" s="13">
        <f t="shared" ref="H198:H261" si="71">Q197*Taxa</f>
        <v>10137.094809824941</v>
      </c>
      <c r="I198" s="13">
        <f t="shared" ref="I198:I261" si="72">I197+H198</f>
        <v>699441.84567567101</v>
      </c>
      <c r="J198" s="15">
        <f t="shared" si="64"/>
        <v>0.49189921274670789</v>
      </c>
      <c r="K198" s="13">
        <f t="shared" ref="K198:K261" si="73">R198-F198</f>
        <v>320362.04853450251</v>
      </c>
      <c r="L198" s="13">
        <f t="shared" si="63"/>
        <v>19591706.651928894</v>
      </c>
      <c r="M198" s="15">
        <f t="shared" ref="M198:M261" si="74">K198/R198</f>
        <v>0.49189921274670789</v>
      </c>
      <c r="N198" s="13">
        <f t="shared" si="65"/>
        <v>3786.3603985583613</v>
      </c>
      <c r="O198" s="13">
        <f t="shared" ref="O198:O261" si="75">Q198-R198</f>
        <v>379079.7971411678</v>
      </c>
      <c r="P198" s="15">
        <f t="shared" si="66"/>
        <v>0.36791162367440078</v>
      </c>
      <c r="Q198" s="7">
        <f t="shared" ref="Q198:Q261" si="76">Q197+E198+H198</f>
        <v>1030355.5874512156</v>
      </c>
      <c r="R198" s="7">
        <f t="shared" ref="R198:R261" si="77">(R197+E198)*(1+((1+Taxa)/(1+Inflação)-1))</f>
        <v>651275.7903100478</v>
      </c>
      <c r="S198" s="13">
        <f>IF(Calc!$AD$32="Sim",R198,Q198)</f>
        <v>651275.7903100478</v>
      </c>
      <c r="T198" s="9">
        <f t="shared" ref="T198:T261" si="78">C198</f>
        <v>194</v>
      </c>
      <c r="U198" s="17">
        <f t="shared" ref="U198:U261" ca="1" si="79">DATE(YEAR(U197),MONTH(U197)+1,1)</f>
        <v>51410</v>
      </c>
      <c r="V198" s="22"/>
      <c r="W198" s="22"/>
      <c r="X198" s="22"/>
    </row>
    <row r="199" spans="2:24" x14ac:dyDescent="0.2">
      <c r="B199" s="17">
        <f t="shared" ca="1" si="67"/>
        <v>51410</v>
      </c>
      <c r="C199" s="9">
        <f t="shared" ref="C199:C262" si="80">C198+1</f>
        <v>195</v>
      </c>
      <c r="D199" s="9"/>
      <c r="E199" s="13">
        <f t="shared" si="68"/>
        <v>2209.663337059776</v>
      </c>
      <c r="F199" s="14">
        <f t="shared" si="69"/>
        <v>333123.40511260508</v>
      </c>
      <c r="G199" s="15">
        <f t="shared" si="70"/>
        <v>0.5065928673305613</v>
      </c>
      <c r="H199" s="13">
        <f t="shared" si="71"/>
        <v>10259.950589163056</v>
      </c>
      <c r="I199" s="13">
        <f t="shared" si="72"/>
        <v>709701.79626483412</v>
      </c>
      <c r="J199" s="15">
        <f t="shared" si="64"/>
        <v>0.4934071326694387</v>
      </c>
      <c r="K199" s="13">
        <f t="shared" si="73"/>
        <v>324452.78001602576</v>
      </c>
      <c r="L199" s="13">
        <f t="shared" ref="L199:L262" si="81">L198+K199</f>
        <v>19916159.431944922</v>
      </c>
      <c r="M199" s="15">
        <f t="shared" si="74"/>
        <v>0.49340713266943875</v>
      </c>
      <c r="N199" s="13">
        <f t="shared" si="65"/>
        <v>3832.1838530342638</v>
      </c>
      <c r="O199" s="13">
        <f t="shared" si="75"/>
        <v>385249.01624880766</v>
      </c>
      <c r="P199" s="15">
        <f t="shared" si="66"/>
        <v>0.36942818004392591</v>
      </c>
      <c r="Q199" s="7">
        <f t="shared" si="76"/>
        <v>1042825.2013774385</v>
      </c>
      <c r="R199" s="7">
        <f t="shared" si="77"/>
        <v>657576.18512863084</v>
      </c>
      <c r="S199" s="13">
        <f>IF(Calc!$AD$32="Sim",R199,Q199)</f>
        <v>657576.18512863084</v>
      </c>
      <c r="T199" s="9">
        <f t="shared" si="78"/>
        <v>195</v>
      </c>
      <c r="U199" s="17">
        <f t="shared" ca="1" si="79"/>
        <v>51441</v>
      </c>
      <c r="V199" s="22"/>
      <c r="W199" s="22"/>
      <c r="X199" s="22"/>
    </row>
    <row r="200" spans="2:24" x14ac:dyDescent="0.2">
      <c r="B200" s="17">
        <f t="shared" ca="1" si="67"/>
        <v>51441</v>
      </c>
      <c r="C200" s="9">
        <f t="shared" si="80"/>
        <v>196</v>
      </c>
      <c r="D200" s="9"/>
      <c r="E200" s="13">
        <f t="shared" si="68"/>
        <v>2218.6657790151471</v>
      </c>
      <c r="F200" s="14">
        <f t="shared" si="69"/>
        <v>335342.07089162024</v>
      </c>
      <c r="G200" s="15">
        <f t="shared" si="70"/>
        <v>0.50509023053339641</v>
      </c>
      <c r="H200" s="13">
        <f t="shared" si="71"/>
        <v>10384.119006656152</v>
      </c>
      <c r="I200" s="13">
        <f t="shared" si="72"/>
        <v>720085.91527149023</v>
      </c>
      <c r="J200" s="15">
        <f t="shared" si="64"/>
        <v>0.49490976946660359</v>
      </c>
      <c r="K200" s="13">
        <f t="shared" si="73"/>
        <v>328583.00747999072</v>
      </c>
      <c r="L200" s="13">
        <f t="shared" si="81"/>
        <v>20244742.439424913</v>
      </c>
      <c r="M200" s="15">
        <f t="shared" si="74"/>
        <v>0.49490976946660359</v>
      </c>
      <c r="N200" s="13">
        <f t="shared" si="65"/>
        <v>3878.4966850363312</v>
      </c>
      <c r="O200" s="13">
        <f t="shared" si="75"/>
        <v>391502.90779149882</v>
      </c>
      <c r="P200" s="15">
        <f t="shared" si="66"/>
        <v>0.37094232190560322</v>
      </c>
      <c r="Q200" s="7">
        <f t="shared" si="76"/>
        <v>1055427.9861631098</v>
      </c>
      <c r="R200" s="7">
        <f t="shared" si="77"/>
        <v>663925.07837161096</v>
      </c>
      <c r="S200" s="13">
        <f>IF(Calc!$AD$32="Sim",R200,Q200)</f>
        <v>663925.07837161096</v>
      </c>
      <c r="T200" s="9">
        <f t="shared" si="78"/>
        <v>196</v>
      </c>
      <c r="U200" s="17">
        <f t="shared" ca="1" si="79"/>
        <v>51471</v>
      </c>
      <c r="V200" s="22"/>
      <c r="W200" s="22"/>
      <c r="X200" s="22"/>
    </row>
    <row r="201" spans="2:24" x14ac:dyDescent="0.2">
      <c r="B201" s="17">
        <f t="shared" ca="1" si="67"/>
        <v>51471</v>
      </c>
      <c r="C201" s="9">
        <f t="shared" si="80"/>
        <v>197</v>
      </c>
      <c r="D201" s="9"/>
      <c r="E201" s="13">
        <f t="shared" si="68"/>
        <v>2227.7048980333993</v>
      </c>
      <c r="F201" s="14">
        <f t="shared" si="69"/>
        <v>337569.77578965365</v>
      </c>
      <c r="G201" s="15">
        <f t="shared" si="70"/>
        <v>0.50359285180534263</v>
      </c>
      <c r="H201" s="13">
        <f t="shared" si="71"/>
        <v>10509.613496870643</v>
      </c>
      <c r="I201" s="13">
        <f t="shared" si="72"/>
        <v>730595.52876836085</v>
      </c>
      <c r="J201" s="15">
        <f t="shared" si="64"/>
        <v>0.49640714819465737</v>
      </c>
      <c r="K201" s="13">
        <f t="shared" si="73"/>
        <v>332753.03474963678</v>
      </c>
      <c r="L201" s="13">
        <f t="shared" si="81"/>
        <v>20577495.474174552</v>
      </c>
      <c r="M201" s="15">
        <f t="shared" si="74"/>
        <v>0.49640714819465737</v>
      </c>
      <c r="N201" s="13">
        <f t="shared" si="65"/>
        <v>3925.3039024102814</v>
      </c>
      <c r="O201" s="13">
        <f t="shared" si="75"/>
        <v>397842.49401872337</v>
      </c>
      <c r="P201" s="15">
        <f t="shared" si="66"/>
        <v>0.37245405024959405</v>
      </c>
      <c r="Q201" s="7">
        <f t="shared" si="76"/>
        <v>1068165.3045580138</v>
      </c>
      <c r="R201" s="7">
        <f t="shared" si="77"/>
        <v>670322.81053929043</v>
      </c>
      <c r="S201" s="13">
        <f>IF(Calc!$AD$32="Sim",R201,Q201)</f>
        <v>670322.81053929043</v>
      </c>
      <c r="T201" s="9">
        <f t="shared" si="78"/>
        <v>197</v>
      </c>
      <c r="U201" s="17">
        <f t="shared" ca="1" si="79"/>
        <v>51502</v>
      </c>
      <c r="V201" s="22"/>
      <c r="W201" s="22"/>
      <c r="X201" s="22"/>
    </row>
    <row r="202" spans="2:24" x14ac:dyDescent="0.2">
      <c r="B202" s="17">
        <f t="shared" ca="1" si="67"/>
        <v>51502</v>
      </c>
      <c r="C202" s="9">
        <f t="shared" si="80"/>
        <v>198</v>
      </c>
      <c r="D202" s="9"/>
      <c r="E202" s="13">
        <f t="shared" si="68"/>
        <v>2236.7808435414272</v>
      </c>
      <c r="F202" s="14">
        <f t="shared" si="69"/>
        <v>339806.55663319508</v>
      </c>
      <c r="G202" s="15">
        <f t="shared" si="70"/>
        <v>0.50210070630378201</v>
      </c>
      <c r="H202" s="13">
        <f t="shared" si="71"/>
        <v>10636.447629631961</v>
      </c>
      <c r="I202" s="13">
        <f t="shared" si="72"/>
        <v>741231.97639799281</v>
      </c>
      <c r="J202" s="15">
        <f t="shared" si="64"/>
        <v>0.49789929369621799</v>
      </c>
      <c r="K202" s="13">
        <f t="shared" si="73"/>
        <v>336963.16778062523</v>
      </c>
      <c r="L202" s="13">
        <f t="shared" si="81"/>
        <v>20914458.641955178</v>
      </c>
      <c r="M202" s="15">
        <f t="shared" si="74"/>
        <v>0.49789929369621799</v>
      </c>
      <c r="N202" s="13">
        <f t="shared" si="65"/>
        <v>3972.6105634174705</v>
      </c>
      <c r="O202" s="13">
        <f t="shared" si="75"/>
        <v>404268.80861736694</v>
      </c>
      <c r="P202" s="15">
        <f t="shared" si="66"/>
        <v>0.37396336602712388</v>
      </c>
      <c r="Q202" s="7">
        <f t="shared" si="76"/>
        <v>1081038.5330311873</v>
      </c>
      <c r="R202" s="7">
        <f t="shared" si="77"/>
        <v>676769.72441382031</v>
      </c>
      <c r="S202" s="13">
        <f>IF(Calc!$AD$32="Sim",R202,Q202)</f>
        <v>676769.72441382031</v>
      </c>
      <c r="T202" s="9">
        <f t="shared" si="78"/>
        <v>198</v>
      </c>
      <c r="U202" s="17">
        <f t="shared" ca="1" si="79"/>
        <v>51533</v>
      </c>
      <c r="V202" s="22"/>
      <c r="W202" s="22"/>
      <c r="X202" s="22"/>
    </row>
    <row r="203" spans="2:24" x14ac:dyDescent="0.2">
      <c r="B203" s="17">
        <f t="shared" ca="1" si="67"/>
        <v>51533</v>
      </c>
      <c r="C203" s="9">
        <f t="shared" si="80"/>
        <v>199</v>
      </c>
      <c r="D203" s="9"/>
      <c r="E203" s="13">
        <f t="shared" si="68"/>
        <v>2245.8937655749082</v>
      </c>
      <c r="F203" s="14">
        <f t="shared" si="69"/>
        <v>342052.45039876999</v>
      </c>
      <c r="G203" s="15">
        <f t="shared" si="70"/>
        <v>0.50061376939640512</v>
      </c>
      <c r="H203" s="13">
        <f t="shared" si="71"/>
        <v>10764.635111377453</v>
      </c>
      <c r="I203" s="13">
        <f t="shared" si="72"/>
        <v>751996.61150937027</v>
      </c>
      <c r="J203" s="15">
        <f t="shared" si="64"/>
        <v>0.49938623060359488</v>
      </c>
      <c r="K203" s="13">
        <f t="shared" si="73"/>
        <v>341213.71467532689</v>
      </c>
      <c r="L203" s="13">
        <f t="shared" si="81"/>
        <v>21255672.356630504</v>
      </c>
      <c r="M203" s="15">
        <f t="shared" si="74"/>
        <v>0.49938623060359494</v>
      </c>
      <c r="N203" s="13">
        <f t="shared" si="65"/>
        <v>4020.4217772391503</v>
      </c>
      <c r="O203" s="13">
        <f t="shared" si="75"/>
        <v>410782.89683404274</v>
      </c>
      <c r="P203" s="15">
        <f t="shared" si="66"/>
        <v>0.37547027015186418</v>
      </c>
      <c r="Q203" s="7">
        <f t="shared" si="76"/>
        <v>1094049.0619081396</v>
      </c>
      <c r="R203" s="7">
        <f t="shared" si="77"/>
        <v>683266.16507409688</v>
      </c>
      <c r="S203" s="13">
        <f>IF(Calc!$AD$32="Sim",R203,Q203)</f>
        <v>683266.16507409688</v>
      </c>
      <c r="T203" s="9">
        <f t="shared" si="78"/>
        <v>199</v>
      </c>
      <c r="U203" s="17">
        <f t="shared" ca="1" si="79"/>
        <v>51561</v>
      </c>
      <c r="V203" s="22"/>
      <c r="W203" s="22"/>
      <c r="X203" s="22"/>
    </row>
    <row r="204" spans="2:24" x14ac:dyDescent="0.2">
      <c r="B204" s="17">
        <f t="shared" ca="1" si="67"/>
        <v>51561</v>
      </c>
      <c r="C204" s="9">
        <f t="shared" si="80"/>
        <v>200</v>
      </c>
      <c r="D204" s="9"/>
      <c r="E204" s="13">
        <f t="shared" si="68"/>
        <v>2255.0438147807845</v>
      </c>
      <c r="F204" s="14">
        <f t="shared" si="69"/>
        <v>344307.49421355076</v>
      </c>
      <c r="G204" s="15">
        <f t="shared" si="70"/>
        <v>0.49913201665776796</v>
      </c>
      <c r="H204" s="13">
        <f t="shared" si="71"/>
        <v>10894.189786522775</v>
      </c>
      <c r="I204" s="13">
        <f t="shared" si="72"/>
        <v>762890.80129589303</v>
      </c>
      <c r="J204" s="15">
        <f t="shared" si="64"/>
        <v>0.50086798334223204</v>
      </c>
      <c r="K204" s="13">
        <f t="shared" si="73"/>
        <v>345504.98569720337</v>
      </c>
      <c r="L204" s="13">
        <f t="shared" si="81"/>
        <v>21601177.342327707</v>
      </c>
      <c r="M204" s="15">
        <f t="shared" si="74"/>
        <v>0.50086798334223204</v>
      </c>
      <c r="N204" s="13">
        <f t="shared" si="65"/>
        <v>4068.7427044857614</v>
      </c>
      <c r="O204" s="13">
        <f t="shared" si="75"/>
        <v>417385.81559868925</v>
      </c>
      <c r="P204" s="15">
        <f t="shared" si="66"/>
        <v>0.37697476350127684</v>
      </c>
      <c r="Q204" s="7">
        <f t="shared" si="76"/>
        <v>1107198.2955094434</v>
      </c>
      <c r="R204" s="7">
        <f t="shared" si="77"/>
        <v>689812.47991075413</v>
      </c>
      <c r="S204" s="13">
        <f>IF(Calc!$AD$32="Sim",R204,Q204)</f>
        <v>689812.47991075413</v>
      </c>
      <c r="T204" s="9">
        <f t="shared" si="78"/>
        <v>200</v>
      </c>
      <c r="U204" s="17">
        <f t="shared" ca="1" si="79"/>
        <v>51592</v>
      </c>
      <c r="V204" s="22"/>
      <c r="W204" s="22"/>
      <c r="X204" s="22"/>
    </row>
    <row r="205" spans="2:24" x14ac:dyDescent="0.2">
      <c r="B205" s="17">
        <f t="shared" ca="1" si="67"/>
        <v>51592</v>
      </c>
      <c r="C205" s="9">
        <f t="shared" si="80"/>
        <v>201</v>
      </c>
      <c r="D205" s="9"/>
      <c r="E205" s="13">
        <f t="shared" si="68"/>
        <v>2264.2311424197519</v>
      </c>
      <c r="F205" s="14">
        <f t="shared" si="69"/>
        <v>346571.7253559705</v>
      </c>
      <c r="G205" s="15">
        <f t="shared" si="70"/>
        <v>0.49765542386593242</v>
      </c>
      <c r="H205" s="13">
        <f t="shared" si="71"/>
        <v>11025.125638841941</v>
      </c>
      <c r="I205" s="13">
        <f t="shared" si="72"/>
        <v>773915.92693473492</v>
      </c>
      <c r="J205" s="15">
        <f t="shared" si="64"/>
        <v>0.50234457613406758</v>
      </c>
      <c r="K205" s="13">
        <f t="shared" si="73"/>
        <v>349837.29328528192</v>
      </c>
      <c r="L205" s="13">
        <f t="shared" si="81"/>
        <v>21951014.635612987</v>
      </c>
      <c r="M205" s="15">
        <f t="shared" si="74"/>
        <v>0.50234457613406758</v>
      </c>
      <c r="N205" s="13">
        <f t="shared" si="65"/>
        <v>4117.5785577113011</v>
      </c>
      <c r="O205" s="13">
        <f t="shared" si="75"/>
        <v>424078.63364945271</v>
      </c>
      <c r="P205" s="15">
        <f t="shared" si="66"/>
        <v>0.37847684691792349</v>
      </c>
      <c r="Q205" s="7">
        <f t="shared" si="76"/>
        <v>1120487.6522907051</v>
      </c>
      <c r="R205" s="7">
        <f t="shared" si="77"/>
        <v>696409.01864125242</v>
      </c>
      <c r="S205" s="13">
        <f>IF(Calc!$AD$32="Sim",R205,Q205)</f>
        <v>696409.01864125242</v>
      </c>
      <c r="T205" s="9">
        <f t="shared" si="78"/>
        <v>201</v>
      </c>
      <c r="U205" s="17">
        <f t="shared" ca="1" si="79"/>
        <v>51622</v>
      </c>
      <c r="V205" s="22"/>
      <c r="W205" s="22"/>
      <c r="X205" s="22"/>
    </row>
    <row r="206" spans="2:24" x14ac:dyDescent="0.2">
      <c r="B206" s="17">
        <f t="shared" ca="1" si="67"/>
        <v>51622</v>
      </c>
      <c r="C206" s="9">
        <f t="shared" si="80"/>
        <v>202</v>
      </c>
      <c r="D206" s="9"/>
      <c r="E206" s="13">
        <f t="shared" si="68"/>
        <v>2273.4559003687614</v>
      </c>
      <c r="F206" s="14">
        <f t="shared" si="69"/>
        <v>348845.18125633925</v>
      </c>
      <c r="G206" s="15">
        <f t="shared" si="70"/>
        <v>0.49618396699918632</v>
      </c>
      <c r="H206" s="13">
        <f t="shared" si="71"/>
        <v>11157.456792861096</v>
      </c>
      <c r="I206" s="13">
        <f t="shared" si="72"/>
        <v>785073.38372759602</v>
      </c>
      <c r="J206" s="15">
        <f t="shared" si="64"/>
        <v>0.50381603300081368</v>
      </c>
      <c r="K206" s="13">
        <f t="shared" si="73"/>
        <v>354210.95206872508</v>
      </c>
      <c r="L206" s="13">
        <f t="shared" si="81"/>
        <v>22305225.587681711</v>
      </c>
      <c r="M206" s="15">
        <f t="shared" si="74"/>
        <v>0.50381603300081368</v>
      </c>
      <c r="N206" s="13">
        <f t="shared" si="65"/>
        <v>4166.9346019328286</v>
      </c>
      <c r="O206" s="13">
        <f t="shared" si="75"/>
        <v>430862.43165887054</v>
      </c>
      <c r="P206" s="15">
        <f t="shared" si="66"/>
        <v>0.37997652121074049</v>
      </c>
      <c r="Q206" s="7">
        <f t="shared" si="76"/>
        <v>1133918.5649839349</v>
      </c>
      <c r="R206" s="7">
        <f t="shared" si="77"/>
        <v>703056.13332506432</v>
      </c>
      <c r="S206" s="13">
        <f>IF(Calc!$AD$32="Sim",R206,Q206)</f>
        <v>703056.13332506432</v>
      </c>
      <c r="T206" s="9">
        <f t="shared" si="78"/>
        <v>202</v>
      </c>
      <c r="U206" s="17">
        <f t="shared" ca="1" si="79"/>
        <v>51653</v>
      </c>
      <c r="V206" s="22"/>
      <c r="W206" s="22"/>
      <c r="X206" s="22"/>
    </row>
    <row r="207" spans="2:24" x14ac:dyDescent="0.2">
      <c r="B207" s="17">
        <f t="shared" ca="1" si="67"/>
        <v>51653</v>
      </c>
      <c r="C207" s="9">
        <f t="shared" si="80"/>
        <v>203</v>
      </c>
      <c r="D207" s="9"/>
      <c r="E207" s="13">
        <f t="shared" si="68"/>
        <v>2282.7182411235294</v>
      </c>
      <c r="F207" s="14">
        <f t="shared" si="69"/>
        <v>351127.89949746279</v>
      </c>
      <c r="G207" s="15">
        <f t="shared" si="70"/>
        <v>0.49471762223284255</v>
      </c>
      <c r="H207" s="13">
        <f t="shared" si="71"/>
        <v>11291.197515266238</v>
      </c>
      <c r="I207" s="13">
        <f t="shared" si="72"/>
        <v>796364.58124286227</v>
      </c>
      <c r="J207" s="15">
        <f t="shared" si="64"/>
        <v>0.50528237776715745</v>
      </c>
      <c r="K207" s="13">
        <f t="shared" si="73"/>
        <v>358626.278881495</v>
      </c>
      <c r="L207" s="13">
        <f t="shared" si="81"/>
        <v>22663851.866563205</v>
      </c>
      <c r="M207" s="15">
        <f t="shared" si="74"/>
        <v>0.50528237776715745</v>
      </c>
      <c r="N207" s="13">
        <f t="shared" si="65"/>
        <v>4216.8161551551475</v>
      </c>
      <c r="O207" s="13">
        <f t="shared" si="75"/>
        <v>437738.3023613668</v>
      </c>
      <c r="P207" s="15">
        <f t="shared" si="66"/>
        <v>0.38147378715628044</v>
      </c>
      <c r="Q207" s="7">
        <f t="shared" si="76"/>
        <v>1147492.4807403246</v>
      </c>
      <c r="R207" s="7">
        <f t="shared" si="77"/>
        <v>709754.17837895779</v>
      </c>
      <c r="S207" s="13">
        <f>IF(Calc!$AD$32="Sim",R207,Q207)</f>
        <v>709754.17837895779</v>
      </c>
      <c r="T207" s="9">
        <f t="shared" si="78"/>
        <v>203</v>
      </c>
      <c r="U207" s="17">
        <f t="shared" ca="1" si="79"/>
        <v>51683</v>
      </c>
      <c r="V207" s="22"/>
      <c r="W207" s="22"/>
      <c r="X207" s="22"/>
    </row>
    <row r="208" spans="2:24" x14ac:dyDescent="0.2">
      <c r="B208" s="17">
        <f t="shared" ca="1" si="67"/>
        <v>51683</v>
      </c>
      <c r="C208" s="9">
        <f t="shared" si="80"/>
        <v>204</v>
      </c>
      <c r="D208" s="9">
        <v>17</v>
      </c>
      <c r="E208" s="13">
        <f t="shared" si="68"/>
        <v>2292.0183178010589</v>
      </c>
      <c r="F208" s="14">
        <f t="shared" si="69"/>
        <v>353419.91781526385</v>
      </c>
      <c r="G208" s="15">
        <f t="shared" si="70"/>
        <v>0.49325636593611327</v>
      </c>
      <c r="H208" s="13">
        <f t="shared" si="71"/>
        <v>11426.362216324953</v>
      </c>
      <c r="I208" s="13">
        <f t="shared" si="72"/>
        <v>807790.94345918717</v>
      </c>
      <c r="J208" s="15">
        <f t="shared" si="64"/>
        <v>0.50674363406388667</v>
      </c>
      <c r="K208" s="13">
        <f t="shared" si="73"/>
        <v>363083.59277711425</v>
      </c>
      <c r="L208" s="13">
        <f t="shared" si="81"/>
        <v>23026935.459340319</v>
      </c>
      <c r="M208" s="15">
        <f t="shared" si="74"/>
        <v>0.50674363406388678</v>
      </c>
      <c r="N208" s="13">
        <f t="shared" si="65"/>
        <v>4267.2285889007235</v>
      </c>
      <c r="O208" s="13">
        <f t="shared" si="75"/>
        <v>444707.35068207246</v>
      </c>
      <c r="P208" s="15">
        <f t="shared" si="66"/>
        <v>0.38296864549992055</v>
      </c>
      <c r="Q208" s="7">
        <f t="shared" si="76"/>
        <v>1161210.8612744506</v>
      </c>
      <c r="R208" s="7">
        <f t="shared" si="77"/>
        <v>716503.51059237809</v>
      </c>
      <c r="S208" s="13">
        <f>IF(Calc!$AD$32="Sim",R208,Q208)</f>
        <v>716503.51059237809</v>
      </c>
      <c r="T208" s="9">
        <f t="shared" si="78"/>
        <v>204</v>
      </c>
      <c r="U208" s="17">
        <f t="shared" ca="1" si="79"/>
        <v>51714</v>
      </c>
      <c r="V208" s="22"/>
      <c r="W208" s="22"/>
      <c r="X208" s="22"/>
    </row>
    <row r="209" spans="2:24" x14ac:dyDescent="0.2">
      <c r="B209" s="17">
        <f t="shared" ca="1" si="67"/>
        <v>51714</v>
      </c>
      <c r="C209" s="9">
        <f t="shared" si="80"/>
        <v>205</v>
      </c>
      <c r="D209" s="9"/>
      <c r="E209" s="13">
        <f t="shared" si="68"/>
        <v>2301.3562841421699</v>
      </c>
      <c r="F209" s="14">
        <f t="shared" si="69"/>
        <v>355721.27409940603</v>
      </c>
      <c r="G209" s="15">
        <f t="shared" si="70"/>
        <v>0.49180017466905857</v>
      </c>
      <c r="H209" s="13">
        <f t="shared" si="71"/>
        <v>11562.96545132234</v>
      </c>
      <c r="I209" s="13">
        <f t="shared" si="72"/>
        <v>819353.90891050955</v>
      </c>
      <c r="J209" s="15">
        <f t="shared" si="64"/>
        <v>0.50819982533094143</v>
      </c>
      <c r="K209" s="13">
        <f t="shared" si="73"/>
        <v>367583.21504352166</v>
      </c>
      <c r="L209" s="13">
        <f t="shared" si="81"/>
        <v>23394518.674383841</v>
      </c>
      <c r="M209" s="15">
        <f t="shared" si="74"/>
        <v>0.50819982533094143</v>
      </c>
      <c r="N209" s="13">
        <f t="shared" si="65"/>
        <v>4318.1773287448896</v>
      </c>
      <c r="O209" s="13">
        <f t="shared" si="75"/>
        <v>451770.69386698736</v>
      </c>
      <c r="P209" s="15">
        <f t="shared" si="66"/>
        <v>0.38446109695704078</v>
      </c>
      <c r="Q209" s="7">
        <f t="shared" si="76"/>
        <v>1175075.1830099151</v>
      </c>
      <c r="R209" s="7">
        <f t="shared" si="77"/>
        <v>723304.48914292769</v>
      </c>
      <c r="S209" s="13">
        <f>IF(Calc!$AD$32="Sim",R209,Q209)</f>
        <v>723304.48914292769</v>
      </c>
      <c r="T209" s="9">
        <f t="shared" si="78"/>
        <v>205</v>
      </c>
      <c r="U209" s="17">
        <f t="shared" ca="1" si="79"/>
        <v>51745</v>
      </c>
      <c r="V209" s="22"/>
      <c r="W209" s="22"/>
      <c r="X209" s="22"/>
    </row>
    <row r="210" spans="2:24" x14ac:dyDescent="0.2">
      <c r="B210" s="17">
        <f t="shared" ca="1" si="67"/>
        <v>51745</v>
      </c>
      <c r="C210" s="9">
        <f t="shared" si="80"/>
        <v>206</v>
      </c>
      <c r="D210" s="9"/>
      <c r="E210" s="13">
        <f t="shared" si="68"/>
        <v>2310.7322945140422</v>
      </c>
      <c r="F210" s="14">
        <f t="shared" si="69"/>
        <v>358032.00639392005</v>
      </c>
      <c r="G210" s="15">
        <f t="shared" si="70"/>
        <v>0.49034902517960632</v>
      </c>
      <c r="H210" s="13">
        <f t="shared" si="71"/>
        <v>11701.021922011261</v>
      </c>
      <c r="I210" s="13">
        <f t="shared" si="72"/>
        <v>831054.93083252083</v>
      </c>
      <c r="J210" s="15">
        <f t="shared" si="64"/>
        <v>0.50965097482039368</v>
      </c>
      <c r="K210" s="13">
        <f t="shared" si="73"/>
        <v>372125.46921802626</v>
      </c>
      <c r="L210" s="13">
        <f t="shared" si="81"/>
        <v>23766644.143601868</v>
      </c>
      <c r="M210" s="15">
        <f t="shared" si="74"/>
        <v>0.50965097482039368</v>
      </c>
      <c r="N210" s="13">
        <f t="shared" si="65"/>
        <v>4369.6678548563868</v>
      </c>
      <c r="O210" s="13">
        <f t="shared" si="75"/>
        <v>458929.46161449398</v>
      </c>
      <c r="P210" s="15">
        <f t="shared" si="66"/>
        <v>0.38595114221417026</v>
      </c>
      <c r="Q210" s="7">
        <f t="shared" si="76"/>
        <v>1189086.9372264403</v>
      </c>
      <c r="R210" s="7">
        <f t="shared" si="77"/>
        <v>730157.47561194631</v>
      </c>
      <c r="S210" s="13">
        <f>IF(Calc!$AD$32="Sim",R210,Q210)</f>
        <v>730157.47561194631</v>
      </c>
      <c r="T210" s="9">
        <f t="shared" si="78"/>
        <v>206</v>
      </c>
      <c r="U210" s="17">
        <f t="shared" ca="1" si="79"/>
        <v>51775</v>
      </c>
      <c r="V210" s="22"/>
      <c r="W210" s="22"/>
      <c r="X210" s="22"/>
    </row>
    <row r="211" spans="2:24" x14ac:dyDescent="0.2">
      <c r="B211" s="17">
        <f t="shared" ca="1" si="67"/>
        <v>51775</v>
      </c>
      <c r="C211" s="9">
        <f t="shared" si="80"/>
        <v>207</v>
      </c>
      <c r="D211" s="9"/>
      <c r="E211" s="13">
        <f t="shared" si="68"/>
        <v>2320.1465039127661</v>
      </c>
      <c r="F211" s="14">
        <f t="shared" si="69"/>
        <v>360352.1528978328</v>
      </c>
      <c r="G211" s="15">
        <f t="shared" si="70"/>
        <v>0.48890289440064144</v>
      </c>
      <c r="H211" s="13">
        <f t="shared" si="71"/>
        <v>11840.54647807706</v>
      </c>
      <c r="I211" s="13">
        <f t="shared" si="72"/>
        <v>842895.4773105979</v>
      </c>
      <c r="J211" s="15">
        <f t="shared" si="64"/>
        <v>0.5110971055993585</v>
      </c>
      <c r="K211" s="13">
        <f t="shared" si="73"/>
        <v>376710.68110235804</v>
      </c>
      <c r="L211" s="13">
        <f t="shared" si="81"/>
        <v>24143354.824704226</v>
      </c>
      <c r="M211" s="15">
        <f t="shared" si="74"/>
        <v>0.51109710559935861</v>
      </c>
      <c r="N211" s="13">
        <f t="shared" si="65"/>
        <v>4421.7057025433032</v>
      </c>
      <c r="O211" s="13">
        <f t="shared" si="75"/>
        <v>466184.79620823928</v>
      </c>
      <c r="P211" s="15">
        <f t="shared" si="66"/>
        <v>0.38743878193010473</v>
      </c>
      <c r="Q211" s="7">
        <f t="shared" si="76"/>
        <v>1203247.6302084301</v>
      </c>
      <c r="R211" s="7">
        <f t="shared" si="77"/>
        <v>737062.83400019084</v>
      </c>
      <c r="S211" s="13">
        <f>IF(Calc!$AD$32="Sim",R211,Q211)</f>
        <v>737062.83400019084</v>
      </c>
      <c r="T211" s="9">
        <f t="shared" si="78"/>
        <v>207</v>
      </c>
      <c r="U211" s="17">
        <f t="shared" ca="1" si="79"/>
        <v>51806</v>
      </c>
      <c r="V211" s="22"/>
      <c r="W211" s="22"/>
      <c r="X211" s="22"/>
    </row>
    <row r="212" spans="2:24" x14ac:dyDescent="0.2">
      <c r="B212" s="17">
        <f t="shared" ca="1" si="67"/>
        <v>51806</v>
      </c>
      <c r="C212" s="9">
        <f t="shared" si="80"/>
        <v>208</v>
      </c>
      <c r="D212" s="9"/>
      <c r="E212" s="13">
        <f t="shared" si="68"/>
        <v>2329.5990679659058</v>
      </c>
      <c r="F212" s="14">
        <f t="shared" si="69"/>
        <v>362681.75196579873</v>
      </c>
      <c r="G212" s="15">
        <f t="shared" si="70"/>
        <v>0.48746175944716291</v>
      </c>
      <c r="H212" s="13">
        <f t="shared" si="71"/>
        <v>11981.554118616887</v>
      </c>
      <c r="I212" s="13">
        <f t="shared" si="72"/>
        <v>854877.03142921475</v>
      </c>
      <c r="J212" s="15">
        <f t="shared" si="64"/>
        <v>0.51253824055283714</v>
      </c>
      <c r="K212" s="13">
        <f t="shared" si="73"/>
        <v>381339.17877781711</v>
      </c>
      <c r="L212" s="13">
        <f t="shared" si="81"/>
        <v>24524694.003482044</v>
      </c>
      <c r="M212" s="15">
        <f t="shared" si="74"/>
        <v>0.51253824055283703</v>
      </c>
      <c r="N212" s="13">
        <f t="shared" si="65"/>
        <v>4474.2964628044501</v>
      </c>
      <c r="O212" s="13">
        <f t="shared" si="75"/>
        <v>473537.85265139723</v>
      </c>
      <c r="P212" s="15">
        <f t="shared" si="66"/>
        <v>0.38892401673699489</v>
      </c>
      <c r="Q212" s="7">
        <f t="shared" si="76"/>
        <v>1217558.7833950131</v>
      </c>
      <c r="R212" s="7">
        <f t="shared" si="77"/>
        <v>744020.93074361584</v>
      </c>
      <c r="S212" s="13">
        <f>IF(Calc!$AD$32="Sim",R212,Q212)</f>
        <v>744020.93074361584</v>
      </c>
      <c r="T212" s="9">
        <f t="shared" si="78"/>
        <v>208</v>
      </c>
      <c r="U212" s="17">
        <f t="shared" ca="1" si="79"/>
        <v>51836</v>
      </c>
      <c r="V212" s="22"/>
      <c r="W212" s="22"/>
      <c r="X212" s="22"/>
    </row>
    <row r="213" spans="2:24" x14ac:dyDescent="0.2">
      <c r="B213" s="17">
        <f t="shared" ca="1" si="67"/>
        <v>51836</v>
      </c>
      <c r="C213" s="9">
        <f t="shared" si="80"/>
        <v>209</v>
      </c>
      <c r="D213" s="9"/>
      <c r="E213" s="13">
        <f t="shared" si="68"/>
        <v>2339.0901429350706</v>
      </c>
      <c r="F213" s="14">
        <f t="shared" si="69"/>
        <v>365020.84210873378</v>
      </c>
      <c r="G213" s="15">
        <f t="shared" si="70"/>
        <v>0.48602559761350611</v>
      </c>
      <c r="H213" s="13">
        <f t="shared" si="71"/>
        <v>12124.059993633784</v>
      </c>
      <c r="I213" s="13">
        <f t="shared" si="72"/>
        <v>867001.09142284852</v>
      </c>
      <c r="J213" s="15">
        <f t="shared" si="64"/>
        <v>0.51397440238649383</v>
      </c>
      <c r="K213" s="13">
        <f t="shared" si="73"/>
        <v>386011.29262052203</v>
      </c>
      <c r="L213" s="13">
        <f t="shared" si="81"/>
        <v>24910705.296102565</v>
      </c>
      <c r="M213" s="15">
        <f t="shared" si="74"/>
        <v>0.51397440238649394</v>
      </c>
      <c r="N213" s="13">
        <f t="shared" si="65"/>
        <v>4527.4457828862433</v>
      </c>
      <c r="O213" s="13">
        <f t="shared" si="75"/>
        <v>480989.79880232608</v>
      </c>
      <c r="P213" s="15">
        <f t="shared" si="66"/>
        <v>0.39040684724140612</v>
      </c>
      <c r="Q213" s="7">
        <f t="shared" si="76"/>
        <v>1232021.9335315819</v>
      </c>
      <c r="R213" s="7">
        <f t="shared" si="77"/>
        <v>751032.13472925581</v>
      </c>
      <c r="S213" s="13">
        <f>IF(Calc!$AD$32="Sim",R213,Q213)</f>
        <v>751032.13472925581</v>
      </c>
      <c r="T213" s="9">
        <f t="shared" si="78"/>
        <v>209</v>
      </c>
      <c r="U213" s="17">
        <f t="shared" ca="1" si="79"/>
        <v>51867</v>
      </c>
      <c r="V213" s="22"/>
      <c r="W213" s="22"/>
      <c r="X213" s="22"/>
    </row>
    <row r="214" spans="2:24" x14ac:dyDescent="0.2">
      <c r="B214" s="17">
        <f t="shared" ca="1" si="67"/>
        <v>51867</v>
      </c>
      <c r="C214" s="9">
        <f t="shared" si="80"/>
        <v>210</v>
      </c>
      <c r="D214" s="9"/>
      <c r="E214" s="13">
        <f t="shared" si="68"/>
        <v>2348.6198857185</v>
      </c>
      <c r="F214" s="14">
        <f t="shared" si="69"/>
        <v>367369.46199445229</v>
      </c>
      <c r="G214" s="15">
        <f t="shared" si="70"/>
        <v>0.48459438637062913</v>
      </c>
      <c r="H214" s="13">
        <f t="shared" si="71"/>
        <v>12268.079405545663</v>
      </c>
      <c r="I214" s="13">
        <f t="shared" si="72"/>
        <v>879269.17082839413</v>
      </c>
      <c r="J214" s="15">
        <f t="shared" si="64"/>
        <v>0.51540561362937087</v>
      </c>
      <c r="K214" s="13">
        <f t="shared" si="73"/>
        <v>390727.35531675676</v>
      </c>
      <c r="L214" s="13">
        <f t="shared" si="81"/>
        <v>25301432.651419323</v>
      </c>
      <c r="M214" s="15">
        <f t="shared" si="74"/>
        <v>0.51540561362937087</v>
      </c>
      <c r="N214" s="13">
        <f t="shared" si="65"/>
        <v>4581.1593668451387</v>
      </c>
      <c r="O214" s="13">
        <f t="shared" si="75"/>
        <v>488541.81551163702</v>
      </c>
      <c r="P214" s="15">
        <f t="shared" si="66"/>
        <v>0.39188727402535212</v>
      </c>
      <c r="Q214" s="7">
        <f t="shared" si="76"/>
        <v>1246638.6328228461</v>
      </c>
      <c r="R214" s="7">
        <f t="shared" si="77"/>
        <v>758096.81731120904</v>
      </c>
      <c r="S214" s="13">
        <f>IF(Calc!$AD$32="Sim",R214,Q214)</f>
        <v>758096.81731120904</v>
      </c>
      <c r="T214" s="9">
        <f t="shared" si="78"/>
        <v>210</v>
      </c>
      <c r="U214" s="17">
        <f t="shared" ca="1" si="79"/>
        <v>51898</v>
      </c>
      <c r="V214" s="22"/>
      <c r="W214" s="22"/>
      <c r="X214" s="22"/>
    </row>
    <row r="215" spans="2:24" x14ac:dyDescent="0.2">
      <c r="B215" s="17">
        <f t="shared" ca="1" si="67"/>
        <v>51898</v>
      </c>
      <c r="C215" s="9">
        <f t="shared" si="80"/>
        <v>211</v>
      </c>
      <c r="D215" s="9"/>
      <c r="E215" s="13">
        <f t="shared" si="68"/>
        <v>2358.1884538536551</v>
      </c>
      <c r="F215" s="14">
        <f t="shared" si="69"/>
        <v>369727.65044830594</v>
      </c>
      <c r="G215" s="15">
        <f t="shared" si="70"/>
        <v>0.48316810336346072</v>
      </c>
      <c r="H215" s="13">
        <f t="shared" si="71"/>
        <v>12413.627810709357</v>
      </c>
      <c r="I215" s="13">
        <f t="shared" si="72"/>
        <v>891682.79863910354</v>
      </c>
      <c r="J215" s="15">
        <f t="shared" si="64"/>
        <v>0.51683189663653928</v>
      </c>
      <c r="K215" s="13">
        <f t="shared" si="73"/>
        <v>395487.70187841874</v>
      </c>
      <c r="L215" s="13">
        <f t="shared" si="81"/>
        <v>25696920.35329774</v>
      </c>
      <c r="M215" s="15">
        <f t="shared" si="74"/>
        <v>0.51683189663653928</v>
      </c>
      <c r="N215" s="13">
        <f t="shared" si="65"/>
        <v>4635.4429761156816</v>
      </c>
      <c r="O215" s="13">
        <f t="shared" si="75"/>
        <v>496195.09676068439</v>
      </c>
      <c r="P215" s="15">
        <f t="shared" si="66"/>
        <v>0.3933652976473011</v>
      </c>
      <c r="Q215" s="7">
        <f t="shared" si="76"/>
        <v>1261410.4490874091</v>
      </c>
      <c r="R215" s="7">
        <f t="shared" si="77"/>
        <v>765215.35232672468</v>
      </c>
      <c r="S215" s="13">
        <f>IF(Calc!$AD$32="Sim",R215,Q215)</f>
        <v>765215.35232672468</v>
      </c>
      <c r="T215" s="9">
        <f t="shared" si="78"/>
        <v>211</v>
      </c>
      <c r="U215" s="17">
        <f t="shared" ca="1" si="79"/>
        <v>51926</v>
      </c>
      <c r="V215" s="22"/>
      <c r="W215" s="22"/>
      <c r="X215" s="22"/>
    </row>
    <row r="216" spans="2:24" x14ac:dyDescent="0.2">
      <c r="B216" s="17">
        <f t="shared" ca="1" si="67"/>
        <v>51926</v>
      </c>
      <c r="C216" s="9">
        <f t="shared" si="80"/>
        <v>212</v>
      </c>
      <c r="D216" s="9"/>
      <c r="E216" s="13">
        <f t="shared" si="68"/>
        <v>2367.796005519825</v>
      </c>
      <c r="F216" s="14">
        <f t="shared" si="69"/>
        <v>372095.44645382575</v>
      </c>
      <c r="G216" s="15">
        <f t="shared" si="70"/>
        <v>0.48174672640830901</v>
      </c>
      <c r="H216" s="13">
        <f t="shared" si="71"/>
        <v>12560.720820959847</v>
      </c>
      <c r="I216" s="13">
        <f t="shared" si="72"/>
        <v>904243.51946006343</v>
      </c>
      <c r="J216" s="15">
        <f t="shared" si="64"/>
        <v>0.51825327359169093</v>
      </c>
      <c r="K216" s="13">
        <f t="shared" si="73"/>
        <v>400292.6696585663</v>
      </c>
      <c r="L216" s="13">
        <f t="shared" si="81"/>
        <v>26097213.022956308</v>
      </c>
      <c r="M216" s="15">
        <f t="shared" si="74"/>
        <v>0.51825327359169093</v>
      </c>
      <c r="N216" s="13">
        <f t="shared" si="65"/>
        <v>4690.3024300842089</v>
      </c>
      <c r="O216" s="13">
        <f t="shared" si="75"/>
        <v>503950.84980149672</v>
      </c>
      <c r="P216" s="15">
        <f t="shared" si="66"/>
        <v>0.39484091864315685</v>
      </c>
      <c r="Q216" s="7">
        <f t="shared" si="76"/>
        <v>1276338.9659138888</v>
      </c>
      <c r="R216" s="7">
        <f t="shared" si="77"/>
        <v>772388.11611239205</v>
      </c>
      <c r="S216" s="13">
        <f>IF(Calc!$AD$32="Sim",R216,Q216)</f>
        <v>772388.11611239205</v>
      </c>
      <c r="T216" s="9">
        <f t="shared" si="78"/>
        <v>212</v>
      </c>
      <c r="U216" s="17">
        <f t="shared" ca="1" si="79"/>
        <v>51957</v>
      </c>
      <c r="V216" s="22"/>
      <c r="W216" s="22"/>
      <c r="X216" s="22"/>
    </row>
    <row r="217" spans="2:24" x14ac:dyDescent="0.2">
      <c r="B217" s="17">
        <f t="shared" ca="1" si="67"/>
        <v>51957</v>
      </c>
      <c r="C217" s="9">
        <f t="shared" si="80"/>
        <v>213</v>
      </c>
      <c r="D217" s="9"/>
      <c r="E217" s="13">
        <f t="shared" si="68"/>
        <v>2377.4426995407407</v>
      </c>
      <c r="F217" s="14">
        <f t="shared" si="69"/>
        <v>374472.8891533665</v>
      </c>
      <c r="G217" s="15">
        <f t="shared" si="70"/>
        <v>0.48033023349032788</v>
      </c>
      <c r="H217" s="13">
        <f t="shared" si="71"/>
        <v>12709.374205164864</v>
      </c>
      <c r="I217" s="13">
        <f t="shared" si="72"/>
        <v>916952.89366522827</v>
      </c>
      <c r="J217" s="15">
        <f t="shared" si="64"/>
        <v>0.51966976650967212</v>
      </c>
      <c r="K217" s="13">
        <f t="shared" si="73"/>
        <v>405142.59836706886</v>
      </c>
      <c r="L217" s="13">
        <f t="shared" si="81"/>
        <v>26502355.621323377</v>
      </c>
      <c r="M217" s="15">
        <f t="shared" si="74"/>
        <v>0.51966976650967212</v>
      </c>
      <c r="N217" s="13">
        <f t="shared" si="65"/>
        <v>4745.7436066682894</v>
      </c>
      <c r="O217" s="13">
        <f t="shared" si="75"/>
        <v>511810.29529815889</v>
      </c>
      <c r="P217" s="15">
        <f t="shared" si="66"/>
        <v>0.39631413752721439</v>
      </c>
      <c r="Q217" s="7">
        <f t="shared" si="76"/>
        <v>1291425.7828185942</v>
      </c>
      <c r="R217" s="7">
        <f t="shared" si="77"/>
        <v>779615.48752043536</v>
      </c>
      <c r="S217" s="13">
        <f>IF(Calc!$AD$32="Sim",R217,Q217)</f>
        <v>779615.48752043536</v>
      </c>
      <c r="T217" s="9">
        <f t="shared" si="78"/>
        <v>213</v>
      </c>
      <c r="U217" s="17">
        <f t="shared" ca="1" si="79"/>
        <v>51987</v>
      </c>
      <c r="V217" s="22"/>
      <c r="W217" s="22"/>
      <c r="X217" s="22"/>
    </row>
    <row r="218" spans="2:24" x14ac:dyDescent="0.2">
      <c r="B218" s="17">
        <f t="shared" ca="1" si="67"/>
        <v>51987</v>
      </c>
      <c r="C218" s="9">
        <f t="shared" si="80"/>
        <v>214</v>
      </c>
      <c r="D218" s="9"/>
      <c r="E218" s="13">
        <f t="shared" si="68"/>
        <v>2387.1286953872009</v>
      </c>
      <c r="F218" s="14">
        <f t="shared" si="69"/>
        <v>376860.01784875372</v>
      </c>
      <c r="G218" s="15">
        <f t="shared" si="70"/>
        <v>0.47891860276104076</v>
      </c>
      <c r="H218" s="13">
        <f t="shared" si="71"/>
        <v>12859.603890794979</v>
      </c>
      <c r="I218" s="13">
        <f t="shared" si="72"/>
        <v>929812.4975560233</v>
      </c>
      <c r="J218" s="15">
        <f t="shared" si="64"/>
        <v>0.52108139723895919</v>
      </c>
      <c r="K218" s="13">
        <f t="shared" si="73"/>
        <v>410037.83008635824</v>
      </c>
      <c r="L218" s="13">
        <f t="shared" si="81"/>
        <v>26912393.451409735</v>
      </c>
      <c r="M218" s="15">
        <f t="shared" si="74"/>
        <v>0.5210813972389593</v>
      </c>
      <c r="N218" s="13">
        <f t="shared" si="65"/>
        <v>4801.772442901939</v>
      </c>
      <c r="O218" s="13">
        <f t="shared" si="75"/>
        <v>519774.66746966448</v>
      </c>
      <c r="P218" s="15">
        <f t="shared" si="66"/>
        <v>0.39778495479309173</v>
      </c>
      <c r="Q218" s="7">
        <f t="shared" si="76"/>
        <v>1306672.5154047764</v>
      </c>
      <c r="R218" s="7">
        <f t="shared" si="77"/>
        <v>786897.84793511196</v>
      </c>
      <c r="S218" s="13">
        <f>IF(Calc!$AD$32="Sim",R218,Q218)</f>
        <v>786897.84793511196</v>
      </c>
      <c r="T218" s="9">
        <f t="shared" si="78"/>
        <v>214</v>
      </c>
      <c r="U218" s="17">
        <f t="shared" ca="1" si="79"/>
        <v>52018</v>
      </c>
      <c r="V218" s="22"/>
      <c r="W218" s="22"/>
      <c r="X218" s="22"/>
    </row>
    <row r="219" spans="2:24" x14ac:dyDescent="0.2">
      <c r="B219" s="17">
        <f t="shared" ca="1" si="67"/>
        <v>52018</v>
      </c>
      <c r="C219" s="9">
        <f t="shared" si="80"/>
        <v>215</v>
      </c>
      <c r="D219" s="9"/>
      <c r="E219" s="13">
        <f t="shared" si="68"/>
        <v>2396.8541531797073</v>
      </c>
      <c r="F219" s="14">
        <f t="shared" si="69"/>
        <v>379256.8720019334</v>
      </c>
      <c r="G219" s="15">
        <f t="shared" si="70"/>
        <v>0.47751181253591934</v>
      </c>
      <c r="H219" s="13">
        <f t="shared" si="71"/>
        <v>13011.425965509372</v>
      </c>
      <c r="I219" s="13">
        <f t="shared" si="72"/>
        <v>942823.92352153268</v>
      </c>
      <c r="J219" s="15">
        <f t="shared" si="64"/>
        <v>0.52248818746408066</v>
      </c>
      <c r="K219" s="13">
        <f t="shared" si="73"/>
        <v>414978.70928728336</v>
      </c>
      <c r="L219" s="13">
        <f t="shared" si="81"/>
        <v>27327372.160697017</v>
      </c>
      <c r="M219" s="15">
        <f t="shared" si="74"/>
        <v>0.52248818746408066</v>
      </c>
      <c r="N219" s="13">
        <f t="shared" si="65"/>
        <v>4858.3949355266623</v>
      </c>
      <c r="O219" s="13">
        <f t="shared" si="75"/>
        <v>527845.21423424885</v>
      </c>
      <c r="P219" s="15">
        <f t="shared" si="66"/>
        <v>0.3992533709146372</v>
      </c>
      <c r="Q219" s="7">
        <f t="shared" si="76"/>
        <v>1322080.7955234656</v>
      </c>
      <c r="R219" s="7">
        <f t="shared" si="77"/>
        <v>794235.58128921676</v>
      </c>
      <c r="S219" s="13">
        <f>IF(Calc!$AD$32="Sim",R219,Q219)</f>
        <v>794235.58128921676</v>
      </c>
      <c r="T219" s="9">
        <f t="shared" si="78"/>
        <v>215</v>
      </c>
      <c r="U219" s="17">
        <f t="shared" ca="1" si="79"/>
        <v>52048</v>
      </c>
      <c r="V219" s="22"/>
      <c r="W219" s="22"/>
      <c r="X219" s="22"/>
    </row>
    <row r="220" spans="2:24" x14ac:dyDescent="0.2">
      <c r="B220" s="17">
        <f t="shared" ca="1" si="67"/>
        <v>52048</v>
      </c>
      <c r="C220" s="9">
        <f t="shared" si="80"/>
        <v>216</v>
      </c>
      <c r="D220" s="9">
        <v>18</v>
      </c>
      <c r="E220" s="13">
        <f t="shared" si="68"/>
        <v>2406.6192336911131</v>
      </c>
      <c r="F220" s="14">
        <f t="shared" si="69"/>
        <v>381663.49123562453</v>
      </c>
      <c r="G220" s="15">
        <f t="shared" si="70"/>
        <v>0.47610984129201694</v>
      </c>
      <c r="H220" s="13">
        <f t="shared" si="71"/>
        <v>13164.856678757404</v>
      </c>
      <c r="I220" s="13">
        <f t="shared" si="72"/>
        <v>955988.78020029003</v>
      </c>
      <c r="J220" s="15">
        <f t="shared" si="64"/>
        <v>0.52389015870798306</v>
      </c>
      <c r="K220" s="13">
        <f t="shared" si="73"/>
        <v>419965.58284506702</v>
      </c>
      <c r="L220" s="13">
        <f t="shared" si="81"/>
        <v>27747337.743542083</v>
      </c>
      <c r="M220" s="15">
        <f t="shared" si="74"/>
        <v>0.52389015870798306</v>
      </c>
      <c r="N220" s="13">
        <f t="shared" si="65"/>
        <v>4915.6171415884037</v>
      </c>
      <c r="O220" s="13">
        <f t="shared" si="75"/>
        <v>536023.19735522254</v>
      </c>
      <c r="P220" s="15">
        <f t="shared" si="66"/>
        <v>0.40071938634681487</v>
      </c>
      <c r="Q220" s="7">
        <f t="shared" si="76"/>
        <v>1337652.2714359141</v>
      </c>
      <c r="R220" s="7">
        <f t="shared" si="77"/>
        <v>801629.07408069156</v>
      </c>
      <c r="S220" s="13">
        <f>IF(Calc!$AD$32="Sim",R220,Q220)</f>
        <v>801629.07408069156</v>
      </c>
      <c r="T220" s="9">
        <f t="shared" si="78"/>
        <v>216</v>
      </c>
      <c r="U220" s="17">
        <f t="shared" ca="1" si="79"/>
        <v>52079</v>
      </c>
      <c r="V220" s="22"/>
      <c r="W220" s="22"/>
      <c r="X220" s="22"/>
    </row>
    <row r="221" spans="2:24" x14ac:dyDescent="0.2">
      <c r="B221" s="17">
        <f t="shared" ca="1" si="67"/>
        <v>52079</v>
      </c>
      <c r="C221" s="9">
        <f t="shared" si="80"/>
        <v>217</v>
      </c>
      <c r="D221" s="9"/>
      <c r="E221" s="13">
        <f t="shared" si="68"/>
        <v>2416.4240983492796</v>
      </c>
      <c r="F221" s="14">
        <f t="shared" si="69"/>
        <v>384079.91533397383</v>
      </c>
      <c r="G221" s="15">
        <f t="shared" si="70"/>
        <v>0.47471266766565262</v>
      </c>
      <c r="H221" s="13">
        <f t="shared" si="71"/>
        <v>13319.912443396161</v>
      </c>
      <c r="I221" s="13">
        <f t="shared" si="72"/>
        <v>969308.6926436862</v>
      </c>
      <c r="J221" s="15">
        <f t="shared" si="64"/>
        <v>0.52528733233434743</v>
      </c>
      <c r="K221" s="13">
        <f t="shared" si="73"/>
        <v>424998.8000553681</v>
      </c>
      <c r="L221" s="13">
        <f t="shared" si="81"/>
        <v>28172336.543597452</v>
      </c>
      <c r="M221" s="15">
        <f t="shared" si="74"/>
        <v>0.52528733233434732</v>
      </c>
      <c r="N221" s="13">
        <f t="shared" si="65"/>
        <v>4973.4451790404473</v>
      </c>
      <c r="O221" s="13">
        <f t="shared" si="75"/>
        <v>544309.89258831751</v>
      </c>
      <c r="P221" s="15">
        <f t="shared" si="66"/>
        <v>0.40218300152656711</v>
      </c>
      <c r="Q221" s="7">
        <f t="shared" si="76"/>
        <v>1353388.6079776594</v>
      </c>
      <c r="R221" s="7">
        <f t="shared" si="77"/>
        <v>809078.71538934193</v>
      </c>
      <c r="S221" s="13">
        <f>IF(Calc!$AD$32="Sim",R221,Q221)</f>
        <v>809078.71538934193</v>
      </c>
      <c r="T221" s="9">
        <f t="shared" si="78"/>
        <v>217</v>
      </c>
      <c r="U221" s="17">
        <f t="shared" ca="1" si="79"/>
        <v>52110</v>
      </c>
      <c r="V221" s="22"/>
      <c r="W221" s="22"/>
      <c r="X221" s="22"/>
    </row>
    <row r="222" spans="2:24" x14ac:dyDescent="0.2">
      <c r="B222" s="17">
        <f t="shared" ca="1" si="67"/>
        <v>52110</v>
      </c>
      <c r="C222" s="9">
        <f t="shared" si="80"/>
        <v>218</v>
      </c>
      <c r="D222" s="9"/>
      <c r="E222" s="13">
        <f t="shared" si="68"/>
        <v>2426.2689092397454</v>
      </c>
      <c r="F222" s="14">
        <f t="shared" si="69"/>
        <v>386506.18424321356</v>
      </c>
      <c r="G222" s="15">
        <f t="shared" si="70"/>
        <v>0.47332027045014746</v>
      </c>
      <c r="H222" s="13">
        <f t="shared" si="71"/>
        <v>13476.609837324149</v>
      </c>
      <c r="I222" s="13">
        <f t="shared" si="72"/>
        <v>982785.30248101032</v>
      </c>
      <c r="J222" s="15">
        <f t="shared" si="64"/>
        <v>0.52667972954985254</v>
      </c>
      <c r="K222" s="13">
        <f t="shared" si="73"/>
        <v>430078.71265044779</v>
      </c>
      <c r="L222" s="13">
        <f t="shared" si="81"/>
        <v>28602415.2562479</v>
      </c>
      <c r="M222" s="15">
        <f t="shared" si="74"/>
        <v>0.52667972954985254</v>
      </c>
      <c r="N222" s="13">
        <f t="shared" si="65"/>
        <v>5031.885227352328</v>
      </c>
      <c r="O222" s="13">
        <f t="shared" si="75"/>
        <v>552706.58983056189</v>
      </c>
      <c r="P222" s="15">
        <f t="shared" si="66"/>
        <v>0.40364421687365504</v>
      </c>
      <c r="Q222" s="7">
        <f t="shared" si="76"/>
        <v>1369291.4867242232</v>
      </c>
      <c r="R222" s="7">
        <f t="shared" si="77"/>
        <v>816584.89689366135</v>
      </c>
      <c r="S222" s="13">
        <f>IF(Calc!$AD$32="Sim",R222,Q222)</f>
        <v>816584.89689366135</v>
      </c>
      <c r="T222" s="9">
        <f t="shared" si="78"/>
        <v>218</v>
      </c>
      <c r="U222" s="17">
        <f t="shared" ca="1" si="79"/>
        <v>52140</v>
      </c>
      <c r="V222" s="22"/>
      <c r="W222" s="22"/>
      <c r="X222" s="22"/>
    </row>
    <row r="223" spans="2:24" x14ac:dyDescent="0.2">
      <c r="B223" s="17">
        <f t="shared" ca="1" si="67"/>
        <v>52140</v>
      </c>
      <c r="C223" s="9">
        <f t="shared" si="80"/>
        <v>219</v>
      </c>
      <c r="D223" s="9"/>
      <c r="E223" s="13">
        <f t="shared" si="68"/>
        <v>2436.1538291084057</v>
      </c>
      <c r="F223" s="14">
        <f t="shared" si="69"/>
        <v>388942.33807232196</v>
      </c>
      <c r="G223" s="15">
        <f t="shared" si="70"/>
        <v>0.47193262859360974</v>
      </c>
      <c r="H223" s="13">
        <f t="shared" si="71"/>
        <v>13634.965605131272</v>
      </c>
      <c r="I223" s="13">
        <f t="shared" si="72"/>
        <v>996420.26808614156</v>
      </c>
      <c r="J223" s="15">
        <f t="shared" si="64"/>
        <v>0.52806737140639026</v>
      </c>
      <c r="K223" s="13">
        <f t="shared" si="73"/>
        <v>435205.67481544067</v>
      </c>
      <c r="L223" s="13">
        <f t="shared" si="81"/>
        <v>29037620.931063343</v>
      </c>
      <c r="M223" s="15">
        <f t="shared" si="74"/>
        <v>0.52806737140639026</v>
      </c>
      <c r="N223" s="13">
        <f t="shared" si="65"/>
        <v>5090.9435281248152</v>
      </c>
      <c r="O223" s="13">
        <f t="shared" si="75"/>
        <v>561214.59327070042</v>
      </c>
      <c r="P223" s="15">
        <f t="shared" si="66"/>
        <v>0.4051030327914788</v>
      </c>
      <c r="Q223" s="7">
        <f t="shared" si="76"/>
        <v>1385362.6061584631</v>
      </c>
      <c r="R223" s="7">
        <f t="shared" si="77"/>
        <v>824148.01288776263</v>
      </c>
      <c r="S223" s="13">
        <f>IF(Calc!$AD$32="Sim",R223,Q223)</f>
        <v>824148.01288776263</v>
      </c>
      <c r="T223" s="9">
        <f t="shared" si="78"/>
        <v>219</v>
      </c>
      <c r="U223" s="17">
        <f t="shared" ca="1" si="79"/>
        <v>52171</v>
      </c>
      <c r="V223" s="22"/>
      <c r="W223" s="22"/>
      <c r="X223" s="22"/>
    </row>
    <row r="224" spans="2:24" x14ac:dyDescent="0.2">
      <c r="B224" s="17">
        <f t="shared" ca="1" si="67"/>
        <v>52171</v>
      </c>
      <c r="C224" s="9">
        <f t="shared" si="80"/>
        <v>220</v>
      </c>
      <c r="D224" s="9"/>
      <c r="E224" s="13">
        <f t="shared" si="68"/>
        <v>2446.0790213642022</v>
      </c>
      <c r="F224" s="14">
        <f t="shared" si="69"/>
        <v>391388.41709368618</v>
      </c>
      <c r="G224" s="15">
        <f t="shared" si="70"/>
        <v>0.47054972119676819</v>
      </c>
      <c r="H224" s="13">
        <f t="shared" si="71"/>
        <v>13794.996659765258</v>
      </c>
      <c r="I224" s="13">
        <f t="shared" si="72"/>
        <v>1010215.2647459068</v>
      </c>
      <c r="J224" s="15">
        <f t="shared" si="64"/>
        <v>0.52945027880323181</v>
      </c>
      <c r="K224" s="13">
        <f t="shared" si="73"/>
        <v>440380.0432047327</v>
      </c>
      <c r="L224" s="13">
        <f t="shared" si="81"/>
        <v>29478000.974268075</v>
      </c>
      <c r="M224" s="15">
        <f t="shared" si="74"/>
        <v>0.52945027880323181</v>
      </c>
      <c r="N224" s="13">
        <f t="shared" si="65"/>
        <v>5150.6263857110362</v>
      </c>
      <c r="O224" s="13">
        <f t="shared" si="75"/>
        <v>569835.22154117364</v>
      </c>
      <c r="P224" s="15">
        <f t="shared" si="66"/>
        <v>0.4065594496678761</v>
      </c>
      <c r="Q224" s="7">
        <f t="shared" si="76"/>
        <v>1401603.6818395925</v>
      </c>
      <c r="R224" s="7">
        <f t="shared" si="77"/>
        <v>831768.46029841888</v>
      </c>
      <c r="S224" s="13">
        <f>IF(Calc!$AD$32="Sim",R224,Q224)</f>
        <v>831768.46029841888</v>
      </c>
      <c r="T224" s="9">
        <f t="shared" si="78"/>
        <v>220</v>
      </c>
      <c r="U224" s="17">
        <f t="shared" ca="1" si="79"/>
        <v>52201</v>
      </c>
      <c r="V224" s="22"/>
      <c r="W224" s="22"/>
      <c r="X224" s="22"/>
    </row>
    <row r="225" spans="2:24" x14ac:dyDescent="0.2">
      <c r="B225" s="17">
        <f t="shared" ca="1" si="67"/>
        <v>52201</v>
      </c>
      <c r="C225" s="9">
        <f t="shared" si="80"/>
        <v>221</v>
      </c>
      <c r="D225" s="9"/>
      <c r="E225" s="13">
        <f t="shared" si="68"/>
        <v>2456.0446500818252</v>
      </c>
      <c r="F225" s="14">
        <f t="shared" si="69"/>
        <v>393844.46174376801</v>
      </c>
      <c r="G225" s="15">
        <f t="shared" si="70"/>
        <v>0.46917152751085217</v>
      </c>
      <c r="H225" s="13">
        <f t="shared" si="71"/>
        <v>13956.720084214719</v>
      </c>
      <c r="I225" s="13">
        <f t="shared" si="72"/>
        <v>1024171.9848301215</v>
      </c>
      <c r="J225" s="15">
        <f t="shared" si="64"/>
        <v>0.53082847248914788</v>
      </c>
      <c r="K225" s="13">
        <f t="shared" si="73"/>
        <v>445602.17695844563</v>
      </c>
      <c r="L225" s="13">
        <f t="shared" si="81"/>
        <v>29923603.151226521</v>
      </c>
      <c r="M225" s="15">
        <f t="shared" si="74"/>
        <v>0.53082847248914777</v>
      </c>
      <c r="N225" s="13">
        <f t="shared" si="65"/>
        <v>5210.940167843788</v>
      </c>
      <c r="O225" s="13">
        <f t="shared" si="75"/>
        <v>578569.80787167547</v>
      </c>
      <c r="P225" s="15">
        <f t="shared" si="66"/>
        <v>0.40801346787590148</v>
      </c>
      <c r="Q225" s="7">
        <f t="shared" si="76"/>
        <v>1418016.4465738891</v>
      </c>
      <c r="R225" s="7">
        <f t="shared" si="77"/>
        <v>839446.63870221365</v>
      </c>
      <c r="S225" s="13">
        <f>IF(Calc!$AD$32="Sim",R225,Q225)</f>
        <v>839446.63870221365</v>
      </c>
      <c r="T225" s="9">
        <f t="shared" si="78"/>
        <v>221</v>
      </c>
      <c r="U225" s="17">
        <f t="shared" ca="1" si="79"/>
        <v>52232</v>
      </c>
      <c r="V225" s="22"/>
      <c r="W225" s="22"/>
      <c r="X225" s="22"/>
    </row>
    <row r="226" spans="2:24" x14ac:dyDescent="0.2">
      <c r="B226" s="17">
        <f t="shared" ca="1" si="67"/>
        <v>52232</v>
      </c>
      <c r="C226" s="9">
        <f t="shared" si="80"/>
        <v>222</v>
      </c>
      <c r="D226" s="9"/>
      <c r="E226" s="13">
        <f t="shared" si="68"/>
        <v>2466.0508800044258</v>
      </c>
      <c r="F226" s="14">
        <f t="shared" si="69"/>
        <v>396310.51262377243</v>
      </c>
      <c r="G226" s="15">
        <f t="shared" si="70"/>
        <v>0.4677980269355172</v>
      </c>
      <c r="H226" s="13">
        <f t="shared" si="71"/>
        <v>14120.153133208996</v>
      </c>
      <c r="I226" s="13">
        <f t="shared" si="72"/>
        <v>1038292.1379633305</v>
      </c>
      <c r="J226" s="15">
        <f t="shared" si="64"/>
        <v>0.5322019730644828</v>
      </c>
      <c r="K226" s="13">
        <f t="shared" si="73"/>
        <v>450872.43771902827</v>
      </c>
      <c r="L226" s="13">
        <f t="shared" si="81"/>
        <v>30374475.588945549</v>
      </c>
      <c r="M226" s="15">
        <f t="shared" si="74"/>
        <v>0.5322019730644828</v>
      </c>
      <c r="N226" s="13">
        <f t="shared" si="65"/>
        <v>5271.8913062691081</v>
      </c>
      <c r="O226" s="13">
        <f t="shared" si="75"/>
        <v>587419.70024430193</v>
      </c>
      <c r="P226" s="15">
        <f t="shared" si="66"/>
        <v>0.40946508777458618</v>
      </c>
      <c r="Q226" s="7">
        <f t="shared" si="76"/>
        <v>1434602.6505871026</v>
      </c>
      <c r="R226" s="7">
        <f t="shared" si="77"/>
        <v>847182.9503428007</v>
      </c>
      <c r="S226" s="13">
        <f>IF(Calc!$AD$32="Sim",R226,Q226)</f>
        <v>847182.9503428007</v>
      </c>
      <c r="T226" s="9">
        <f t="shared" si="78"/>
        <v>222</v>
      </c>
      <c r="U226" s="17">
        <f t="shared" ca="1" si="79"/>
        <v>52263</v>
      </c>
      <c r="V226" s="22"/>
      <c r="W226" s="22"/>
      <c r="X226" s="22"/>
    </row>
    <row r="227" spans="2:24" x14ac:dyDescent="0.2">
      <c r="B227" s="17">
        <f t="shared" ca="1" si="67"/>
        <v>52263</v>
      </c>
      <c r="C227" s="9">
        <f t="shared" si="80"/>
        <v>223</v>
      </c>
      <c r="D227" s="9"/>
      <c r="E227" s="13">
        <f t="shared" si="68"/>
        <v>2476.0978765463387</v>
      </c>
      <c r="F227" s="14">
        <f t="shared" si="69"/>
        <v>398786.61050031875</v>
      </c>
      <c r="G227" s="15">
        <f t="shared" si="70"/>
        <v>0.46642919901681529</v>
      </c>
      <c r="H227" s="13">
        <f t="shared" si="71"/>
        <v>14285.313234934951</v>
      </c>
      <c r="I227" s="13">
        <f t="shared" si="72"/>
        <v>1052577.4511982654</v>
      </c>
      <c r="J227" s="15">
        <f t="shared" si="64"/>
        <v>0.53357080098318477</v>
      </c>
      <c r="K227" s="13">
        <f t="shared" si="73"/>
        <v>456191.18964795634</v>
      </c>
      <c r="L227" s="13">
        <f t="shared" si="81"/>
        <v>30830666.778593507</v>
      </c>
      <c r="M227" s="15">
        <f t="shared" si="74"/>
        <v>0.53357080098318466</v>
      </c>
      <c r="N227" s="13">
        <f t="shared" si="65"/>
        <v>5333.4862973861673</v>
      </c>
      <c r="O227" s="13">
        <f t="shared" si="75"/>
        <v>596386.26155030902</v>
      </c>
      <c r="P227" s="15">
        <f t="shared" si="66"/>
        <v>0.41091430970967857</v>
      </c>
      <c r="Q227" s="7">
        <f t="shared" si="76"/>
        <v>1451364.0616985841</v>
      </c>
      <c r="R227" s="7">
        <f t="shared" si="77"/>
        <v>854977.8001482751</v>
      </c>
      <c r="S227" s="13">
        <f>IF(Calc!$AD$32="Sim",R227,Q227)</f>
        <v>854977.8001482751</v>
      </c>
      <c r="T227" s="9">
        <f t="shared" si="78"/>
        <v>223</v>
      </c>
      <c r="U227" s="17">
        <f t="shared" ca="1" si="79"/>
        <v>52291</v>
      </c>
      <c r="V227" s="22"/>
      <c r="W227" s="22"/>
      <c r="X227" s="22"/>
    </row>
    <row r="228" spans="2:24" x14ac:dyDescent="0.2">
      <c r="B228" s="17">
        <f t="shared" ca="1" si="67"/>
        <v>52291</v>
      </c>
      <c r="C228" s="9">
        <f t="shared" si="80"/>
        <v>224</v>
      </c>
      <c r="D228" s="9"/>
      <c r="E228" s="13">
        <f t="shared" si="68"/>
        <v>2486.1858057958175</v>
      </c>
      <c r="F228" s="14">
        <f t="shared" si="69"/>
        <v>401272.79630611459</v>
      </c>
      <c r="G228" s="15">
        <f t="shared" si="70"/>
        <v>0.46506502344520789</v>
      </c>
      <c r="H228" s="13">
        <f t="shared" si="71"/>
        <v>14452.217992770886</v>
      </c>
      <c r="I228" s="13">
        <f t="shared" si="72"/>
        <v>1067029.6691910364</v>
      </c>
      <c r="J228" s="15">
        <f t="shared" si="64"/>
        <v>0.53493497655479216</v>
      </c>
      <c r="K228" s="13">
        <f t="shared" si="73"/>
        <v>461558.79944254091</v>
      </c>
      <c r="L228" s="13">
        <f t="shared" si="81"/>
        <v>31292225.578036048</v>
      </c>
      <c r="M228" s="15">
        <f t="shared" si="74"/>
        <v>0.53493497655479216</v>
      </c>
      <c r="N228" s="13">
        <f t="shared" si="65"/>
        <v>5395.7317028935358</v>
      </c>
      <c r="O228" s="13">
        <f t="shared" si="75"/>
        <v>605470.86974849529</v>
      </c>
      <c r="P228" s="15">
        <f t="shared" si="66"/>
        <v>0.41236113401436647</v>
      </c>
      <c r="Q228" s="7">
        <f t="shared" si="76"/>
        <v>1468302.4654971508</v>
      </c>
      <c r="R228" s="7">
        <f t="shared" si="77"/>
        <v>862831.5957486555</v>
      </c>
      <c r="S228" s="13">
        <f>IF(Calc!$AD$32="Sim",R228,Q228)</f>
        <v>862831.5957486555</v>
      </c>
      <c r="T228" s="9">
        <f t="shared" si="78"/>
        <v>224</v>
      </c>
      <c r="U228" s="17">
        <f t="shared" ca="1" si="79"/>
        <v>52322</v>
      </c>
      <c r="V228" s="22"/>
      <c r="W228" s="22"/>
      <c r="X228" s="22"/>
    </row>
    <row r="229" spans="2:24" x14ac:dyDescent="0.2">
      <c r="B229" s="17">
        <f t="shared" ca="1" si="67"/>
        <v>52322</v>
      </c>
      <c r="C229" s="9">
        <f t="shared" si="80"/>
        <v>225</v>
      </c>
      <c r="D229" s="9"/>
      <c r="E229" s="13">
        <f t="shared" si="68"/>
        <v>2496.3148345177792</v>
      </c>
      <c r="F229" s="14">
        <f t="shared" si="69"/>
        <v>403769.11114063236</v>
      </c>
      <c r="G229" s="15">
        <f t="shared" si="70"/>
        <v>0.46370548005362078</v>
      </c>
      <c r="H229" s="13">
        <f t="shared" si="71"/>
        <v>14620.885187037753</v>
      </c>
      <c r="I229" s="13">
        <f t="shared" si="72"/>
        <v>1081650.5543780741</v>
      </c>
      <c r="J229" s="15">
        <f t="shared" si="64"/>
        <v>0.53629451994637922</v>
      </c>
      <c r="K229" s="13">
        <f t="shared" si="73"/>
        <v>466975.63635284634</v>
      </c>
      <c r="L229" s="13">
        <f t="shared" si="81"/>
        <v>31759201.214388892</v>
      </c>
      <c r="M229" s="15">
        <f t="shared" si="74"/>
        <v>0.53629451994637922</v>
      </c>
      <c r="N229" s="13">
        <f t="shared" si="65"/>
        <v>5458.6341504419061</v>
      </c>
      <c r="O229" s="13">
        <f t="shared" si="75"/>
        <v>614674.91802522773</v>
      </c>
      <c r="P229" s="15">
        <f t="shared" si="66"/>
        <v>0.41380556100998173</v>
      </c>
      <c r="Q229" s="7">
        <f t="shared" si="76"/>
        <v>1485419.6655187064</v>
      </c>
      <c r="R229" s="7">
        <f t="shared" si="77"/>
        <v>870744.7474934787</v>
      </c>
      <c r="S229" s="13">
        <f>IF(Calc!$AD$32="Sim",R229,Q229)</f>
        <v>870744.7474934787</v>
      </c>
      <c r="T229" s="9">
        <f t="shared" si="78"/>
        <v>225</v>
      </c>
      <c r="U229" s="17">
        <f t="shared" ca="1" si="79"/>
        <v>52352</v>
      </c>
      <c r="V229" s="22"/>
      <c r="W229" s="22"/>
      <c r="X229" s="22"/>
    </row>
    <row r="230" spans="2:24" x14ac:dyDescent="0.2">
      <c r="B230" s="17">
        <f t="shared" ca="1" si="67"/>
        <v>52352</v>
      </c>
      <c r="C230" s="9">
        <f t="shared" si="80"/>
        <v>226</v>
      </c>
      <c r="D230" s="9"/>
      <c r="E230" s="13">
        <f t="shared" si="68"/>
        <v>2506.4851301565623</v>
      </c>
      <c r="F230" s="14">
        <f t="shared" si="69"/>
        <v>406275.59627078893</v>
      </c>
      <c r="G230" s="15">
        <f t="shared" si="70"/>
        <v>0.46235054881554061</v>
      </c>
      <c r="H230" s="13">
        <f t="shared" si="71"/>
        <v>14791.332776767835</v>
      </c>
      <c r="I230" s="13">
        <f t="shared" si="72"/>
        <v>1096441.887154842</v>
      </c>
      <c r="J230" s="15">
        <f t="shared" si="64"/>
        <v>0.53764945118445939</v>
      </c>
      <c r="K230" s="13">
        <f t="shared" si="73"/>
        <v>472442.07219871832</v>
      </c>
      <c r="L230" s="13">
        <f t="shared" si="81"/>
        <v>32231643.286587611</v>
      </c>
      <c r="M230" s="15">
        <f t="shared" si="74"/>
        <v>0.53764945118445939</v>
      </c>
      <c r="N230" s="13">
        <f t="shared" si="65"/>
        <v>5522.2003342933167</v>
      </c>
      <c r="O230" s="13">
        <f t="shared" si="75"/>
        <v>623999.81495612371</v>
      </c>
      <c r="P230" s="15">
        <f t="shared" si="66"/>
        <v>0.41524759100668657</v>
      </c>
      <c r="Q230" s="7">
        <f t="shared" si="76"/>
        <v>1502717.483425631</v>
      </c>
      <c r="R230" s="7">
        <f t="shared" si="77"/>
        <v>878717.66846950725</v>
      </c>
      <c r="S230" s="13">
        <f>IF(Calc!$AD$32="Sim",R230,Q230)</f>
        <v>878717.66846950725</v>
      </c>
      <c r="T230" s="9">
        <f t="shared" si="78"/>
        <v>226</v>
      </c>
      <c r="U230" s="17">
        <f t="shared" ca="1" si="79"/>
        <v>52383</v>
      </c>
      <c r="V230" s="22"/>
      <c r="W230" s="22"/>
      <c r="X230" s="22"/>
    </row>
    <row r="231" spans="2:24" x14ac:dyDescent="0.2">
      <c r="B231" s="17">
        <f t="shared" ca="1" si="67"/>
        <v>52383</v>
      </c>
      <c r="C231" s="9">
        <f t="shared" si="80"/>
        <v>227</v>
      </c>
      <c r="D231" s="9"/>
      <c r="E231" s="13">
        <f t="shared" si="68"/>
        <v>2516.6968608386942</v>
      </c>
      <c r="F231" s="14">
        <f t="shared" si="69"/>
        <v>408792.29313162761</v>
      </c>
      <c r="G231" s="15">
        <f t="shared" si="70"/>
        <v>0.46100020984314999</v>
      </c>
      <c r="H231" s="13">
        <f t="shared" si="71"/>
        <v>14963.578901491052</v>
      </c>
      <c r="I231" s="13">
        <f t="shared" si="72"/>
        <v>1111405.4660563332</v>
      </c>
      <c r="J231" s="15">
        <f t="shared" si="64"/>
        <v>0.53899979015684996</v>
      </c>
      <c r="K231" s="13">
        <f t="shared" si="73"/>
        <v>477958.481386923</v>
      </c>
      <c r="L231" s="13">
        <f t="shared" si="81"/>
        <v>32709601.767974533</v>
      </c>
      <c r="M231" s="15">
        <f t="shared" si="74"/>
        <v>0.53899979015685007</v>
      </c>
      <c r="N231" s="13">
        <f t="shared" si="65"/>
        <v>5586.437015986955</v>
      </c>
      <c r="O231" s="13">
        <f t="shared" si="75"/>
        <v>633446.98466941016</v>
      </c>
      <c r="P231" s="15">
        <f t="shared" si="66"/>
        <v>0.41668722430414351</v>
      </c>
      <c r="Q231" s="7">
        <f t="shared" si="76"/>
        <v>1520197.7591879608</v>
      </c>
      <c r="R231" s="7">
        <f t="shared" si="77"/>
        <v>886750.77451855061</v>
      </c>
      <c r="S231" s="13">
        <f>IF(Calc!$AD$32="Sim",R231,Q231)</f>
        <v>886750.77451855061</v>
      </c>
      <c r="T231" s="9">
        <f t="shared" si="78"/>
        <v>227</v>
      </c>
      <c r="U231" s="17">
        <f t="shared" ca="1" si="79"/>
        <v>52413</v>
      </c>
      <c r="V231" s="22"/>
      <c r="W231" s="22"/>
      <c r="X231" s="22"/>
    </row>
    <row r="232" spans="2:24" x14ac:dyDescent="0.2">
      <c r="B232" s="17">
        <f t="shared" ca="1" si="67"/>
        <v>52413</v>
      </c>
      <c r="C232" s="9">
        <f t="shared" si="80"/>
        <v>228</v>
      </c>
      <c r="D232" s="9">
        <v>19</v>
      </c>
      <c r="E232" s="13">
        <f t="shared" si="68"/>
        <v>2526.9501953756703</v>
      </c>
      <c r="F232" s="14">
        <f t="shared" si="69"/>
        <v>411319.24332700326</v>
      </c>
      <c r="G232" s="15">
        <f t="shared" si="70"/>
        <v>0.4596544433855026</v>
      </c>
      <c r="H232" s="13">
        <f t="shared" si="71"/>
        <v>15137.641883039099</v>
      </c>
      <c r="I232" s="13">
        <f t="shared" si="72"/>
        <v>1126543.1079393723</v>
      </c>
      <c r="J232" s="15">
        <f t="shared" si="64"/>
        <v>0.54034555661449746</v>
      </c>
      <c r="K232" s="13">
        <f t="shared" si="73"/>
        <v>483525.24092839722</v>
      </c>
      <c r="L232" s="13">
        <f t="shared" si="81"/>
        <v>33193127.00890293</v>
      </c>
      <c r="M232" s="15">
        <f t="shared" si="74"/>
        <v>0.54034555661449735</v>
      </c>
      <c r="N232" s="13">
        <f t="shared" si="65"/>
        <v>5651.351025011596</v>
      </c>
      <c r="O232" s="13">
        <f t="shared" si="75"/>
        <v>643017.86701097502</v>
      </c>
      <c r="P232" s="15">
        <f t="shared" si="66"/>
        <v>0.41812446119216878</v>
      </c>
      <c r="Q232" s="7">
        <f t="shared" si="76"/>
        <v>1537862.3512663755</v>
      </c>
      <c r="R232" s="7">
        <f t="shared" si="77"/>
        <v>894844.48425540049</v>
      </c>
      <c r="S232" s="13">
        <f>IF(Calc!$AD$32="Sim",R232,Q232)</f>
        <v>894844.48425540049</v>
      </c>
      <c r="T232" s="9">
        <f t="shared" si="78"/>
        <v>228</v>
      </c>
      <c r="U232" s="17">
        <f t="shared" ca="1" si="79"/>
        <v>52444</v>
      </c>
      <c r="V232" s="22"/>
      <c r="W232" s="22"/>
      <c r="X232" s="22"/>
    </row>
    <row r="233" spans="2:24" x14ac:dyDescent="0.2">
      <c r="B233" s="17">
        <f t="shared" ca="1" si="67"/>
        <v>52444</v>
      </c>
      <c r="C233" s="9">
        <f t="shared" si="80"/>
        <v>229</v>
      </c>
      <c r="D233" s="9"/>
      <c r="E233" s="13">
        <f t="shared" si="68"/>
        <v>2537.2453032667454</v>
      </c>
      <c r="F233" s="14">
        <f t="shared" si="69"/>
        <v>413856.48863027</v>
      </c>
      <c r="G233" s="15">
        <f t="shared" si="70"/>
        <v>0.45831322982673517</v>
      </c>
      <c r="H233" s="13">
        <f t="shared" si="71"/>
        <v>15313.540227367568</v>
      </c>
      <c r="I233" s="13">
        <f t="shared" si="72"/>
        <v>1141856.6481667398</v>
      </c>
      <c r="J233" s="15">
        <f t="shared" si="64"/>
        <v>0.54168677017326483</v>
      </c>
      <c r="K233" s="13">
        <f t="shared" si="73"/>
        <v>489142.73045561148</v>
      </c>
      <c r="L233" s="13">
        <f t="shared" si="81"/>
        <v>33682269.739358544</v>
      </c>
      <c r="M233" s="15">
        <f t="shared" si="74"/>
        <v>0.54168677017326483</v>
      </c>
      <c r="N233" s="13">
        <f t="shared" si="65"/>
        <v>5716.9492594847525</v>
      </c>
      <c r="O233" s="13">
        <f t="shared" si="75"/>
        <v>652713.91771112825</v>
      </c>
      <c r="P233" s="15">
        <f t="shared" si="66"/>
        <v>0.41955930195136915</v>
      </c>
      <c r="Q233" s="7">
        <f t="shared" si="76"/>
        <v>1555713.1367970097</v>
      </c>
      <c r="R233" s="7">
        <f t="shared" si="77"/>
        <v>902999.21908588149</v>
      </c>
      <c r="S233" s="13">
        <f>IF(Calc!$AD$32="Sim",R233,Q233)</f>
        <v>902999.21908588149</v>
      </c>
      <c r="T233" s="9">
        <f t="shared" si="78"/>
        <v>229</v>
      </c>
      <c r="U233" s="17">
        <f t="shared" ca="1" si="79"/>
        <v>52475</v>
      </c>
      <c r="V233" s="22"/>
      <c r="W233" s="22"/>
      <c r="X233" s="22"/>
    </row>
    <row r="234" spans="2:24" x14ac:dyDescent="0.2">
      <c r="B234" s="17">
        <f t="shared" ca="1" si="67"/>
        <v>52475</v>
      </c>
      <c r="C234" s="9">
        <f t="shared" si="80"/>
        <v>230</v>
      </c>
      <c r="D234" s="9"/>
      <c r="E234" s="13">
        <f t="shared" si="68"/>
        <v>2547.5823547017344</v>
      </c>
      <c r="F234" s="14">
        <f t="shared" si="69"/>
        <v>416404.07098497171</v>
      </c>
      <c r="G234" s="15">
        <f t="shared" si="70"/>
        <v>0.45697654968431661</v>
      </c>
      <c r="H234" s="13">
        <f t="shared" si="71"/>
        <v>15491.292626396244</v>
      </c>
      <c r="I234" s="13">
        <f t="shared" si="72"/>
        <v>1157347.9407931361</v>
      </c>
      <c r="J234" s="15">
        <f t="shared" si="64"/>
        <v>0.54302345031568344</v>
      </c>
      <c r="K234" s="13">
        <f t="shared" si="73"/>
        <v>494811.33224004554</v>
      </c>
      <c r="L234" s="13">
        <f t="shared" si="81"/>
        <v>34177081.071598589</v>
      </c>
      <c r="M234" s="15">
        <f t="shared" si="74"/>
        <v>0.54302345031568333</v>
      </c>
      <c r="N234" s="13">
        <f t="shared" si="65"/>
        <v>5783.2386868385975</v>
      </c>
      <c r="O234" s="13">
        <f t="shared" si="75"/>
        <v>662536.6085530906</v>
      </c>
      <c r="P234" s="15">
        <f t="shared" si="66"/>
        <v>0.42099174685376373</v>
      </c>
      <c r="Q234" s="7">
        <f t="shared" si="76"/>
        <v>1573752.0117781078</v>
      </c>
      <c r="R234" s="7">
        <f t="shared" si="77"/>
        <v>911215.40322501725</v>
      </c>
      <c r="S234" s="13">
        <f>IF(Calc!$AD$32="Sim",R234,Q234)</f>
        <v>911215.40322501725</v>
      </c>
      <c r="T234" s="9">
        <f t="shared" si="78"/>
        <v>230</v>
      </c>
      <c r="U234" s="17">
        <f t="shared" ca="1" si="79"/>
        <v>52505</v>
      </c>
      <c r="V234" s="22"/>
      <c r="W234" s="22"/>
      <c r="X234" s="22"/>
    </row>
    <row r="235" spans="2:24" x14ac:dyDescent="0.2">
      <c r="B235" s="17">
        <f t="shared" ca="1" si="67"/>
        <v>52505</v>
      </c>
      <c r="C235" s="9">
        <f t="shared" si="80"/>
        <v>231</v>
      </c>
      <c r="D235" s="9"/>
      <c r="E235" s="13">
        <f t="shared" si="68"/>
        <v>2557.9615205638274</v>
      </c>
      <c r="F235" s="14">
        <f t="shared" si="69"/>
        <v>418962.03250553552</v>
      </c>
      <c r="G235" s="15">
        <f t="shared" si="70"/>
        <v>0.45564438360733273</v>
      </c>
      <c r="H235" s="13">
        <f t="shared" si="71"/>
        <v>15670.917959867753</v>
      </c>
      <c r="I235" s="13">
        <f t="shared" si="72"/>
        <v>1173018.8587530039</v>
      </c>
      <c r="J235" s="15">
        <f t="shared" si="64"/>
        <v>0.54435561639266727</v>
      </c>
      <c r="K235" s="13">
        <f t="shared" si="73"/>
        <v>500531.4312097783</v>
      </c>
      <c r="L235" s="13">
        <f t="shared" si="81"/>
        <v>34677612.50280837</v>
      </c>
      <c r="M235" s="15">
        <f t="shared" si="74"/>
        <v>0.54435561639266727</v>
      </c>
      <c r="N235" s="13">
        <f t="shared" si="65"/>
        <v>5850.2263445127173</v>
      </c>
      <c r="O235" s="13">
        <f t="shared" si="75"/>
        <v>672487.42754322558</v>
      </c>
      <c r="P235" s="15">
        <f t="shared" si="66"/>
        <v>0.42242179616338932</v>
      </c>
      <c r="Q235" s="7">
        <f t="shared" si="76"/>
        <v>1591980.8912585394</v>
      </c>
      <c r="R235" s="7">
        <f t="shared" si="77"/>
        <v>919493.46371531382</v>
      </c>
      <c r="S235" s="13">
        <f>IF(Calc!$AD$32="Sim",R235,Q235)</f>
        <v>919493.46371531382</v>
      </c>
      <c r="T235" s="9">
        <f t="shared" si="78"/>
        <v>231</v>
      </c>
      <c r="U235" s="17">
        <f t="shared" ca="1" si="79"/>
        <v>52536</v>
      </c>
      <c r="V235" s="22"/>
      <c r="W235" s="22"/>
      <c r="X235" s="22"/>
    </row>
    <row r="236" spans="2:24" x14ac:dyDescent="0.2">
      <c r="B236" s="17">
        <f t="shared" ca="1" si="67"/>
        <v>52536</v>
      </c>
      <c r="C236" s="9">
        <f t="shared" si="80"/>
        <v>232</v>
      </c>
      <c r="D236" s="9"/>
      <c r="E236" s="13">
        <f t="shared" si="68"/>
        <v>2568.3829724324137</v>
      </c>
      <c r="F236" s="14">
        <f t="shared" si="69"/>
        <v>421530.41547796794</v>
      </c>
      <c r="G236" s="15">
        <f t="shared" si="70"/>
        <v>0.45431671237480586</v>
      </c>
      <c r="H236" s="13">
        <f t="shared" si="71"/>
        <v>15852.435297224736</v>
      </c>
      <c r="I236" s="13">
        <f t="shared" si="72"/>
        <v>1188871.2940502285</v>
      </c>
      <c r="J236" s="15">
        <f t="shared" si="64"/>
        <v>0.54568328762519414</v>
      </c>
      <c r="K236" s="13">
        <f t="shared" si="73"/>
        <v>506303.41496719164</v>
      </c>
      <c r="L236" s="13">
        <f t="shared" si="81"/>
        <v>35183915.917775564</v>
      </c>
      <c r="M236" s="15">
        <f t="shared" si="74"/>
        <v>0.54568328762519414</v>
      </c>
      <c r="N236" s="13">
        <f t="shared" si="65"/>
        <v>5917.9193406537916</v>
      </c>
      <c r="O236" s="13">
        <f t="shared" si="75"/>
        <v>682567.87908303679</v>
      </c>
      <c r="P236" s="15">
        <f t="shared" si="66"/>
        <v>0.42384945013689196</v>
      </c>
      <c r="Q236" s="7">
        <f t="shared" si="76"/>
        <v>1610401.7095281964</v>
      </c>
      <c r="R236" s="7">
        <f t="shared" si="77"/>
        <v>927833.83044515958</v>
      </c>
      <c r="S236" s="13">
        <f>IF(Calc!$AD$32="Sim",R236,Q236)</f>
        <v>927833.83044515958</v>
      </c>
      <c r="T236" s="9">
        <f t="shared" si="78"/>
        <v>232</v>
      </c>
      <c r="U236" s="17">
        <f t="shared" ca="1" si="79"/>
        <v>52566</v>
      </c>
      <c r="V236" s="22"/>
      <c r="W236" s="22"/>
      <c r="X236" s="22"/>
    </row>
    <row r="237" spans="2:24" x14ac:dyDescent="0.2">
      <c r="B237" s="17">
        <f t="shared" ca="1" si="67"/>
        <v>52566</v>
      </c>
      <c r="C237" s="9">
        <f t="shared" si="80"/>
        <v>233</v>
      </c>
      <c r="D237" s="9"/>
      <c r="E237" s="13">
        <f t="shared" si="68"/>
        <v>2578.8468825859181</v>
      </c>
      <c r="F237" s="14">
        <f t="shared" si="69"/>
        <v>424109.26236055384</v>
      </c>
      <c r="G237" s="15">
        <f t="shared" si="70"/>
        <v>0.4529935168940486</v>
      </c>
      <c r="H237" s="13">
        <f t="shared" si="71"/>
        <v>16035.863899505774</v>
      </c>
      <c r="I237" s="13">
        <f t="shared" si="72"/>
        <v>1204907.1579497342</v>
      </c>
      <c r="J237" s="15">
        <f t="shared" si="64"/>
        <v>0.54700648310595135</v>
      </c>
      <c r="K237" s="13">
        <f t="shared" si="73"/>
        <v>512127.67380678968</v>
      </c>
      <c r="L237" s="13">
        <f t="shared" si="81"/>
        <v>35696043.59158235</v>
      </c>
      <c r="M237" s="15">
        <f t="shared" si="74"/>
        <v>0.54700648310595135</v>
      </c>
      <c r="N237" s="13">
        <f t="shared" si="65"/>
        <v>5986.3248548222355</v>
      </c>
      <c r="O237" s="13">
        <f t="shared" si="75"/>
        <v>692779.48414294445</v>
      </c>
      <c r="P237" s="15">
        <f t="shared" si="66"/>
        <v>0.42527470902410353</v>
      </c>
      <c r="Q237" s="7">
        <f t="shared" si="76"/>
        <v>1629016.420310288</v>
      </c>
      <c r="R237" s="7">
        <f t="shared" si="77"/>
        <v>936236.93616734352</v>
      </c>
      <c r="S237" s="13">
        <f>IF(Calc!$AD$32="Sim",R237,Q237)</f>
        <v>936236.93616734352</v>
      </c>
      <c r="T237" s="9">
        <f t="shared" si="78"/>
        <v>233</v>
      </c>
      <c r="U237" s="17">
        <f t="shared" ca="1" si="79"/>
        <v>52597</v>
      </c>
      <c r="V237" s="22"/>
      <c r="W237" s="22"/>
      <c r="X237" s="22"/>
    </row>
    <row r="238" spans="2:24" x14ac:dyDescent="0.2">
      <c r="B238" s="17">
        <f t="shared" ca="1" si="67"/>
        <v>52597</v>
      </c>
      <c r="C238" s="9">
        <f t="shared" si="80"/>
        <v>234</v>
      </c>
      <c r="D238" s="9"/>
      <c r="E238" s="13">
        <f t="shared" si="68"/>
        <v>2589.3534240046488</v>
      </c>
      <c r="F238" s="14">
        <f t="shared" si="69"/>
        <v>426698.61578455847</v>
      </c>
      <c r="G238" s="15">
        <f t="shared" si="70"/>
        <v>0.45167477819905066</v>
      </c>
      <c r="H238" s="13">
        <f t="shared" si="71"/>
        <v>16221.223221260179</v>
      </c>
      <c r="I238" s="13">
        <f t="shared" si="72"/>
        <v>1221128.3811709944</v>
      </c>
      <c r="J238" s="15">
        <f t="shared" si="64"/>
        <v>0.54832522180094934</v>
      </c>
      <c r="K238" s="13">
        <f t="shared" si="73"/>
        <v>518004.60073313396</v>
      </c>
      <c r="L238" s="13">
        <f t="shared" si="81"/>
        <v>36214048.192315482</v>
      </c>
      <c r="M238" s="15">
        <f t="shared" si="74"/>
        <v>0.54832522180094934</v>
      </c>
      <c r="N238" s="13">
        <f t="shared" si="65"/>
        <v>6055.4501387058926</v>
      </c>
      <c r="O238" s="13">
        <f t="shared" si="75"/>
        <v>703123.78043786041</v>
      </c>
      <c r="P238" s="15">
        <f t="shared" si="66"/>
        <v>0.42669757306860406</v>
      </c>
      <c r="Q238" s="7">
        <f t="shared" si="76"/>
        <v>1647826.9969555528</v>
      </c>
      <c r="R238" s="7">
        <f t="shared" si="77"/>
        <v>944703.21651769243</v>
      </c>
      <c r="S238" s="13">
        <f>IF(Calc!$AD$32="Sim",R238,Q238)</f>
        <v>944703.21651769243</v>
      </c>
      <c r="T238" s="9">
        <f t="shared" si="78"/>
        <v>234</v>
      </c>
      <c r="U238" s="17">
        <f t="shared" ca="1" si="79"/>
        <v>52628</v>
      </c>
      <c r="V238" s="22"/>
      <c r="W238" s="22"/>
      <c r="X238" s="22"/>
    </row>
    <row r="239" spans="2:24" x14ac:dyDescent="0.2">
      <c r="B239" s="17">
        <f t="shared" ca="1" si="67"/>
        <v>52628</v>
      </c>
      <c r="C239" s="9">
        <f t="shared" si="80"/>
        <v>235</v>
      </c>
      <c r="D239" s="9"/>
      <c r="E239" s="13">
        <f t="shared" si="68"/>
        <v>2599.9027703736574</v>
      </c>
      <c r="F239" s="14">
        <f t="shared" si="69"/>
        <v>429298.51855493215</v>
      </c>
      <c r="G239" s="15">
        <f t="shared" si="70"/>
        <v>0.45036047744889784</v>
      </c>
      <c r="H239" s="13">
        <f t="shared" si="71"/>
        <v>16408.532912481922</v>
      </c>
      <c r="I239" s="13">
        <f t="shared" si="72"/>
        <v>1237536.9140834762</v>
      </c>
      <c r="J239" s="15">
        <f t="shared" si="64"/>
        <v>0.54963952255110216</v>
      </c>
      <c r="K239" s="13">
        <f t="shared" si="73"/>
        <v>523934.59147889499</v>
      </c>
      <c r="L239" s="13">
        <f t="shared" si="81"/>
        <v>36737982.783794373</v>
      </c>
      <c r="M239" s="15">
        <f t="shared" si="74"/>
        <v>0.54963952255110216</v>
      </c>
      <c r="N239" s="13">
        <f t="shared" si="65"/>
        <v>6125.3025168408494</v>
      </c>
      <c r="O239" s="13">
        <f t="shared" si="75"/>
        <v>713602.32260458125</v>
      </c>
      <c r="P239" s="15">
        <f t="shared" si="66"/>
        <v>0.42811804250827029</v>
      </c>
      <c r="Q239" s="7">
        <f t="shared" si="76"/>
        <v>1666835.4326384084</v>
      </c>
      <c r="R239" s="7">
        <f t="shared" si="77"/>
        <v>953233.11003382714</v>
      </c>
      <c r="S239" s="13">
        <f>IF(Calc!$AD$32="Sim",R239,Q239)</f>
        <v>953233.11003382714</v>
      </c>
      <c r="T239" s="9">
        <f t="shared" si="78"/>
        <v>235</v>
      </c>
      <c r="U239" s="17">
        <f t="shared" ca="1" si="79"/>
        <v>52657</v>
      </c>
      <c r="V239" s="22"/>
      <c r="W239" s="22"/>
      <c r="X239" s="22"/>
    </row>
    <row r="240" spans="2:24" x14ac:dyDescent="0.2">
      <c r="B240" s="17">
        <f t="shared" ca="1" si="67"/>
        <v>52657</v>
      </c>
      <c r="C240" s="9">
        <f t="shared" si="80"/>
        <v>236</v>
      </c>
      <c r="D240" s="9"/>
      <c r="E240" s="13">
        <f t="shared" si="68"/>
        <v>2610.4950960856099</v>
      </c>
      <c r="F240" s="14">
        <f t="shared" si="69"/>
        <v>431909.01365101774</v>
      </c>
      <c r="G240" s="15">
        <f t="shared" si="70"/>
        <v>0.4490505959262221</v>
      </c>
      <c r="H240" s="13">
        <f t="shared" si="71"/>
        <v>16597.812820562795</v>
      </c>
      <c r="I240" s="13">
        <f t="shared" si="72"/>
        <v>1254134.726904039</v>
      </c>
      <c r="J240" s="15">
        <f t="shared" si="64"/>
        <v>0.5509494040737779</v>
      </c>
      <c r="K240" s="13">
        <f t="shared" si="73"/>
        <v>529918.04452302214</v>
      </c>
      <c r="L240" s="13">
        <f t="shared" si="81"/>
        <v>37267900.828317396</v>
      </c>
      <c r="M240" s="15">
        <f t="shared" si="74"/>
        <v>0.55094940407377779</v>
      </c>
      <c r="N240" s="13">
        <f t="shared" si="65"/>
        <v>6195.8893873394345</v>
      </c>
      <c r="O240" s="13">
        <f t="shared" si="75"/>
        <v>724216.6823810169</v>
      </c>
      <c r="P240" s="15">
        <f t="shared" si="66"/>
        <v>0.42953611757581089</v>
      </c>
      <c r="Q240" s="7">
        <f t="shared" si="76"/>
        <v>1686043.7405550568</v>
      </c>
      <c r="R240" s="7">
        <f t="shared" si="77"/>
        <v>961827.05817403994</v>
      </c>
      <c r="S240" s="13">
        <f>IF(Calc!$AD$32="Sim",R240,Q240)</f>
        <v>961827.05817403994</v>
      </c>
      <c r="T240" s="9">
        <f t="shared" si="78"/>
        <v>236</v>
      </c>
      <c r="U240" s="17">
        <f t="shared" ca="1" si="79"/>
        <v>52688</v>
      </c>
      <c r="V240" s="22"/>
      <c r="W240" s="22"/>
      <c r="X240" s="22"/>
    </row>
    <row r="241" spans="2:24" x14ac:dyDescent="0.2">
      <c r="B241" s="17">
        <f t="shared" ca="1" si="67"/>
        <v>52688</v>
      </c>
      <c r="C241" s="9">
        <f t="shared" si="80"/>
        <v>237</v>
      </c>
      <c r="D241" s="9"/>
      <c r="E241" s="13">
        <f t="shared" si="68"/>
        <v>2621.1305762436696</v>
      </c>
      <c r="F241" s="14">
        <f t="shared" si="69"/>
        <v>434530.14422726142</v>
      </c>
      <c r="G241" s="15">
        <f t="shared" si="70"/>
        <v>0.44774511503568348</v>
      </c>
      <c r="H241" s="13">
        <f t="shared" si="71"/>
        <v>16789.082992265117</v>
      </c>
      <c r="I241" s="13">
        <f t="shared" si="72"/>
        <v>1270923.8098963043</v>
      </c>
      <c r="J241" s="15">
        <f t="shared" si="64"/>
        <v>0.55225488496431652</v>
      </c>
      <c r="K241" s="13">
        <f t="shared" si="73"/>
        <v>535955.36110903043</v>
      </c>
      <c r="L241" s="13">
        <f t="shared" si="81"/>
        <v>37803856.18942643</v>
      </c>
      <c r="M241" s="15">
        <f t="shared" si="74"/>
        <v>0.55225488496431652</v>
      </c>
      <c r="N241" s="13">
        <f t="shared" si="65"/>
        <v>6267.2182226254772</v>
      </c>
      <c r="O241" s="13">
        <f t="shared" si="75"/>
        <v>734968.44878727361</v>
      </c>
      <c r="P241" s="15">
        <f t="shared" si="66"/>
        <v>0.4309517984992885</v>
      </c>
      <c r="Q241" s="7">
        <f t="shared" si="76"/>
        <v>1705453.9541235655</v>
      </c>
      <c r="R241" s="7">
        <f t="shared" si="77"/>
        <v>970485.50533629186</v>
      </c>
      <c r="S241" s="13">
        <f>IF(Calc!$AD$32="Sim",R241,Q241)</f>
        <v>970485.50533629186</v>
      </c>
      <c r="T241" s="9">
        <f t="shared" si="78"/>
        <v>237</v>
      </c>
      <c r="U241" s="17">
        <f t="shared" ca="1" si="79"/>
        <v>52718</v>
      </c>
      <c r="V241" s="22"/>
      <c r="W241" s="22"/>
      <c r="X241" s="22"/>
    </row>
    <row r="242" spans="2:24" x14ac:dyDescent="0.2">
      <c r="B242" s="17">
        <f t="shared" ca="1" si="67"/>
        <v>52718</v>
      </c>
      <c r="C242" s="9">
        <f t="shared" si="80"/>
        <v>238</v>
      </c>
      <c r="D242" s="9"/>
      <c r="E242" s="13">
        <f t="shared" si="68"/>
        <v>2631.8093866643917</v>
      </c>
      <c r="F242" s="14">
        <f t="shared" si="69"/>
        <v>437161.95361392584</v>
      </c>
      <c r="G242" s="15">
        <f t="shared" si="70"/>
        <v>0.44644401630248021</v>
      </c>
      <c r="H242" s="13">
        <f t="shared" si="71"/>
        <v>16982.363675714056</v>
      </c>
      <c r="I242" s="13">
        <f t="shared" si="72"/>
        <v>1287906.1735720183</v>
      </c>
      <c r="J242" s="15">
        <f t="shared" si="64"/>
        <v>0.55355598369751979</v>
      </c>
      <c r="K242" s="13">
        <f t="shared" si="73"/>
        <v>542046.94526340743</v>
      </c>
      <c r="L242" s="13">
        <f t="shared" si="81"/>
        <v>38345903.134689838</v>
      </c>
      <c r="M242" s="15">
        <f t="shared" si="74"/>
        <v>0.55355598369751979</v>
      </c>
      <c r="N242" s="13">
        <f t="shared" si="65"/>
        <v>6339.2965701768999</v>
      </c>
      <c r="O242" s="13">
        <f t="shared" si="75"/>
        <v>745859.2283086105</v>
      </c>
      <c r="P242" s="15">
        <f t="shared" si="66"/>
        <v>0.43236508550262892</v>
      </c>
      <c r="Q242" s="7">
        <f t="shared" si="76"/>
        <v>1725068.1271859438</v>
      </c>
      <c r="R242" s="7">
        <f t="shared" si="77"/>
        <v>979208.89887733327</v>
      </c>
      <c r="S242" s="13">
        <f>IF(Calc!$AD$32="Sim",R242,Q242)</f>
        <v>979208.89887733327</v>
      </c>
      <c r="T242" s="9">
        <f t="shared" si="78"/>
        <v>238</v>
      </c>
      <c r="U242" s="17">
        <f t="shared" ca="1" si="79"/>
        <v>52749</v>
      </c>
      <c r="V242" s="22"/>
      <c r="W242" s="22"/>
      <c r="X242" s="22"/>
    </row>
    <row r="243" spans="2:24" x14ac:dyDescent="0.2">
      <c r="B243" s="17">
        <f t="shared" ca="1" si="67"/>
        <v>52749</v>
      </c>
      <c r="C243" s="9">
        <f t="shared" si="80"/>
        <v>239</v>
      </c>
      <c r="D243" s="9"/>
      <c r="E243" s="13">
        <f t="shared" si="68"/>
        <v>2642.5317038806302</v>
      </c>
      <c r="F243" s="14">
        <f t="shared" si="69"/>
        <v>439804.48531780648</v>
      </c>
      <c r="G243" s="15">
        <f t="shared" si="70"/>
        <v>0.44514728137088921</v>
      </c>
      <c r="H243" s="13">
        <f t="shared" si="71"/>
        <v>17177.675322409836</v>
      </c>
      <c r="I243" s="13">
        <f t="shared" si="72"/>
        <v>1305083.848894428</v>
      </c>
      <c r="J243" s="15">
        <f t="shared" si="64"/>
        <v>0.55485271862911079</v>
      </c>
      <c r="K243" s="13">
        <f t="shared" si="73"/>
        <v>548193.20381413901</v>
      </c>
      <c r="L243" s="13">
        <f t="shared" si="81"/>
        <v>38894096.338503979</v>
      </c>
      <c r="M243" s="15">
        <f t="shared" si="74"/>
        <v>0.55485271862911079</v>
      </c>
      <c r="N243" s="13">
        <f t="shared" si="65"/>
        <v>6412.1320532757172</v>
      </c>
      <c r="O243" s="13">
        <f t="shared" si="75"/>
        <v>756890.64508028876</v>
      </c>
      <c r="P243" s="15">
        <f t="shared" si="66"/>
        <v>0.43377597880611807</v>
      </c>
      <c r="Q243" s="7">
        <f t="shared" si="76"/>
        <v>1744888.3342122342</v>
      </c>
      <c r="R243" s="7">
        <f t="shared" si="77"/>
        <v>987997.68913194549</v>
      </c>
      <c r="S243" s="13">
        <f>IF(Calc!$AD$32="Sim",R243,Q243)</f>
        <v>987997.68913194549</v>
      </c>
      <c r="T243" s="9">
        <f t="shared" si="78"/>
        <v>239</v>
      </c>
      <c r="U243" s="17">
        <f t="shared" ca="1" si="79"/>
        <v>52779</v>
      </c>
      <c r="V243" s="22"/>
      <c r="W243" s="22"/>
      <c r="X243" s="22"/>
    </row>
    <row r="244" spans="2:24" x14ac:dyDescent="0.2">
      <c r="B244" s="17">
        <f t="shared" ca="1" si="67"/>
        <v>52779</v>
      </c>
      <c r="C244" s="9">
        <f t="shared" si="80"/>
        <v>240</v>
      </c>
      <c r="D244" s="9">
        <v>20</v>
      </c>
      <c r="E244" s="13">
        <f t="shared" si="68"/>
        <v>2653.297705144455</v>
      </c>
      <c r="F244" s="14">
        <f t="shared" si="69"/>
        <v>442457.78302295093</v>
      </c>
      <c r="G244" s="15">
        <f t="shared" si="70"/>
        <v>0.44385489200283479</v>
      </c>
      <c r="H244" s="13">
        <f t="shared" si="71"/>
        <v>17375.038589260028</v>
      </c>
      <c r="I244" s="13">
        <f t="shared" si="72"/>
        <v>1322458.8874836881</v>
      </c>
      <c r="J244" s="15">
        <f t="shared" si="64"/>
        <v>0.55614510799716521</v>
      </c>
      <c r="K244" s="13">
        <f t="shared" si="73"/>
        <v>554394.54640935617</v>
      </c>
      <c r="L244" s="13">
        <f t="shared" si="81"/>
        <v>39448490.884913333</v>
      </c>
      <c r="M244" s="15">
        <f t="shared" si="74"/>
        <v>0.55614510799716532</v>
      </c>
      <c r="N244" s="13">
        <f t="shared" si="65"/>
        <v>6485.7323717655054</v>
      </c>
      <c r="O244" s="13">
        <f t="shared" si="75"/>
        <v>768064.34107433166</v>
      </c>
      <c r="P244" s="15">
        <f t="shared" si="66"/>
        <v>0.43518447862688631</v>
      </c>
      <c r="Q244" s="7">
        <f t="shared" si="76"/>
        <v>1764916.6705066387</v>
      </c>
      <c r="R244" s="7">
        <f t="shared" si="77"/>
        <v>996852.32943230704</v>
      </c>
      <c r="S244" s="13">
        <f>IF(Calc!$AD$32="Sim",R244,Q244)</f>
        <v>996852.32943230704</v>
      </c>
      <c r="T244" s="9">
        <f t="shared" si="78"/>
        <v>240</v>
      </c>
      <c r="U244" s="17">
        <f t="shared" ca="1" si="79"/>
        <v>52810</v>
      </c>
      <c r="V244" s="22"/>
      <c r="W244" s="22"/>
      <c r="X244" s="22"/>
    </row>
    <row r="245" spans="2:24" x14ac:dyDescent="0.2">
      <c r="B245" s="17">
        <f t="shared" ca="1" si="67"/>
        <v>52810</v>
      </c>
      <c r="C245" s="9">
        <f t="shared" si="80"/>
        <v>241</v>
      </c>
      <c r="D245" s="9"/>
      <c r="E245" s="13">
        <f t="shared" si="68"/>
        <v>2664.1075684300836</v>
      </c>
      <c r="F245" s="14">
        <f t="shared" si="69"/>
        <v>445121.890591381</v>
      </c>
      <c r="G245" s="15">
        <f t="shared" si="70"/>
        <v>0.44256683007648434</v>
      </c>
      <c r="H245" s="13">
        <f t="shared" si="71"/>
        <v>17574.474340632085</v>
      </c>
      <c r="I245" s="13">
        <f t="shared" si="72"/>
        <v>1340033.3618243202</v>
      </c>
      <c r="J245" s="15">
        <f t="shared" si="64"/>
        <v>0.55743316992351566</v>
      </c>
      <c r="K245" s="13">
        <f t="shared" si="73"/>
        <v>560651.38553610258</v>
      </c>
      <c r="L245" s="13">
        <f t="shared" si="81"/>
        <v>40009142.270449437</v>
      </c>
      <c r="M245" s="15">
        <f t="shared" si="74"/>
        <v>0.55743316992351566</v>
      </c>
      <c r="N245" s="13">
        <f t="shared" si="65"/>
        <v>6560.1053028164379</v>
      </c>
      <c r="O245" s="13">
        <f t="shared" si="75"/>
        <v>779381.97628821724</v>
      </c>
      <c r="P245" s="15">
        <f t="shared" si="66"/>
        <v>0.43659058517938149</v>
      </c>
      <c r="Q245" s="7">
        <f t="shared" si="76"/>
        <v>1785155.2524157008</v>
      </c>
      <c r="R245" s="7">
        <f t="shared" si="77"/>
        <v>1005773.2761274836</v>
      </c>
      <c r="S245" s="13">
        <f>IF(Calc!$AD$32="Sim",R245,Q245)</f>
        <v>1005773.2761274836</v>
      </c>
      <c r="T245" s="9">
        <f t="shared" si="78"/>
        <v>241</v>
      </c>
      <c r="U245" s="17">
        <f t="shared" ca="1" si="79"/>
        <v>52841</v>
      </c>
      <c r="V245" s="22"/>
      <c r="W245" s="22"/>
      <c r="X245" s="22"/>
    </row>
    <row r="246" spans="2:24" x14ac:dyDescent="0.2">
      <c r="B246" s="17">
        <f t="shared" ca="1" si="67"/>
        <v>52841</v>
      </c>
      <c r="C246" s="9">
        <f t="shared" si="80"/>
        <v>242</v>
      </c>
      <c r="D246" s="9"/>
      <c r="E246" s="13">
        <f t="shared" si="68"/>
        <v>2674.9614724368221</v>
      </c>
      <c r="F246" s="14">
        <f t="shared" si="69"/>
        <v>447796.85206381785</v>
      </c>
      <c r="G246" s="15">
        <f t="shared" si="70"/>
        <v>0.44128307758487195</v>
      </c>
      <c r="H246" s="13">
        <f t="shared" si="71"/>
        <v>17776.003650426348</v>
      </c>
      <c r="I246" s="13">
        <f t="shared" si="72"/>
        <v>1357809.3654747466</v>
      </c>
      <c r="J246" s="15">
        <f t="shared" si="64"/>
        <v>0.55871692241512805</v>
      </c>
      <c r="K246" s="13">
        <f t="shared" si="73"/>
        <v>566964.13653922477</v>
      </c>
      <c r="L246" s="13">
        <f t="shared" si="81"/>
        <v>40576106.406988665</v>
      </c>
      <c r="M246" s="15">
        <f t="shared" si="74"/>
        <v>0.55871692241512794</v>
      </c>
      <c r="N246" s="13">
        <f t="shared" si="65"/>
        <v>6635.2587016979414</v>
      </c>
      <c r="O246" s="13">
        <f t="shared" si="75"/>
        <v>790845.22893552133</v>
      </c>
      <c r="P246" s="15">
        <f t="shared" si="66"/>
        <v>0.4379942986758299</v>
      </c>
      <c r="Q246" s="7">
        <f t="shared" si="76"/>
        <v>1805606.217538564</v>
      </c>
      <c r="R246" s="7">
        <f t="shared" si="77"/>
        <v>1014760.9886030427</v>
      </c>
      <c r="S246" s="13">
        <f>IF(Calc!$AD$32="Sim",R246,Q246)</f>
        <v>1014760.9886030427</v>
      </c>
      <c r="T246" s="9">
        <f t="shared" si="78"/>
        <v>242</v>
      </c>
      <c r="U246" s="17">
        <f t="shared" ca="1" si="79"/>
        <v>52871</v>
      </c>
      <c r="V246" s="22"/>
      <c r="W246" s="22"/>
      <c r="X246" s="22"/>
    </row>
    <row r="247" spans="2:24" x14ac:dyDescent="0.2">
      <c r="B247" s="17">
        <f t="shared" ca="1" si="67"/>
        <v>52871</v>
      </c>
      <c r="C247" s="9">
        <f t="shared" si="80"/>
        <v>243</v>
      </c>
      <c r="D247" s="9"/>
      <c r="E247" s="13">
        <f t="shared" si="68"/>
        <v>2685.8595965920199</v>
      </c>
      <c r="F247" s="14">
        <f t="shared" si="69"/>
        <v>450482.71166040987</v>
      </c>
      <c r="G247" s="15">
        <f t="shared" si="70"/>
        <v>0.44000361663454746</v>
      </c>
      <c r="H247" s="13">
        <f t="shared" si="71"/>
        <v>17979.647804169737</v>
      </c>
      <c r="I247" s="13">
        <f t="shared" si="72"/>
        <v>1375789.0132789162</v>
      </c>
      <c r="J247" s="15">
        <f t="shared" si="64"/>
        <v>0.55999638336545254</v>
      </c>
      <c r="K247" s="13">
        <f t="shared" si="73"/>
        <v>573333.21764038503</v>
      </c>
      <c r="L247" s="13">
        <f t="shared" si="81"/>
        <v>41149439.62462905</v>
      </c>
      <c r="M247" s="15">
        <f t="shared" si="74"/>
        <v>0.55999638336545265</v>
      </c>
      <c r="N247" s="13">
        <f t="shared" si="65"/>
        <v>6711.2005025590579</v>
      </c>
      <c r="O247" s="13">
        <f t="shared" si="75"/>
        <v>802455.79563853075</v>
      </c>
      <c r="P247" s="15">
        <f t="shared" si="66"/>
        <v>0.43939561932668636</v>
      </c>
      <c r="Q247" s="7">
        <f t="shared" si="76"/>
        <v>1826271.7249393256</v>
      </c>
      <c r="R247" s="7">
        <f t="shared" si="77"/>
        <v>1023815.9293007948</v>
      </c>
      <c r="S247" s="13">
        <f>IF(Calc!$AD$32="Sim",R247,Q247)</f>
        <v>1023815.9293007948</v>
      </c>
      <c r="T247" s="9">
        <f t="shared" si="78"/>
        <v>243</v>
      </c>
      <c r="U247" s="17">
        <f t="shared" ca="1" si="79"/>
        <v>52902</v>
      </c>
      <c r="V247" s="22"/>
      <c r="W247" s="22"/>
      <c r="X247" s="22"/>
    </row>
    <row r="248" spans="2:24" x14ac:dyDescent="0.2">
      <c r="B248" s="17">
        <f t="shared" ca="1" si="67"/>
        <v>52902</v>
      </c>
      <c r="C248" s="9">
        <f t="shared" si="80"/>
        <v>244</v>
      </c>
      <c r="D248" s="9"/>
      <c r="E248" s="13">
        <f t="shared" si="68"/>
        <v>2696.8021210540355</v>
      </c>
      <c r="F248" s="14">
        <f t="shared" si="69"/>
        <v>453179.5137814639</v>
      </c>
      <c r="G248" s="15">
        <f t="shared" si="70"/>
        <v>0.43872842944425205</v>
      </c>
      <c r="H248" s="13">
        <f t="shared" si="71"/>
        <v>18185.428301130294</v>
      </c>
      <c r="I248" s="13">
        <f t="shared" si="72"/>
        <v>1393974.4415800464</v>
      </c>
      <c r="J248" s="15">
        <f t="shared" si="64"/>
        <v>0.56127157055574795</v>
      </c>
      <c r="K248" s="13">
        <f t="shared" si="73"/>
        <v>579759.04995719646</v>
      </c>
      <c r="L248" s="13">
        <f t="shared" si="81"/>
        <v>41729198.674586244</v>
      </c>
      <c r="M248" s="15">
        <f t="shared" si="74"/>
        <v>0.56127157055574795</v>
      </c>
      <c r="N248" s="13">
        <f t="shared" si="65"/>
        <v>6787.9387192165887</v>
      </c>
      <c r="O248" s="13">
        <f t="shared" si="75"/>
        <v>814215.39162284962</v>
      </c>
      <c r="P248" s="15">
        <f t="shared" si="66"/>
        <v>0.44079454734107315</v>
      </c>
      <c r="Q248" s="7">
        <f t="shared" si="76"/>
        <v>1847153.9553615099</v>
      </c>
      <c r="R248" s="7">
        <f t="shared" si="77"/>
        <v>1032938.5637386603</v>
      </c>
      <c r="S248" s="13">
        <f>IF(Calc!$AD$32="Sim",R248,Q248)</f>
        <v>1032938.5637386603</v>
      </c>
      <c r="T248" s="9">
        <f t="shared" si="78"/>
        <v>244</v>
      </c>
      <c r="U248" s="17">
        <f t="shared" ca="1" si="79"/>
        <v>52932</v>
      </c>
      <c r="V248" s="22"/>
      <c r="W248" s="22"/>
      <c r="X248" s="22"/>
    </row>
    <row r="249" spans="2:24" x14ac:dyDescent="0.2">
      <c r="B249" s="17">
        <f t="shared" ca="1" si="67"/>
        <v>52932</v>
      </c>
      <c r="C249" s="9">
        <f t="shared" si="80"/>
        <v>245</v>
      </c>
      <c r="D249" s="9"/>
      <c r="E249" s="13">
        <f t="shared" si="68"/>
        <v>2707.7892267152151</v>
      </c>
      <c r="F249" s="14">
        <f t="shared" si="69"/>
        <v>455887.30300817912</v>
      </c>
      <c r="G249" s="15">
        <f t="shared" si="70"/>
        <v>0.43745749834361841</v>
      </c>
      <c r="H249" s="13">
        <f t="shared" si="71"/>
        <v>18393.366856452849</v>
      </c>
      <c r="I249" s="13">
        <f t="shared" si="72"/>
        <v>1412367.8084364992</v>
      </c>
      <c r="J249" s="15">
        <f t="shared" si="64"/>
        <v>0.56254250165638164</v>
      </c>
      <c r="K249" s="13">
        <f t="shared" si="73"/>
        <v>586242.05752248503</v>
      </c>
      <c r="L249" s="13">
        <f t="shared" si="81"/>
        <v>42315440.732108727</v>
      </c>
      <c r="M249" s="15">
        <f t="shared" si="74"/>
        <v>0.56254250165638164</v>
      </c>
      <c r="N249" s="13">
        <f t="shared" si="65"/>
        <v>6865.4814459510999</v>
      </c>
      <c r="O249" s="13">
        <f t="shared" si="75"/>
        <v>826125.75091401383</v>
      </c>
      <c r="P249" s="15">
        <f t="shared" si="66"/>
        <v>0.44219108292720799</v>
      </c>
      <c r="Q249" s="7">
        <f t="shared" si="76"/>
        <v>1868255.1114446779</v>
      </c>
      <c r="R249" s="7">
        <f t="shared" si="77"/>
        <v>1042129.3605306641</v>
      </c>
      <c r="S249" s="13">
        <f>IF(Calc!$AD$32="Sim",R249,Q249)</f>
        <v>1042129.3605306641</v>
      </c>
      <c r="T249" s="9">
        <f t="shared" si="78"/>
        <v>245</v>
      </c>
      <c r="U249" s="17">
        <f t="shared" ca="1" si="79"/>
        <v>52963</v>
      </c>
      <c r="V249" s="22"/>
      <c r="W249" s="22"/>
      <c r="X249" s="22"/>
    </row>
    <row r="250" spans="2:24" x14ac:dyDescent="0.2">
      <c r="B250" s="17">
        <f t="shared" ca="1" si="67"/>
        <v>52963</v>
      </c>
      <c r="C250" s="9">
        <f t="shared" si="80"/>
        <v>246</v>
      </c>
      <c r="D250" s="9"/>
      <c r="E250" s="13">
        <f t="shared" si="68"/>
        <v>2718.8210952048826</v>
      </c>
      <c r="F250" s="14">
        <f t="shared" si="69"/>
        <v>458606.12410338398</v>
      </c>
      <c r="G250" s="15">
        <f t="shared" si="70"/>
        <v>0.43619080577189528</v>
      </c>
      <c r="H250" s="13">
        <f t="shared" si="71"/>
        <v>18603.485403315946</v>
      </c>
      <c r="I250" s="13">
        <f t="shared" si="72"/>
        <v>1430971.2938398151</v>
      </c>
      <c r="J250" s="15">
        <f t="shared" si="64"/>
        <v>0.56380919422810472</v>
      </c>
      <c r="K250" s="13">
        <f t="shared" si="73"/>
        <v>592782.66730367451</v>
      </c>
      <c r="L250" s="13">
        <f t="shared" si="81"/>
        <v>42908223.399412401</v>
      </c>
      <c r="M250" s="15">
        <f t="shared" si="74"/>
        <v>0.56380919422810472</v>
      </c>
      <c r="N250" s="13">
        <f t="shared" si="65"/>
        <v>6943.8368583108595</v>
      </c>
      <c r="O250" s="13">
        <f t="shared" si="75"/>
        <v>838188.62653614022</v>
      </c>
      <c r="P250" s="15">
        <f t="shared" si="66"/>
        <v>0.44358522629282204</v>
      </c>
      <c r="Q250" s="7">
        <f t="shared" si="76"/>
        <v>1889577.4179431987</v>
      </c>
      <c r="R250" s="7">
        <f t="shared" si="77"/>
        <v>1051388.7914070585</v>
      </c>
      <c r="S250" s="13">
        <f>IF(Calc!$AD$32="Sim",R250,Q250)</f>
        <v>1051388.7914070585</v>
      </c>
      <c r="T250" s="9">
        <f t="shared" si="78"/>
        <v>246</v>
      </c>
      <c r="U250" s="17">
        <f t="shared" ca="1" si="79"/>
        <v>52994</v>
      </c>
      <c r="V250" s="22"/>
      <c r="W250" s="22"/>
      <c r="X250" s="22"/>
    </row>
    <row r="251" spans="2:24" x14ac:dyDescent="0.2">
      <c r="B251" s="17">
        <f t="shared" ca="1" si="67"/>
        <v>52994</v>
      </c>
      <c r="C251" s="9">
        <f t="shared" si="80"/>
        <v>247</v>
      </c>
      <c r="D251" s="9"/>
      <c r="E251" s="13">
        <f t="shared" si="68"/>
        <v>2729.8979088923415</v>
      </c>
      <c r="F251" s="14">
        <f t="shared" si="69"/>
        <v>461336.02201227634</v>
      </c>
      <c r="G251" s="15">
        <f t="shared" si="70"/>
        <v>0.43492833427669642</v>
      </c>
      <c r="H251" s="13">
        <f t="shared" si="71"/>
        <v>18815.806095110293</v>
      </c>
      <c r="I251" s="13">
        <f t="shared" si="72"/>
        <v>1449787.0999349253</v>
      </c>
      <c r="J251" s="15">
        <f t="shared" si="64"/>
        <v>0.56507166572330358</v>
      </c>
      <c r="K251" s="13">
        <f t="shared" si="73"/>
        <v>599381.30922229821</v>
      </c>
      <c r="L251" s="13">
        <f t="shared" si="81"/>
        <v>43507604.708634697</v>
      </c>
      <c r="M251" s="15">
        <f t="shared" si="74"/>
        <v>0.56507166572330358</v>
      </c>
      <c r="N251" s="13">
        <f t="shared" si="65"/>
        <v>7023.0132139237985</v>
      </c>
      <c r="O251" s="13">
        <f t="shared" si="75"/>
        <v>850405.79071262665</v>
      </c>
      <c r="P251" s="15">
        <f t="shared" si="66"/>
        <v>0.44497697764556737</v>
      </c>
      <c r="Q251" s="7">
        <f t="shared" si="76"/>
        <v>1911123.1219472012</v>
      </c>
      <c r="R251" s="7">
        <f t="shared" si="77"/>
        <v>1060717.3312345746</v>
      </c>
      <c r="S251" s="13">
        <f>IF(Calc!$AD$32="Sim",R251,Q251)</f>
        <v>1060717.3312345746</v>
      </c>
      <c r="T251" s="9">
        <f t="shared" si="78"/>
        <v>247</v>
      </c>
      <c r="U251" s="17">
        <f t="shared" ca="1" si="79"/>
        <v>53022</v>
      </c>
      <c r="V251" s="22"/>
      <c r="W251" s="22"/>
      <c r="X251" s="22"/>
    </row>
    <row r="252" spans="2:24" x14ac:dyDescent="0.2">
      <c r="B252" s="17">
        <f t="shared" ca="1" si="67"/>
        <v>53022</v>
      </c>
      <c r="C252" s="9">
        <f t="shared" si="80"/>
        <v>248</v>
      </c>
      <c r="D252" s="9"/>
      <c r="E252" s="13">
        <f t="shared" si="68"/>
        <v>2741.0198508898916</v>
      </c>
      <c r="F252" s="14">
        <f t="shared" si="69"/>
        <v>464077.04186316626</v>
      </c>
      <c r="G252" s="15">
        <f t="shared" si="70"/>
        <v>0.43367006651277157</v>
      </c>
      <c r="H252" s="13">
        <f t="shared" si="71"/>
        <v>19030.351307638939</v>
      </c>
      <c r="I252" s="13">
        <f t="shared" si="72"/>
        <v>1468817.4512425642</v>
      </c>
      <c r="J252" s="15">
        <f t="shared" si="64"/>
        <v>0.56632993348722849</v>
      </c>
      <c r="K252" s="13">
        <f t="shared" si="73"/>
        <v>606038.41617363878</v>
      </c>
      <c r="L252" s="13">
        <f t="shared" si="81"/>
        <v>44113643.124808334</v>
      </c>
      <c r="M252" s="15">
        <f t="shared" si="74"/>
        <v>0.56632993348722838</v>
      </c>
      <c r="N252" s="13">
        <f t="shared" si="65"/>
        <v>7103.0188533175597</v>
      </c>
      <c r="O252" s="13">
        <f t="shared" si="75"/>
        <v>862779.035068925</v>
      </c>
      <c r="P252" s="15">
        <f t="shared" si="66"/>
        <v>0.44636633719341384</v>
      </c>
      <c r="Q252" s="7">
        <f t="shared" si="76"/>
        <v>1932894.49310573</v>
      </c>
      <c r="R252" s="7">
        <f t="shared" si="77"/>
        <v>1070115.458036805</v>
      </c>
      <c r="S252" s="13">
        <f>IF(Calc!$AD$32="Sim",R252,Q252)</f>
        <v>1070115.458036805</v>
      </c>
      <c r="T252" s="9">
        <f t="shared" si="78"/>
        <v>248</v>
      </c>
      <c r="U252" s="17">
        <f t="shared" ca="1" si="79"/>
        <v>53053</v>
      </c>
      <c r="V252" s="22"/>
      <c r="W252" s="22"/>
      <c r="X252" s="22"/>
    </row>
    <row r="253" spans="2:24" x14ac:dyDescent="0.2">
      <c r="B253" s="17">
        <f t="shared" ca="1" si="67"/>
        <v>53053</v>
      </c>
      <c r="C253" s="9">
        <f t="shared" si="80"/>
        <v>249</v>
      </c>
      <c r="D253" s="9"/>
      <c r="E253" s="13">
        <f t="shared" si="68"/>
        <v>2752.1871050558543</v>
      </c>
      <c r="F253" s="14">
        <f t="shared" si="69"/>
        <v>466829.2289682221</v>
      </c>
      <c r="G253" s="15">
        <f t="shared" si="70"/>
        <v>0.43241598524080205</v>
      </c>
      <c r="H253" s="13">
        <f t="shared" si="71"/>
        <v>19247.143641339375</v>
      </c>
      <c r="I253" s="13">
        <f t="shared" si="72"/>
        <v>1488064.5948839036</v>
      </c>
      <c r="J253" s="15">
        <f t="shared" si="64"/>
        <v>0.56758401475919795</v>
      </c>
      <c r="K253" s="13">
        <f t="shared" si="73"/>
        <v>612754.42404649267</v>
      </c>
      <c r="L253" s="13">
        <f t="shared" si="81"/>
        <v>44726397.548854828</v>
      </c>
      <c r="M253" s="15">
        <f t="shared" si="74"/>
        <v>0.56758401475919784</v>
      </c>
      <c r="N253" s="13">
        <f t="shared" si="65"/>
        <v>7183.8622007477325</v>
      </c>
      <c r="O253" s="13">
        <f t="shared" si="75"/>
        <v>875310.17083741049</v>
      </c>
      <c r="P253" s="15">
        <f t="shared" si="66"/>
        <v>0.44775330514503781</v>
      </c>
      <c r="Q253" s="7">
        <f t="shared" si="76"/>
        <v>1954893.8238521253</v>
      </c>
      <c r="R253" s="7">
        <f t="shared" si="77"/>
        <v>1079583.6530147148</v>
      </c>
      <c r="S253" s="13">
        <f>IF(Calc!$AD$32="Sim",R253,Q253)</f>
        <v>1079583.6530147148</v>
      </c>
      <c r="T253" s="9">
        <f t="shared" si="78"/>
        <v>249</v>
      </c>
      <c r="U253" s="17">
        <f t="shared" ca="1" si="79"/>
        <v>53083</v>
      </c>
      <c r="V253" s="22"/>
      <c r="W253" s="22"/>
      <c r="X253" s="22"/>
    </row>
    <row r="254" spans="2:24" x14ac:dyDescent="0.2">
      <c r="B254" s="17">
        <f t="shared" ca="1" si="67"/>
        <v>53083</v>
      </c>
      <c r="C254" s="9">
        <f t="shared" si="80"/>
        <v>250</v>
      </c>
      <c r="D254" s="9"/>
      <c r="E254" s="13">
        <f t="shared" si="68"/>
        <v>2763.3998559976126</v>
      </c>
      <c r="F254" s="14">
        <f t="shared" si="69"/>
        <v>469592.62882421969</v>
      </c>
      <c r="G254" s="15">
        <f t="shared" si="70"/>
        <v>0.43116607332621681</v>
      </c>
      <c r="H254" s="13">
        <f t="shared" si="71"/>
        <v>19466.205923527814</v>
      </c>
      <c r="I254" s="13">
        <f t="shared" si="72"/>
        <v>1507530.8008074313</v>
      </c>
      <c r="J254" s="15">
        <f t="shared" si="64"/>
        <v>0.56883392667378319</v>
      </c>
      <c r="K254" s="13">
        <f t="shared" si="73"/>
        <v>619529.77174306626</v>
      </c>
      <c r="L254" s="13">
        <f t="shared" si="81"/>
        <v>45345927.320597894</v>
      </c>
      <c r="M254" s="15">
        <f t="shared" si="74"/>
        <v>0.56883392667378319</v>
      </c>
      <c r="N254" s="13">
        <f t="shared" si="65"/>
        <v>7265.5517650343381</v>
      </c>
      <c r="O254" s="13">
        <f t="shared" si="75"/>
        <v>888001.02906436473</v>
      </c>
      <c r="P254" s="15">
        <f t="shared" si="66"/>
        <v>0.44913788171019975</v>
      </c>
      <c r="Q254" s="7">
        <f t="shared" si="76"/>
        <v>1977123.4296316507</v>
      </c>
      <c r="R254" s="7">
        <f t="shared" si="77"/>
        <v>1089122.4005672859</v>
      </c>
      <c r="S254" s="13">
        <f>IF(Calc!$AD$32="Sim",R254,Q254)</f>
        <v>1089122.4005672859</v>
      </c>
      <c r="T254" s="9">
        <f t="shared" si="78"/>
        <v>250</v>
      </c>
      <c r="U254" s="17">
        <f t="shared" ca="1" si="79"/>
        <v>53114</v>
      </c>
      <c r="V254" s="22"/>
      <c r="W254" s="22"/>
      <c r="X254" s="22"/>
    </row>
    <row r="255" spans="2:24" x14ac:dyDescent="0.2">
      <c r="B255" s="17">
        <f t="shared" ca="1" si="67"/>
        <v>53114</v>
      </c>
      <c r="C255" s="9">
        <f t="shared" si="80"/>
        <v>251</v>
      </c>
      <c r="D255" s="9"/>
      <c r="E255" s="13">
        <f t="shared" si="68"/>
        <v>2774.6582890746627</v>
      </c>
      <c r="F255" s="14">
        <f t="shared" si="69"/>
        <v>472367.28711329435</v>
      </c>
      <c r="G255" s="15">
        <f t="shared" si="70"/>
        <v>0.42992031373803113</v>
      </c>
      <c r="H255" s="13">
        <f t="shared" si="71"/>
        <v>19687.561210665812</v>
      </c>
      <c r="I255" s="13">
        <f t="shared" si="72"/>
        <v>1527218.3620180972</v>
      </c>
      <c r="J255" s="15">
        <f t="shared" si="64"/>
        <v>0.57007968626196881</v>
      </c>
      <c r="K255" s="13">
        <f t="shared" si="73"/>
        <v>626364.90119899821</v>
      </c>
      <c r="L255" s="13">
        <f t="shared" si="81"/>
        <v>45972292.221796893</v>
      </c>
      <c r="M255" s="15">
        <f t="shared" si="74"/>
        <v>0.57007968626196881</v>
      </c>
      <c r="N255" s="13">
        <f t="shared" si="65"/>
        <v>7348.0961404066602</v>
      </c>
      <c r="O255" s="13">
        <f t="shared" si="75"/>
        <v>900853.46081909863</v>
      </c>
      <c r="P255" s="15">
        <f t="shared" si="66"/>
        <v>0.45052006710011361</v>
      </c>
      <c r="Q255" s="7">
        <f t="shared" si="76"/>
        <v>1999585.6491313912</v>
      </c>
      <c r="R255" s="7">
        <f t="shared" si="77"/>
        <v>1098732.1883122926</v>
      </c>
      <c r="S255" s="13">
        <f>IF(Calc!$AD$32="Sim",R255,Q255)</f>
        <v>1098732.1883122926</v>
      </c>
      <c r="T255" s="9">
        <f t="shared" si="78"/>
        <v>251</v>
      </c>
      <c r="U255" s="17">
        <f t="shared" ca="1" si="79"/>
        <v>53144</v>
      </c>
      <c r="V255" s="22"/>
      <c r="W255" s="22"/>
      <c r="X255" s="22"/>
    </row>
    <row r="256" spans="2:24" x14ac:dyDescent="0.2">
      <c r="B256" s="17">
        <f t="shared" ca="1" si="67"/>
        <v>53144</v>
      </c>
      <c r="C256" s="9">
        <f t="shared" si="80"/>
        <v>252</v>
      </c>
      <c r="D256" s="9">
        <v>21</v>
      </c>
      <c r="E256" s="13">
        <f t="shared" si="68"/>
        <v>2785.9625904016789</v>
      </c>
      <c r="F256" s="14">
        <f t="shared" si="69"/>
        <v>475153.24970369606</v>
      </c>
      <c r="G256" s="15">
        <f t="shared" si="70"/>
        <v>0.42867868954770599</v>
      </c>
      <c r="H256" s="13">
        <f t="shared" si="71"/>
        <v>19911.232790649537</v>
      </c>
      <c r="I256" s="13">
        <f t="shared" si="72"/>
        <v>1547129.5948087468</v>
      </c>
      <c r="J256" s="15">
        <f t="shared" si="64"/>
        <v>0.57132131045229406</v>
      </c>
      <c r="K256" s="13">
        <f t="shared" si="73"/>
        <v>633260.25740351481</v>
      </c>
      <c r="L256" s="13">
        <f t="shared" si="81"/>
        <v>46605552.479200408</v>
      </c>
      <c r="M256" s="15">
        <f t="shared" si="74"/>
        <v>0.57132131045229406</v>
      </c>
      <c r="N256" s="13">
        <f t="shared" si="65"/>
        <v>7431.5040073564996</v>
      </c>
      <c r="O256" s="13">
        <f t="shared" si="75"/>
        <v>913869.33740523178</v>
      </c>
      <c r="P256" s="15">
        <f t="shared" si="66"/>
        <v>0.45189986152780665</v>
      </c>
      <c r="Q256" s="7">
        <f t="shared" si="76"/>
        <v>2022282.8445124426</v>
      </c>
      <c r="R256" s="7">
        <f t="shared" si="77"/>
        <v>1108413.5071072108</v>
      </c>
      <c r="S256" s="13">
        <f>IF(Calc!$AD$32="Sim",R256,Q256)</f>
        <v>1108413.5071072108</v>
      </c>
      <c r="T256" s="9">
        <f t="shared" si="78"/>
        <v>252</v>
      </c>
      <c r="U256" s="17">
        <f t="shared" ca="1" si="79"/>
        <v>53175</v>
      </c>
      <c r="V256" s="22"/>
      <c r="W256" s="22"/>
      <c r="X256" s="22"/>
    </row>
    <row r="257" spans="2:24" x14ac:dyDescent="0.2">
      <c r="B257" s="17">
        <f t="shared" ca="1" si="67"/>
        <v>53175</v>
      </c>
      <c r="C257" s="9">
        <f t="shared" si="80"/>
        <v>253</v>
      </c>
      <c r="D257" s="9"/>
      <c r="E257" s="13">
        <f t="shared" si="68"/>
        <v>2797.312946851589</v>
      </c>
      <c r="F257" s="14">
        <f t="shared" si="69"/>
        <v>477950.56265054765</v>
      </c>
      <c r="G257" s="15">
        <f t="shared" si="70"/>
        <v>0.42744118392802799</v>
      </c>
      <c r="H257" s="13">
        <f t="shared" si="71"/>
        <v>20137.244185121828</v>
      </c>
      <c r="I257" s="13">
        <f t="shared" si="72"/>
        <v>1567266.8389938686</v>
      </c>
      <c r="J257" s="15">
        <f t="shared" si="64"/>
        <v>0.57255881607197201</v>
      </c>
      <c r="K257" s="13">
        <f t="shared" si="73"/>
        <v>640216.2884197142</v>
      </c>
      <c r="L257" s="13">
        <f t="shared" si="81"/>
        <v>47245768.767620124</v>
      </c>
      <c r="M257" s="15">
        <f t="shared" si="74"/>
        <v>0.57255881607197201</v>
      </c>
      <c r="N257" s="13">
        <f t="shared" si="65"/>
        <v>7515.7841334999312</v>
      </c>
      <c r="O257" s="13">
        <f t="shared" si="75"/>
        <v>927050.55057415413</v>
      </c>
      <c r="P257" s="15">
        <f t="shared" si="66"/>
        <v>0.45327726520847017</v>
      </c>
      <c r="Q257" s="7">
        <f t="shared" si="76"/>
        <v>2045217.4016444159</v>
      </c>
      <c r="R257" s="7">
        <f t="shared" si="77"/>
        <v>1118166.8510702618</v>
      </c>
      <c r="S257" s="13">
        <f>IF(Calc!$AD$32="Sim",R257,Q257)</f>
        <v>1118166.8510702618</v>
      </c>
      <c r="T257" s="9">
        <f t="shared" si="78"/>
        <v>253</v>
      </c>
      <c r="U257" s="17">
        <f t="shared" ca="1" si="79"/>
        <v>53206</v>
      </c>
      <c r="V257" s="22"/>
      <c r="W257" s="22"/>
      <c r="X257" s="22"/>
    </row>
    <row r="258" spans="2:24" x14ac:dyDescent="0.2">
      <c r="B258" s="17">
        <f t="shared" ca="1" si="67"/>
        <v>53206</v>
      </c>
      <c r="C258" s="9">
        <f t="shared" si="80"/>
        <v>254</v>
      </c>
      <c r="D258" s="9"/>
      <c r="E258" s="13">
        <f t="shared" si="68"/>
        <v>2808.7095460586647</v>
      </c>
      <c r="F258" s="14">
        <f t="shared" si="69"/>
        <v>480759.27219660633</v>
      </c>
      <c r="G258" s="15">
        <f t="shared" si="70"/>
        <v>0.42620778015200994</v>
      </c>
      <c r="H258" s="13">
        <f t="shared" si="71"/>
        <v>20365.619151807321</v>
      </c>
      <c r="I258" s="13">
        <f t="shared" si="72"/>
        <v>1587632.4581456759</v>
      </c>
      <c r="J258" s="15">
        <f t="shared" si="64"/>
        <v>0.57379221984799011</v>
      </c>
      <c r="K258" s="13">
        <f t="shared" si="73"/>
        <v>647233.44540498289</v>
      </c>
      <c r="L258" s="13">
        <f t="shared" si="81"/>
        <v>47893002.213025108</v>
      </c>
      <c r="M258" s="15">
        <f t="shared" si="74"/>
        <v>0.57379221984799011</v>
      </c>
      <c r="N258" s="13">
        <f t="shared" si="65"/>
        <v>7600.9453744476632</v>
      </c>
      <c r="O258" s="13">
        <f t="shared" si="75"/>
        <v>940399.01274069282</v>
      </c>
      <c r="P258" s="15">
        <f t="shared" si="66"/>
        <v>0.45465227835980254</v>
      </c>
      <c r="Q258" s="7">
        <f t="shared" si="76"/>
        <v>2068391.730342282</v>
      </c>
      <c r="R258" s="7">
        <f t="shared" si="77"/>
        <v>1127992.7176015892</v>
      </c>
      <c r="S258" s="13">
        <f>IF(Calc!$AD$32="Sim",R258,Q258)</f>
        <v>1127992.7176015892</v>
      </c>
      <c r="T258" s="9">
        <f t="shared" si="78"/>
        <v>254</v>
      </c>
      <c r="U258" s="17">
        <f t="shared" ca="1" si="79"/>
        <v>53236</v>
      </c>
      <c r="V258" s="22"/>
      <c r="W258" s="22"/>
      <c r="X258" s="22"/>
    </row>
    <row r="259" spans="2:24" x14ac:dyDescent="0.2">
      <c r="B259" s="17">
        <f t="shared" ca="1" si="67"/>
        <v>53236</v>
      </c>
      <c r="C259" s="9">
        <f t="shared" si="80"/>
        <v>255</v>
      </c>
      <c r="D259" s="9"/>
      <c r="E259" s="13">
        <f t="shared" si="68"/>
        <v>2820.1525764216226</v>
      </c>
      <c r="F259" s="14">
        <f t="shared" si="69"/>
        <v>483579.42477302795</v>
      </c>
      <c r="G259" s="15">
        <f t="shared" si="70"/>
        <v>0.42497846159181046</v>
      </c>
      <c r="H259" s="13">
        <f t="shared" si="71"/>
        <v>20596.381686870867</v>
      </c>
      <c r="I259" s="13">
        <f t="shared" si="72"/>
        <v>1608228.8398325469</v>
      </c>
      <c r="J259" s="15">
        <f t="shared" si="64"/>
        <v>0.57502153840818959</v>
      </c>
      <c r="K259" s="13">
        <f t="shared" si="73"/>
        <v>654312.18263154547</v>
      </c>
      <c r="L259" s="13">
        <f t="shared" si="81"/>
        <v>48547314.395656653</v>
      </c>
      <c r="M259" s="15">
        <f t="shared" si="74"/>
        <v>0.57502153840818959</v>
      </c>
      <c r="N259" s="13">
        <f t="shared" si="65"/>
        <v>7686.9966746840619</v>
      </c>
      <c r="O259" s="13">
        <f t="shared" si="75"/>
        <v>953916.65720100119</v>
      </c>
      <c r="P259" s="15">
        <f t="shared" si="66"/>
        <v>0.45602490120234274</v>
      </c>
      <c r="Q259" s="7">
        <f t="shared" si="76"/>
        <v>2091808.2646055745</v>
      </c>
      <c r="R259" s="7">
        <f t="shared" si="77"/>
        <v>1137891.6074045734</v>
      </c>
      <c r="S259" s="13">
        <f>IF(Calc!$AD$32="Sim",R259,Q259)</f>
        <v>1137891.6074045734</v>
      </c>
      <c r="T259" s="9">
        <f t="shared" si="78"/>
        <v>255</v>
      </c>
      <c r="U259" s="17">
        <f t="shared" ca="1" si="79"/>
        <v>53267</v>
      </c>
      <c r="V259" s="22"/>
      <c r="W259" s="22"/>
      <c r="X259" s="22"/>
    </row>
    <row r="260" spans="2:24" x14ac:dyDescent="0.2">
      <c r="B260" s="17">
        <f t="shared" ca="1" si="67"/>
        <v>53267</v>
      </c>
      <c r="C260" s="9">
        <f t="shared" si="80"/>
        <v>256</v>
      </c>
      <c r="D260" s="9"/>
      <c r="E260" s="13">
        <f t="shared" si="68"/>
        <v>2831.642227106739</v>
      </c>
      <c r="F260" s="14">
        <f t="shared" si="69"/>
        <v>486411.06700013467</v>
      </c>
      <c r="G260" s="15">
        <f t="shared" si="70"/>
        <v>0.42375321171767361</v>
      </c>
      <c r="H260" s="13">
        <f t="shared" si="71"/>
        <v>20829.556027299433</v>
      </c>
      <c r="I260" s="13">
        <f t="shared" si="72"/>
        <v>1629058.3958598464</v>
      </c>
      <c r="J260" s="15">
        <f t="shared" si="64"/>
        <v>0.57624678828232634</v>
      </c>
      <c r="K260" s="13">
        <f t="shared" si="73"/>
        <v>661452.95750714629</v>
      </c>
      <c r="L260" s="13">
        <f t="shared" si="81"/>
        <v>49208767.353163801</v>
      </c>
      <c r="M260" s="15">
        <f t="shared" si="74"/>
        <v>0.57624678828232645</v>
      </c>
      <c r="N260" s="13">
        <f t="shared" si="65"/>
        <v>7773.9470684549542</v>
      </c>
      <c r="O260" s="13">
        <f t="shared" si="75"/>
        <v>967605.43835269986</v>
      </c>
      <c r="P260" s="15">
        <f t="shared" si="66"/>
        <v>0.45739513395979658</v>
      </c>
      <c r="Q260" s="7">
        <f t="shared" si="76"/>
        <v>2115469.4628599808</v>
      </c>
      <c r="R260" s="7">
        <f t="shared" si="77"/>
        <v>1147864.0245072809</v>
      </c>
      <c r="S260" s="13">
        <f>IF(Calc!$AD$32="Sim",R260,Q260)</f>
        <v>1147864.0245072809</v>
      </c>
      <c r="T260" s="9">
        <f t="shared" si="78"/>
        <v>256</v>
      </c>
      <c r="U260" s="17">
        <f t="shared" ca="1" si="79"/>
        <v>53297</v>
      </c>
      <c r="V260" s="22"/>
      <c r="W260" s="22"/>
      <c r="X260" s="22"/>
    </row>
    <row r="261" spans="2:24" x14ac:dyDescent="0.2">
      <c r="B261" s="17">
        <f t="shared" ca="1" si="67"/>
        <v>53297</v>
      </c>
      <c r="C261" s="9">
        <f t="shared" si="80"/>
        <v>257</v>
      </c>
      <c r="D261" s="9"/>
      <c r="E261" s="13">
        <f t="shared" si="68"/>
        <v>2843.1786880509776</v>
      </c>
      <c r="F261" s="14">
        <f t="shared" si="69"/>
        <v>489254.24568818568</v>
      </c>
      <c r="G261" s="15">
        <f t="shared" si="70"/>
        <v>0.42253201409688629</v>
      </c>
      <c r="H261" s="13">
        <f t="shared" si="71"/>
        <v>21065.166653307799</v>
      </c>
      <c r="I261" s="13">
        <f t="shared" si="72"/>
        <v>1650123.5625131542</v>
      </c>
      <c r="J261" s="15">
        <f t="shared" ref="J261:J324" si="82">1-G261</f>
        <v>0.57746798590311377</v>
      </c>
      <c r="K261" s="13">
        <f t="shared" si="73"/>
        <v>668656.23059586703</v>
      </c>
      <c r="L261" s="13">
        <f t="shared" si="81"/>
        <v>49877423.583759665</v>
      </c>
      <c r="M261" s="15">
        <f t="shared" si="74"/>
        <v>0.57746798590311366</v>
      </c>
      <c r="N261" s="13">
        <f t="shared" ref="N261:N324" si="83">Q261*Inflação</f>
        <v>7861.8056806642699</v>
      </c>
      <c r="O261" s="13">
        <f t="shared" si="75"/>
        <v>981467.33191728685</v>
      </c>
      <c r="P261" s="15">
        <f t="shared" ref="P261:P324" si="84">O261/Q261</f>
        <v>0.45876297685935413</v>
      </c>
      <c r="Q261" s="7">
        <f t="shared" si="76"/>
        <v>2139377.8082013396</v>
      </c>
      <c r="R261" s="7">
        <f t="shared" si="77"/>
        <v>1157910.4762840527</v>
      </c>
      <c r="S261" s="13">
        <f>IF(Calc!$AD$32="Sim",R261,Q261)</f>
        <v>1157910.4762840527</v>
      </c>
      <c r="T261" s="9">
        <f t="shared" si="78"/>
        <v>257</v>
      </c>
      <c r="U261" s="17">
        <f t="shared" ca="1" si="79"/>
        <v>53328</v>
      </c>
      <c r="V261" s="22"/>
      <c r="W261" s="22"/>
      <c r="X261" s="22"/>
    </row>
    <row r="262" spans="2:24" x14ac:dyDescent="0.2">
      <c r="B262" s="17">
        <f t="shared" ref="B262:B325" ca="1" si="85">DATE(YEAR(B261),MONTH(B261)+1,1)</f>
        <v>53328</v>
      </c>
      <c r="C262" s="9">
        <f t="shared" si="80"/>
        <v>258</v>
      </c>
      <c r="D262" s="9"/>
      <c r="E262" s="13">
        <f t="shared" ref="E262:E325" si="86">IF($AE$33,IF($AE$34,$E261*(1+Inflação)*(1+Crescimento_Salário),$E261*(1+Inflação)),IF($AE$34,$E261*(1+Crescimento_Salário),$E261))</f>
        <v>2854.7621499651282</v>
      </c>
      <c r="F262" s="14">
        <f t="shared" ref="F262:F325" si="87">F261+E262</f>
        <v>492109.00783815078</v>
      </c>
      <c r="G262" s="15">
        <f t="shared" ref="G262:G325" si="88">IF(F262&lt;=0,0,F262/S262)</f>
        <v>0.42131485239275468</v>
      </c>
      <c r="H262" s="13">
        <f t="shared" ref="H262:H325" si="89">Q261*Taxa</f>
        <v>21303.238290768204</v>
      </c>
      <c r="I262" s="13">
        <f t="shared" ref="I262:I325" si="90">I261+H262</f>
        <v>1671426.8008039223</v>
      </c>
      <c r="J262" s="15">
        <f t="shared" si="82"/>
        <v>0.57868514760724532</v>
      </c>
      <c r="K262" s="13">
        <f t="shared" ref="K262:K325" si="91">R262-F262</f>
        <v>675922.46563907899</v>
      </c>
      <c r="L262" s="13">
        <f t="shared" si="81"/>
        <v>50553346.049398743</v>
      </c>
      <c r="M262" s="15">
        <f t="shared" ref="M262:M325" si="92">K262/R262</f>
        <v>0.57868514760724543</v>
      </c>
      <c r="N262" s="13">
        <f t="shared" si="83"/>
        <v>7950.5817277796332</v>
      </c>
      <c r="O262" s="13">
        <f t="shared" ref="O262:O325" si="93">Q262-R262</f>
        <v>995504.33516484289</v>
      </c>
      <c r="P262" s="15">
        <f t="shared" si="84"/>
        <v>0.4601284301319995</v>
      </c>
      <c r="Q262" s="7">
        <f t="shared" ref="Q262:Q325" si="94">Q261+E262+H262</f>
        <v>2163535.8086420726</v>
      </c>
      <c r="R262" s="7">
        <f t="shared" ref="R262:R325" si="95">(R261+E262)*(1+((1+Taxa)/(1+Inflação)-1))</f>
        <v>1168031.4734772297</v>
      </c>
      <c r="S262" s="13">
        <f>IF(Calc!$AD$32="Sim",R262,Q262)</f>
        <v>1168031.4734772297</v>
      </c>
      <c r="T262" s="9">
        <f t="shared" ref="T262:T325" si="96">C262</f>
        <v>258</v>
      </c>
      <c r="U262" s="17">
        <f t="shared" ref="U262:U325" ca="1" si="97">DATE(YEAR(U261),MONTH(U261)+1,1)</f>
        <v>53359</v>
      </c>
      <c r="V262" s="22"/>
      <c r="W262" s="22"/>
      <c r="X262" s="22"/>
    </row>
    <row r="263" spans="2:24" x14ac:dyDescent="0.2">
      <c r="B263" s="17">
        <f t="shared" ca="1" si="85"/>
        <v>53359</v>
      </c>
      <c r="C263" s="9">
        <f t="shared" ref="C263:C326" si="98">C262+1</f>
        <v>259</v>
      </c>
      <c r="D263" s="9"/>
      <c r="E263" s="13">
        <f t="shared" si="86"/>
        <v>2866.3928043369601</v>
      </c>
      <c r="F263" s="14">
        <f t="shared" si="87"/>
        <v>494975.40064248774</v>
      </c>
      <c r="G263" s="15">
        <f t="shared" si="88"/>
        <v>0.42010171036359828</v>
      </c>
      <c r="H263" s="13">
        <f t="shared" si="89"/>
        <v>21543.795913664228</v>
      </c>
      <c r="I263" s="13">
        <f t="shared" si="90"/>
        <v>1692970.5967175865</v>
      </c>
      <c r="J263" s="15">
        <f t="shared" si="82"/>
        <v>0.57989828963640178</v>
      </c>
      <c r="K263" s="13">
        <f t="shared" si="91"/>
        <v>683252.12957653054</v>
      </c>
      <c r="L263" s="13">
        <f t="shared" ref="L263:L326" si="99">L262+K263</f>
        <v>51236598.178975277</v>
      </c>
      <c r="M263" s="15">
        <f t="shared" si="92"/>
        <v>0.57989828963640178</v>
      </c>
      <c r="N263" s="13">
        <f t="shared" si="83"/>
        <v>8040.2845187469802</v>
      </c>
      <c r="O263" s="13">
        <f t="shared" si="93"/>
        <v>1009718.4671410553</v>
      </c>
      <c r="P263" s="15">
        <f t="shared" si="84"/>
        <v>0.46149149401281336</v>
      </c>
      <c r="Q263" s="7">
        <f t="shared" si="94"/>
        <v>2187945.9973600735</v>
      </c>
      <c r="R263" s="7">
        <f t="shared" si="95"/>
        <v>1178227.5302190182</v>
      </c>
      <c r="S263" s="13">
        <f>IF(Calc!$AD$32="Sim",R263,Q263)</f>
        <v>1178227.5302190182</v>
      </c>
      <c r="T263" s="9">
        <f t="shared" si="96"/>
        <v>259</v>
      </c>
      <c r="U263" s="17">
        <f t="shared" ca="1" si="97"/>
        <v>53387</v>
      </c>
      <c r="V263" s="22"/>
      <c r="W263" s="22"/>
      <c r="X263" s="22"/>
    </row>
    <row r="264" spans="2:24" x14ac:dyDescent="0.2">
      <c r="B264" s="17">
        <f t="shared" ca="1" si="85"/>
        <v>53387</v>
      </c>
      <c r="C264" s="9">
        <f t="shared" si="98"/>
        <v>260</v>
      </c>
      <c r="D264" s="9"/>
      <c r="E264" s="13">
        <f t="shared" si="86"/>
        <v>2878.0708434343878</v>
      </c>
      <c r="F264" s="14">
        <f t="shared" si="87"/>
        <v>497853.47148592211</v>
      </c>
      <c r="G264" s="15">
        <f t="shared" si="88"/>
        <v>0.41889257186176154</v>
      </c>
      <c r="H264" s="13">
        <f t="shared" si="89"/>
        <v>21786.86474656915</v>
      </c>
      <c r="I264" s="13">
        <f t="shared" si="90"/>
        <v>1714757.4614641557</v>
      </c>
      <c r="J264" s="15">
        <f t="shared" si="82"/>
        <v>0.58110742813823846</v>
      </c>
      <c r="K264" s="13">
        <f t="shared" si="91"/>
        <v>690645.6925675727</v>
      </c>
      <c r="L264" s="13">
        <f t="shared" si="99"/>
        <v>51927243.871542849</v>
      </c>
      <c r="M264" s="15">
        <f t="shared" si="92"/>
        <v>0.58110742813823846</v>
      </c>
      <c r="N264" s="13">
        <f t="shared" si="83"/>
        <v>8130.9234559142951</v>
      </c>
      <c r="O264" s="13">
        <f t="shared" si="93"/>
        <v>1024111.7688965823</v>
      </c>
      <c r="P264" s="15">
        <f t="shared" si="84"/>
        <v>0.46285216874126744</v>
      </c>
      <c r="Q264" s="7">
        <f t="shared" si="94"/>
        <v>2212610.9329500771</v>
      </c>
      <c r="R264" s="7">
        <f t="shared" si="95"/>
        <v>1188499.1640534948</v>
      </c>
      <c r="S264" s="13">
        <f>IF(Calc!$AD$32="Sim",R264,Q264)</f>
        <v>1188499.1640534948</v>
      </c>
      <c r="T264" s="9">
        <f t="shared" si="96"/>
        <v>260</v>
      </c>
      <c r="U264" s="17">
        <f t="shared" ca="1" si="97"/>
        <v>53418</v>
      </c>
      <c r="V264" s="22"/>
      <c r="W264" s="22"/>
      <c r="X264" s="22"/>
    </row>
    <row r="265" spans="2:24" x14ac:dyDescent="0.2">
      <c r="B265" s="17">
        <f t="shared" ca="1" si="85"/>
        <v>53418</v>
      </c>
      <c r="C265" s="9">
        <f t="shared" si="98"/>
        <v>261</v>
      </c>
      <c r="D265" s="9"/>
      <c r="E265" s="13">
        <f t="shared" si="86"/>
        <v>2889.7964603086489</v>
      </c>
      <c r="F265" s="14">
        <f t="shared" si="87"/>
        <v>500743.26794623077</v>
      </c>
      <c r="G265" s="15">
        <f t="shared" si="88"/>
        <v>0.41768742083264282</v>
      </c>
      <c r="H265" s="13">
        <f t="shared" si="89"/>
        <v>22032.470267149016</v>
      </c>
      <c r="I265" s="13">
        <f t="shared" si="90"/>
        <v>1736789.9317313046</v>
      </c>
      <c r="J265" s="15">
        <f t="shared" si="82"/>
        <v>0.58231257916735712</v>
      </c>
      <c r="K265" s="13">
        <f t="shared" si="91"/>
        <v>698103.62801252119</v>
      </c>
      <c r="L265" s="13">
        <f t="shared" si="99"/>
        <v>52625347.499555372</v>
      </c>
      <c r="M265" s="15">
        <f t="shared" si="92"/>
        <v>0.58231257916735724</v>
      </c>
      <c r="N265" s="13">
        <f t="shared" si="83"/>
        <v>8222.5080359645526</v>
      </c>
      <c r="O265" s="13">
        <f t="shared" si="93"/>
        <v>1038686.303718783</v>
      </c>
      <c r="P265" s="15">
        <f t="shared" si="84"/>
        <v>0.46421045456151205</v>
      </c>
      <c r="Q265" s="7">
        <f t="shared" si="94"/>
        <v>2237533.1996775349</v>
      </c>
      <c r="R265" s="7">
        <f t="shared" si="95"/>
        <v>1198846.8959587519</v>
      </c>
      <c r="S265" s="13">
        <f>IF(Calc!$AD$32="Sim",R265,Q265)</f>
        <v>1198846.8959587519</v>
      </c>
      <c r="T265" s="9">
        <f t="shared" si="96"/>
        <v>261</v>
      </c>
      <c r="U265" s="17">
        <f t="shared" ca="1" si="97"/>
        <v>53448</v>
      </c>
      <c r="V265" s="22"/>
      <c r="W265" s="22"/>
      <c r="X265" s="22"/>
    </row>
    <row r="266" spans="2:24" x14ac:dyDescent="0.2">
      <c r="B266" s="17">
        <f t="shared" ca="1" si="85"/>
        <v>53448</v>
      </c>
      <c r="C266" s="9">
        <f t="shared" si="98"/>
        <v>262</v>
      </c>
      <c r="D266" s="9"/>
      <c r="E266" s="13">
        <f t="shared" si="86"/>
        <v>2901.5698487974951</v>
      </c>
      <c r="F266" s="14">
        <f t="shared" si="87"/>
        <v>503644.83779502829</v>
      </c>
      <c r="G266" s="15">
        <f t="shared" si="88"/>
        <v>0.41648624131373918</v>
      </c>
      <c r="H266" s="13">
        <f t="shared" si="89"/>
        <v>22280.63820869062</v>
      </c>
      <c r="I266" s="13">
        <f t="shared" si="90"/>
        <v>1759070.5699399952</v>
      </c>
      <c r="J266" s="15">
        <f t="shared" si="82"/>
        <v>0.58351375868626087</v>
      </c>
      <c r="K266" s="13">
        <f t="shared" si="91"/>
        <v>705626.41257415875</v>
      </c>
      <c r="L266" s="13">
        <f t="shared" si="99"/>
        <v>53330973.912129529</v>
      </c>
      <c r="M266" s="15">
        <f t="shared" si="92"/>
        <v>0.58351375868626087</v>
      </c>
      <c r="N266" s="13">
        <f t="shared" si="83"/>
        <v>8315.0478508579654</v>
      </c>
      <c r="O266" s="13">
        <f t="shared" si="93"/>
        <v>1053444.1573658357</v>
      </c>
      <c r="P266" s="15">
        <f t="shared" si="84"/>
        <v>0.46556635172265565</v>
      </c>
      <c r="Q266" s="7">
        <f t="shared" si="94"/>
        <v>2262715.4077350227</v>
      </c>
      <c r="R266" s="7">
        <f t="shared" si="95"/>
        <v>1209271.250369187</v>
      </c>
      <c r="S266" s="13">
        <f>IF(Calc!$AD$32="Sim",R266,Q266)</f>
        <v>1209271.250369187</v>
      </c>
      <c r="T266" s="9">
        <f t="shared" si="96"/>
        <v>262</v>
      </c>
      <c r="U266" s="17">
        <f t="shared" ca="1" si="97"/>
        <v>53479</v>
      </c>
      <c r="V266" s="22"/>
      <c r="W266" s="22"/>
      <c r="X266" s="22"/>
    </row>
    <row r="267" spans="2:24" x14ac:dyDescent="0.2">
      <c r="B267" s="17">
        <f t="shared" ca="1" si="85"/>
        <v>53479</v>
      </c>
      <c r="C267" s="9">
        <f t="shared" si="98"/>
        <v>263</v>
      </c>
      <c r="D267" s="9"/>
      <c r="E267" s="13">
        <f t="shared" si="86"/>
        <v>2913.3912035283979</v>
      </c>
      <c r="F267" s="14">
        <f t="shared" si="87"/>
        <v>506558.22899855667</v>
      </c>
      <c r="G267" s="15">
        <f t="shared" si="88"/>
        <v>0.41528901743370855</v>
      </c>
      <c r="H267" s="13">
        <f t="shared" si="89"/>
        <v>22531.394562654761</v>
      </c>
      <c r="I267" s="13">
        <f t="shared" si="90"/>
        <v>1781601.9645026498</v>
      </c>
      <c r="J267" s="15">
        <f t="shared" si="82"/>
        <v>0.5847109825662915</v>
      </c>
      <c r="K267" s="13">
        <f t="shared" si="91"/>
        <v>713214.52619937528</v>
      </c>
      <c r="L267" s="13">
        <f t="shared" si="99"/>
        <v>54044188.438328907</v>
      </c>
      <c r="M267" s="15">
        <f t="shared" si="92"/>
        <v>0.58471098256629139</v>
      </c>
      <c r="N267" s="13">
        <f t="shared" si="83"/>
        <v>8408.5525887836357</v>
      </c>
      <c r="O267" s="13">
        <f t="shared" si="93"/>
        <v>1068387.4383032736</v>
      </c>
      <c r="P267" s="15">
        <f t="shared" si="84"/>
        <v>0.46691986047903894</v>
      </c>
      <c r="Q267" s="7">
        <f t="shared" si="94"/>
        <v>2288160.1935012056</v>
      </c>
      <c r="R267" s="7">
        <f t="shared" si="95"/>
        <v>1219772.755197932</v>
      </c>
      <c r="S267" s="13">
        <f>IF(Calc!$AD$32="Sim",R267,Q267)</f>
        <v>1219772.755197932</v>
      </c>
      <c r="T267" s="9">
        <f t="shared" si="96"/>
        <v>263</v>
      </c>
      <c r="U267" s="17">
        <f t="shared" ca="1" si="97"/>
        <v>53509</v>
      </c>
      <c r="V267" s="22"/>
      <c r="W267" s="22"/>
      <c r="X267" s="22"/>
    </row>
    <row r="268" spans="2:24" x14ac:dyDescent="0.2">
      <c r="B268" s="17">
        <f t="shared" ca="1" si="85"/>
        <v>53509</v>
      </c>
      <c r="C268" s="9">
        <f t="shared" si="98"/>
        <v>264</v>
      </c>
      <c r="D268" s="9">
        <v>22</v>
      </c>
      <c r="E268" s="13">
        <f t="shared" si="86"/>
        <v>2925.260719921765</v>
      </c>
      <c r="F268" s="14">
        <f t="shared" si="87"/>
        <v>509483.48971847846</v>
      </c>
      <c r="G268" s="15">
        <f t="shared" si="88"/>
        <v>0.41409573341144751</v>
      </c>
      <c r="H268" s="13">
        <f t="shared" si="89"/>
        <v>22784.765581254916</v>
      </c>
      <c r="I268" s="13">
        <f t="shared" si="90"/>
        <v>1804386.7300839047</v>
      </c>
      <c r="J268" s="15">
        <f t="shared" si="82"/>
        <v>0.58590426658855255</v>
      </c>
      <c r="K268" s="13">
        <f t="shared" si="91"/>
        <v>720868.45214094967</v>
      </c>
      <c r="L268" s="13">
        <f t="shared" si="99"/>
        <v>54765056.890469857</v>
      </c>
      <c r="M268" s="15">
        <f t="shared" si="92"/>
        <v>0.58590426658855255</v>
      </c>
      <c r="N268" s="13">
        <f t="shared" si="83"/>
        <v>8503.0320351206792</v>
      </c>
      <c r="O268" s="13">
        <f t="shared" si="93"/>
        <v>1083518.2779429543</v>
      </c>
      <c r="P268" s="15">
        <f t="shared" si="84"/>
        <v>0.4682709810905008</v>
      </c>
      <c r="Q268" s="7">
        <f t="shared" si="94"/>
        <v>2313870.2198023824</v>
      </c>
      <c r="R268" s="7">
        <f t="shared" si="95"/>
        <v>1230351.9418594281</v>
      </c>
      <c r="S268" s="13">
        <f>IF(Calc!$AD$32="Sim",R268,Q268)</f>
        <v>1230351.9418594281</v>
      </c>
      <c r="T268" s="9">
        <f t="shared" si="96"/>
        <v>264</v>
      </c>
      <c r="U268" s="17">
        <f t="shared" ca="1" si="97"/>
        <v>53540</v>
      </c>
      <c r="V268" s="22"/>
      <c r="W268" s="22"/>
      <c r="X268" s="22"/>
    </row>
    <row r="269" spans="2:24" x14ac:dyDescent="0.2">
      <c r="B269" s="17">
        <f t="shared" ca="1" si="85"/>
        <v>53540</v>
      </c>
      <c r="C269" s="9">
        <f t="shared" si="98"/>
        <v>265</v>
      </c>
      <c r="D269" s="9"/>
      <c r="E269" s="13">
        <f t="shared" si="86"/>
        <v>2937.1785941941707</v>
      </c>
      <c r="F269" s="14">
        <f t="shared" si="87"/>
        <v>512420.66831267264</v>
      </c>
      <c r="G269" s="15">
        <f t="shared" si="88"/>
        <v>0.41290637355518395</v>
      </c>
      <c r="H269" s="13">
        <f t="shared" si="89"/>
        <v>23040.77778006162</v>
      </c>
      <c r="I269" s="13">
        <f t="shared" si="90"/>
        <v>1827427.5078639663</v>
      </c>
      <c r="J269" s="15">
        <f t="shared" si="82"/>
        <v>0.58709362644481611</v>
      </c>
      <c r="K269" s="13">
        <f t="shared" si="91"/>
        <v>728588.67697947228</v>
      </c>
      <c r="L269" s="13">
        <f t="shared" si="99"/>
        <v>55493645.567449331</v>
      </c>
      <c r="M269" s="15">
        <f t="shared" si="92"/>
        <v>0.58709362644481611</v>
      </c>
      <c r="N269" s="13">
        <f t="shared" si="83"/>
        <v>8598.4960734089327</v>
      </c>
      <c r="O269" s="13">
        <f t="shared" si="93"/>
        <v>1098838.8308844934</v>
      </c>
      <c r="P269" s="15">
        <f t="shared" si="84"/>
        <v>0.46961971382263762</v>
      </c>
      <c r="Q269" s="7">
        <f t="shared" si="94"/>
        <v>2339848.1761766383</v>
      </c>
      <c r="R269" s="7">
        <f t="shared" si="95"/>
        <v>1241009.3452921449</v>
      </c>
      <c r="S269" s="13">
        <f>IF(Calc!$AD$32="Sim",R269,Q269)</f>
        <v>1241009.3452921449</v>
      </c>
      <c r="T269" s="9">
        <f t="shared" si="96"/>
        <v>265</v>
      </c>
      <c r="U269" s="17">
        <f t="shared" ca="1" si="97"/>
        <v>53571</v>
      </c>
      <c r="V269" s="22"/>
      <c r="W269" s="22"/>
      <c r="X269" s="22"/>
    </row>
    <row r="270" spans="2:24" x14ac:dyDescent="0.2">
      <c r="B270" s="17">
        <f t="shared" ca="1" si="85"/>
        <v>53571</v>
      </c>
      <c r="C270" s="9">
        <f t="shared" si="98"/>
        <v>266</v>
      </c>
      <c r="D270" s="9"/>
      <c r="E270" s="13">
        <f t="shared" si="86"/>
        <v>2949.1450233616001</v>
      </c>
      <c r="F270" s="14">
        <f t="shared" si="87"/>
        <v>515369.81333603425</v>
      </c>
      <c r="G270" s="15">
        <f t="shared" si="88"/>
        <v>0.41172092226158613</v>
      </c>
      <c r="H270" s="13">
        <f t="shared" si="89"/>
        <v>23299.457940632805</v>
      </c>
      <c r="I270" s="13">
        <f t="shared" si="90"/>
        <v>1850726.965804599</v>
      </c>
      <c r="J270" s="15">
        <f t="shared" si="82"/>
        <v>0.58827907773841392</v>
      </c>
      <c r="K270" s="13">
        <f t="shared" si="91"/>
        <v>736375.69064541021</v>
      </c>
      <c r="L270" s="13">
        <f t="shared" si="99"/>
        <v>56230021.258094743</v>
      </c>
      <c r="M270" s="15">
        <f t="shared" si="92"/>
        <v>0.58827907773841381</v>
      </c>
      <c r="N270" s="13">
        <f t="shared" si="83"/>
        <v>8694.9546863293544</v>
      </c>
      <c r="O270" s="13">
        <f t="shared" si="93"/>
        <v>1114351.2751591885</v>
      </c>
      <c r="P270" s="15">
        <f t="shared" si="84"/>
        <v>0.47096605894705679</v>
      </c>
      <c r="Q270" s="7">
        <f t="shared" si="94"/>
        <v>2366096.7791406331</v>
      </c>
      <c r="R270" s="7">
        <f t="shared" si="95"/>
        <v>1251745.5039814445</v>
      </c>
      <c r="S270" s="13">
        <f>IF(Calc!$AD$32="Sim",R270,Q270)</f>
        <v>1251745.5039814445</v>
      </c>
      <c r="T270" s="9">
        <f t="shared" si="96"/>
        <v>266</v>
      </c>
      <c r="U270" s="17">
        <f t="shared" ca="1" si="97"/>
        <v>53601</v>
      </c>
      <c r="V270" s="22"/>
      <c r="W270" s="22"/>
      <c r="X270" s="22"/>
    </row>
    <row r="271" spans="2:24" x14ac:dyDescent="0.2">
      <c r="B271" s="17">
        <f t="shared" ca="1" si="85"/>
        <v>53601</v>
      </c>
      <c r="C271" s="9">
        <f t="shared" si="98"/>
        <v>267</v>
      </c>
      <c r="D271" s="9"/>
      <c r="E271" s="13">
        <f t="shared" si="86"/>
        <v>2961.1602052427056</v>
      </c>
      <c r="F271" s="14">
        <f t="shared" si="87"/>
        <v>518330.97354127694</v>
      </c>
      <c r="G271" s="15">
        <f t="shared" si="88"/>
        <v>0.41053936401488572</v>
      </c>
      <c r="H271" s="13">
        <f t="shared" si="89"/>
        <v>23560.833113170407</v>
      </c>
      <c r="I271" s="13">
        <f t="shared" si="90"/>
        <v>1874287.7989177695</v>
      </c>
      <c r="J271" s="15">
        <f t="shared" si="82"/>
        <v>0.58946063598511422</v>
      </c>
      <c r="K271" s="13">
        <f t="shared" si="91"/>
        <v>744229.98644131515</v>
      </c>
      <c r="L271" s="13">
        <f t="shared" si="99"/>
        <v>56974251.244536057</v>
      </c>
      <c r="M271" s="15">
        <f t="shared" si="92"/>
        <v>0.58946063598511422</v>
      </c>
      <c r="N271" s="13">
        <f t="shared" si="83"/>
        <v>8792.4179566941821</v>
      </c>
      <c r="O271" s="13">
        <f t="shared" si="93"/>
        <v>1130057.8124764538</v>
      </c>
      <c r="P271" s="15">
        <f t="shared" si="84"/>
        <v>0.47231001674162315</v>
      </c>
      <c r="Q271" s="7">
        <f t="shared" si="94"/>
        <v>2392618.772459046</v>
      </c>
      <c r="R271" s="7">
        <f t="shared" si="95"/>
        <v>1262560.9599825921</v>
      </c>
      <c r="S271" s="13">
        <f>IF(Calc!$AD$32="Sim",R271,Q271)</f>
        <v>1262560.9599825921</v>
      </c>
      <c r="T271" s="9">
        <f t="shared" si="96"/>
        <v>267</v>
      </c>
      <c r="U271" s="17">
        <f t="shared" ca="1" si="97"/>
        <v>53632</v>
      </c>
      <c r="V271" s="22"/>
      <c r="W271" s="22"/>
      <c r="X271" s="22"/>
    </row>
    <row r="272" spans="2:24" x14ac:dyDescent="0.2">
      <c r="B272" s="17">
        <f t="shared" ca="1" si="85"/>
        <v>53632</v>
      </c>
      <c r="C272" s="9">
        <f t="shared" si="98"/>
        <v>268</v>
      </c>
      <c r="D272" s="9"/>
      <c r="E272" s="13">
        <f t="shared" si="86"/>
        <v>2973.2243384620779</v>
      </c>
      <c r="F272" s="14">
        <f t="shared" si="87"/>
        <v>521304.19787973899</v>
      </c>
      <c r="G272" s="15">
        <f t="shared" si="88"/>
        <v>0.40936168338601592</v>
      </c>
      <c r="H272" s="13">
        <f t="shared" si="89"/>
        <v>23824.930619203406</v>
      </c>
      <c r="I272" s="13">
        <f t="shared" si="90"/>
        <v>1898112.7295369729</v>
      </c>
      <c r="J272" s="15">
        <f t="shared" si="82"/>
        <v>0.59063831661398414</v>
      </c>
      <c r="K272" s="13">
        <f t="shared" si="91"/>
        <v>752152.06106417545</v>
      </c>
      <c r="L272" s="13">
        <f t="shared" si="99"/>
        <v>57726403.305600233</v>
      </c>
      <c r="M272" s="15">
        <f t="shared" si="92"/>
        <v>0.59063831661398414</v>
      </c>
      <c r="N272" s="13">
        <f t="shared" si="83"/>
        <v>8890.8960684469748</v>
      </c>
      <c r="O272" s="13">
        <f t="shared" si="93"/>
        <v>1145960.6684727971</v>
      </c>
      <c r="P272" s="15">
        <f t="shared" si="84"/>
        <v>0.47365158749070002</v>
      </c>
      <c r="Q272" s="7">
        <f t="shared" si="94"/>
        <v>2419416.9274167116</v>
      </c>
      <c r="R272" s="7">
        <f t="shared" si="95"/>
        <v>1273456.2589439144</v>
      </c>
      <c r="S272" s="13">
        <f>IF(Calc!$AD$32="Sim",R272,Q272)</f>
        <v>1273456.2589439144</v>
      </c>
      <c r="T272" s="9">
        <f t="shared" si="96"/>
        <v>268</v>
      </c>
      <c r="U272" s="17">
        <f t="shared" ca="1" si="97"/>
        <v>53662</v>
      </c>
      <c r="V272" s="22"/>
      <c r="W272" s="22"/>
      <c r="X272" s="22"/>
    </row>
    <row r="273" spans="2:24" x14ac:dyDescent="0.2">
      <c r="B273" s="17">
        <f t="shared" ca="1" si="85"/>
        <v>53662</v>
      </c>
      <c r="C273" s="9">
        <f t="shared" si="98"/>
        <v>269</v>
      </c>
      <c r="D273" s="9"/>
      <c r="E273" s="13">
        <f t="shared" si="86"/>
        <v>2985.3376224535282</v>
      </c>
      <c r="F273" s="14">
        <f t="shared" si="87"/>
        <v>524289.53550219256</v>
      </c>
      <c r="G273" s="15">
        <f t="shared" si="88"/>
        <v>0.40818786503176374</v>
      </c>
      <c r="H273" s="13">
        <f t="shared" si="89"/>
        <v>24091.778054297654</v>
      </c>
      <c r="I273" s="13">
        <f t="shared" si="90"/>
        <v>1922204.5075912706</v>
      </c>
      <c r="J273" s="15">
        <f t="shared" si="82"/>
        <v>0.59181213496823626</v>
      </c>
      <c r="K273" s="13">
        <f t="shared" si="91"/>
        <v>760142.41462791292</v>
      </c>
      <c r="L273" s="13">
        <f t="shared" si="99"/>
        <v>58486545.720228143</v>
      </c>
      <c r="M273" s="15">
        <f t="shared" si="92"/>
        <v>0.59181213496823626</v>
      </c>
      <c r="N273" s="13">
        <f t="shared" si="83"/>
        <v>8990.3993076726147</v>
      </c>
      <c r="O273" s="13">
        <f t="shared" si="93"/>
        <v>1162062.092963357</v>
      </c>
      <c r="P273" s="15">
        <f t="shared" si="84"/>
        <v>0.47499077148538277</v>
      </c>
      <c r="Q273" s="7">
        <f t="shared" si="94"/>
        <v>2446494.0430934625</v>
      </c>
      <c r="R273" s="7">
        <f t="shared" si="95"/>
        <v>1284431.9501301055</v>
      </c>
      <c r="S273" s="13">
        <f>IF(Calc!$AD$32="Sim",R273,Q273)</f>
        <v>1284431.9501301055</v>
      </c>
      <c r="T273" s="9">
        <f t="shared" si="96"/>
        <v>269</v>
      </c>
      <c r="U273" s="17">
        <f t="shared" ca="1" si="97"/>
        <v>53693</v>
      </c>
      <c r="V273" s="22"/>
      <c r="W273" s="22"/>
      <c r="X273" s="22"/>
    </row>
    <row r="274" spans="2:24" x14ac:dyDescent="0.2">
      <c r="B274" s="17">
        <f t="shared" ca="1" si="85"/>
        <v>53693</v>
      </c>
      <c r="C274" s="9">
        <f t="shared" si="98"/>
        <v>270</v>
      </c>
      <c r="D274" s="9"/>
      <c r="E274" s="13">
        <f t="shared" si="86"/>
        <v>2997.5002574633863</v>
      </c>
      <c r="F274" s="14">
        <f t="shared" si="87"/>
        <v>527287.03575965599</v>
      </c>
      <c r="G274" s="15">
        <f t="shared" si="88"/>
        <v>0.4070178936939356</v>
      </c>
      <c r="H274" s="13">
        <f t="shared" si="89"/>
        <v>24361.403290792688</v>
      </c>
      <c r="I274" s="13">
        <f t="shared" si="90"/>
        <v>1946565.9108820632</v>
      </c>
      <c r="J274" s="15">
        <f t="shared" si="82"/>
        <v>0.5929821063060644</v>
      </c>
      <c r="K274" s="13">
        <f t="shared" si="91"/>
        <v>768201.55068602716</v>
      </c>
      <c r="L274" s="13">
        <f t="shared" si="99"/>
        <v>59254747.270914167</v>
      </c>
      <c r="M274" s="15">
        <f t="shared" si="92"/>
        <v>0.5929821063060644</v>
      </c>
      <c r="N274" s="13">
        <f t="shared" si="83"/>
        <v>9090.9380636173919</v>
      </c>
      <c r="O274" s="13">
        <f t="shared" si="93"/>
        <v>1178364.3601960354</v>
      </c>
      <c r="P274" s="15">
        <f t="shared" si="84"/>
        <v>0.47632756902372769</v>
      </c>
      <c r="Q274" s="7">
        <f t="shared" si="94"/>
        <v>2473852.9466417185</v>
      </c>
      <c r="R274" s="7">
        <f t="shared" si="95"/>
        <v>1295488.5864456831</v>
      </c>
      <c r="S274" s="13">
        <f>IF(Calc!$AD$32="Sim",R274,Q274)</f>
        <v>1295488.5864456831</v>
      </c>
      <c r="T274" s="9">
        <f t="shared" si="96"/>
        <v>270</v>
      </c>
      <c r="U274" s="17">
        <f t="shared" ca="1" si="97"/>
        <v>53724</v>
      </c>
      <c r="V274" s="22"/>
      <c r="W274" s="22"/>
      <c r="X274" s="22"/>
    </row>
    <row r="275" spans="2:24" x14ac:dyDescent="0.2">
      <c r="B275" s="17">
        <f t="shared" ca="1" si="85"/>
        <v>53724</v>
      </c>
      <c r="C275" s="9">
        <f t="shared" si="98"/>
        <v>271</v>
      </c>
      <c r="D275" s="9"/>
      <c r="E275" s="13">
        <f t="shared" si="86"/>
        <v>3009.7124445538102</v>
      </c>
      <c r="F275" s="14">
        <f t="shared" si="87"/>
        <v>530296.74820420984</v>
      </c>
      <c r="G275" s="15">
        <f t="shared" si="88"/>
        <v>0.4058517541985377</v>
      </c>
      <c r="H275" s="13">
        <f t="shared" si="89"/>
        <v>24633.834480565874</v>
      </c>
      <c r="I275" s="13">
        <f t="shared" si="90"/>
        <v>1971199.7453626292</v>
      </c>
      <c r="J275" s="15">
        <f t="shared" si="82"/>
        <v>0.5941482458014623</v>
      </c>
      <c r="K275" s="13">
        <f t="shared" si="91"/>
        <v>776329.9762543845</v>
      </c>
      <c r="L275" s="13">
        <f t="shared" si="99"/>
        <v>60031077.247168548</v>
      </c>
      <c r="M275" s="15">
        <f t="shared" si="92"/>
        <v>0.5941482458014623</v>
      </c>
      <c r="N275" s="13">
        <f t="shared" si="83"/>
        <v>9192.5228297192389</v>
      </c>
      <c r="O275" s="13">
        <f t="shared" si="93"/>
        <v>1194869.7691082438</v>
      </c>
      <c r="P275" s="15">
        <f t="shared" si="84"/>
        <v>0.47766198041097424</v>
      </c>
      <c r="Q275" s="7">
        <f t="shared" si="94"/>
        <v>2501496.4935668381</v>
      </c>
      <c r="R275" s="7">
        <f t="shared" si="95"/>
        <v>1306626.7244585943</v>
      </c>
      <c r="S275" s="13">
        <f>IF(Calc!$AD$32="Sim",R275,Q275)</f>
        <v>1306626.7244585943</v>
      </c>
      <c r="T275" s="9">
        <f t="shared" si="96"/>
        <v>271</v>
      </c>
      <c r="U275" s="17">
        <f t="shared" ca="1" si="97"/>
        <v>53752</v>
      </c>
      <c r="V275" s="22"/>
      <c r="W275" s="22"/>
      <c r="X275" s="22"/>
    </row>
    <row r="276" spans="2:24" x14ac:dyDescent="0.2">
      <c r="B276" s="17">
        <f t="shared" ca="1" si="85"/>
        <v>53752</v>
      </c>
      <c r="C276" s="9">
        <f t="shared" si="98"/>
        <v>272</v>
      </c>
      <c r="D276" s="9"/>
      <c r="E276" s="13">
        <f t="shared" si="86"/>
        <v>3021.9743856061091</v>
      </c>
      <c r="F276" s="14">
        <f t="shared" si="87"/>
        <v>533318.72258981597</v>
      </c>
      <c r="G276" s="15">
        <f t="shared" si="88"/>
        <v>0.40468943145496861</v>
      </c>
      <c r="H276" s="13">
        <f t="shared" si="89"/>
        <v>24909.100057824042</v>
      </c>
      <c r="I276" s="13">
        <f t="shared" si="90"/>
        <v>1996108.8454204532</v>
      </c>
      <c r="J276" s="15">
        <f t="shared" si="82"/>
        <v>0.59531056854503139</v>
      </c>
      <c r="K276" s="13">
        <f t="shared" si="91"/>
        <v>784528.20183415548</v>
      </c>
      <c r="L276" s="13">
        <f t="shared" si="99"/>
        <v>60815605.449002706</v>
      </c>
      <c r="M276" s="15">
        <f t="shared" si="92"/>
        <v>0.59531056854503139</v>
      </c>
      <c r="N276" s="13">
        <f t="shared" si="83"/>
        <v>9295.1642046482575</v>
      </c>
      <c r="O276" s="13">
        <f t="shared" si="93"/>
        <v>1211580.6435862968</v>
      </c>
      <c r="P276" s="15">
        <f t="shared" si="84"/>
        <v>0.47899400595976205</v>
      </c>
      <c r="Q276" s="7">
        <f t="shared" si="94"/>
        <v>2529427.5680102683</v>
      </c>
      <c r="R276" s="7">
        <f t="shared" si="95"/>
        <v>1317846.9244239714</v>
      </c>
      <c r="S276" s="13">
        <f>IF(Calc!$AD$32="Sim",R276,Q276)</f>
        <v>1317846.9244239714</v>
      </c>
      <c r="T276" s="9">
        <f t="shared" si="96"/>
        <v>272</v>
      </c>
      <c r="U276" s="17">
        <f t="shared" ca="1" si="97"/>
        <v>53783</v>
      </c>
      <c r="V276" s="22"/>
      <c r="W276" s="22"/>
      <c r="X276" s="22"/>
    </row>
    <row r="277" spans="2:24" x14ac:dyDescent="0.2">
      <c r="B277" s="17">
        <f t="shared" ca="1" si="85"/>
        <v>53783</v>
      </c>
      <c r="C277" s="9">
        <f t="shared" si="98"/>
        <v>273</v>
      </c>
      <c r="D277" s="9"/>
      <c r="E277" s="13">
        <f t="shared" si="86"/>
        <v>3034.2862833240829</v>
      </c>
      <c r="F277" s="14">
        <f t="shared" si="87"/>
        <v>536353.00887314009</v>
      </c>
      <c r="G277" s="15">
        <f t="shared" si="88"/>
        <v>0.40353091045522571</v>
      </c>
      <c r="H277" s="13">
        <f t="shared" si="89"/>
        <v>25187.228741923012</v>
      </c>
      <c r="I277" s="13">
        <f t="shared" si="90"/>
        <v>2021296.0741623763</v>
      </c>
      <c r="J277" s="15">
        <f t="shared" si="82"/>
        <v>0.59646908954477429</v>
      </c>
      <c r="K277" s="13">
        <f t="shared" si="91"/>
        <v>792796.74143490184</v>
      </c>
      <c r="L277" s="13">
        <f t="shared" si="99"/>
        <v>61608402.190437607</v>
      </c>
      <c r="M277" s="15">
        <f t="shared" si="92"/>
        <v>0.59646908954477429</v>
      </c>
      <c r="N277" s="13">
        <f t="shared" si="83"/>
        <v>9398.872893357604</v>
      </c>
      <c r="O277" s="13">
        <f t="shared" si="93"/>
        <v>1228499.3327274732</v>
      </c>
      <c r="P277" s="15">
        <f t="shared" si="84"/>
        <v>0.48032364599034183</v>
      </c>
      <c r="Q277" s="7">
        <f t="shared" si="94"/>
        <v>2557649.0830355152</v>
      </c>
      <c r="R277" s="7">
        <f t="shared" si="95"/>
        <v>1329149.7503080419</v>
      </c>
      <c r="S277" s="13">
        <f>IF(Calc!$AD$32="Sim",R277,Q277)</f>
        <v>1329149.7503080419</v>
      </c>
      <c r="T277" s="9">
        <f t="shared" si="96"/>
        <v>273</v>
      </c>
      <c r="U277" s="17">
        <f t="shared" ca="1" si="97"/>
        <v>53813</v>
      </c>
      <c r="V277" s="22"/>
      <c r="W277" s="22"/>
      <c r="X277" s="22"/>
    </row>
    <row r="278" spans="2:24" x14ac:dyDescent="0.2">
      <c r="B278" s="17">
        <f t="shared" ca="1" si="85"/>
        <v>53813</v>
      </c>
      <c r="C278" s="9">
        <f t="shared" si="98"/>
        <v>274</v>
      </c>
      <c r="D278" s="9"/>
      <c r="E278" s="13">
        <f t="shared" si="86"/>
        <v>3046.6483412373714</v>
      </c>
      <c r="F278" s="14">
        <f t="shared" si="87"/>
        <v>539399.65721437742</v>
      </c>
      <c r="G278" s="15">
        <f t="shared" si="88"/>
        <v>0.40237617627312372</v>
      </c>
      <c r="H278" s="13">
        <f t="shared" si="89"/>
        <v>25468.249540215202</v>
      </c>
      <c r="I278" s="13">
        <f t="shared" si="90"/>
        <v>2046764.3237025915</v>
      </c>
      <c r="J278" s="15">
        <f t="shared" si="82"/>
        <v>0.59762382372687628</v>
      </c>
      <c r="K278" s="13">
        <f t="shared" si="91"/>
        <v>801136.11259781278</v>
      </c>
      <c r="L278" s="13">
        <f t="shared" si="99"/>
        <v>62409538.303035423</v>
      </c>
      <c r="M278" s="15">
        <f t="shared" si="92"/>
        <v>0.59762382372687628</v>
      </c>
      <c r="N278" s="13">
        <f t="shared" si="83"/>
        <v>9503.6597081448635</v>
      </c>
      <c r="O278" s="13">
        <f t="shared" si="93"/>
        <v>1245628.2111047779</v>
      </c>
      <c r="P278" s="15">
        <f t="shared" si="84"/>
        <v>0.48165090083078155</v>
      </c>
      <c r="Q278" s="7">
        <f t="shared" si="94"/>
        <v>2586163.9809169681</v>
      </c>
      <c r="R278" s="7">
        <f t="shared" si="95"/>
        <v>1340535.7698121902</v>
      </c>
      <c r="S278" s="13">
        <f>IF(Calc!$AD$32="Sim",R278,Q278)</f>
        <v>1340535.7698121902</v>
      </c>
      <c r="T278" s="9">
        <f t="shared" si="96"/>
        <v>274</v>
      </c>
      <c r="U278" s="17">
        <f t="shared" ca="1" si="97"/>
        <v>53844</v>
      </c>
      <c r="V278" s="22"/>
      <c r="W278" s="22"/>
      <c r="X278" s="22"/>
    </row>
    <row r="279" spans="2:24" x14ac:dyDescent="0.2">
      <c r="B279" s="17">
        <f t="shared" ca="1" si="85"/>
        <v>53844</v>
      </c>
      <c r="C279" s="9">
        <f t="shared" si="98"/>
        <v>275</v>
      </c>
      <c r="D279" s="9"/>
      <c r="E279" s="13">
        <f t="shared" si="86"/>
        <v>3059.0607637048192</v>
      </c>
      <c r="F279" s="14">
        <f t="shared" si="87"/>
        <v>542458.71797808225</v>
      </c>
      <c r="G279" s="15">
        <f t="shared" si="88"/>
        <v>0.40122521406352613</v>
      </c>
      <c r="H279" s="13">
        <f t="shared" si="89"/>
        <v>25752.191750925627</v>
      </c>
      <c r="I279" s="13">
        <f t="shared" si="90"/>
        <v>2072516.5154535172</v>
      </c>
      <c r="J279" s="15">
        <f t="shared" si="82"/>
        <v>0.59877478593647382</v>
      </c>
      <c r="K279" s="13">
        <f t="shared" si="91"/>
        <v>809546.83641909121</v>
      </c>
      <c r="L279" s="13">
        <f t="shared" si="99"/>
        <v>63219085.139454514</v>
      </c>
      <c r="M279" s="15">
        <f t="shared" si="92"/>
        <v>0.59877478593647382</v>
      </c>
      <c r="N279" s="13">
        <f t="shared" si="83"/>
        <v>9609.5355697239866</v>
      </c>
      <c r="O279" s="13">
        <f t="shared" si="93"/>
        <v>1262969.6790344247</v>
      </c>
      <c r="P279" s="15">
        <f t="shared" si="84"/>
        <v>0.48297577081716597</v>
      </c>
      <c r="Q279" s="7">
        <f t="shared" si="94"/>
        <v>2614975.2334315982</v>
      </c>
      <c r="R279" s="7">
        <f t="shared" si="95"/>
        <v>1352005.5543971735</v>
      </c>
      <c r="S279" s="13">
        <f>IF(Calc!$AD$32="Sim",R279,Q279)</f>
        <v>1352005.5543971735</v>
      </c>
      <c r="T279" s="9">
        <f t="shared" si="96"/>
        <v>275</v>
      </c>
      <c r="U279" s="17">
        <f t="shared" ca="1" si="97"/>
        <v>53874</v>
      </c>
      <c r="V279" s="22"/>
      <c r="W279" s="22"/>
      <c r="X279" s="22"/>
    </row>
    <row r="280" spans="2:24" x14ac:dyDescent="0.2">
      <c r="B280" s="17">
        <f t="shared" ca="1" si="85"/>
        <v>53874</v>
      </c>
      <c r="C280" s="9">
        <f t="shared" si="98"/>
        <v>276</v>
      </c>
      <c r="D280" s="9">
        <v>23</v>
      </c>
      <c r="E280" s="13">
        <f t="shared" si="86"/>
        <v>3071.5237559178545</v>
      </c>
      <c r="F280" s="14">
        <f t="shared" si="87"/>
        <v>545530.24173400016</v>
      </c>
      <c r="G280" s="15">
        <f t="shared" si="88"/>
        <v>0.40007800906158886</v>
      </c>
      <c r="H280" s="13">
        <f t="shared" si="89"/>
        <v>26039.084966056562</v>
      </c>
      <c r="I280" s="13">
        <f t="shared" si="90"/>
        <v>2098555.600419574</v>
      </c>
      <c r="J280" s="15">
        <f t="shared" si="82"/>
        <v>0.59992199093841114</v>
      </c>
      <c r="K280" s="13">
        <f t="shared" si="91"/>
        <v>818029.43757349229</v>
      </c>
      <c r="L280" s="13">
        <f t="shared" si="99"/>
        <v>64037114.577028006</v>
      </c>
      <c r="M280" s="15">
        <f t="shared" si="92"/>
        <v>0.59992199093841114</v>
      </c>
      <c r="N280" s="13">
        <f t="shared" si="83"/>
        <v>9716.5115083079363</v>
      </c>
      <c r="O280" s="13">
        <f t="shared" si="93"/>
        <v>1280526.16284608</v>
      </c>
      <c r="P280" s="15">
        <f t="shared" si="84"/>
        <v>0.48429825629379286</v>
      </c>
      <c r="Q280" s="7">
        <f t="shared" si="94"/>
        <v>2644085.8421535725</v>
      </c>
      <c r="R280" s="7">
        <f t="shared" si="95"/>
        <v>1363559.6793074924</v>
      </c>
      <c r="S280" s="13">
        <f>IF(Calc!$AD$32="Sim",R280,Q280)</f>
        <v>1363559.6793074924</v>
      </c>
      <c r="T280" s="9">
        <f t="shared" si="96"/>
        <v>276</v>
      </c>
      <c r="U280" s="17">
        <f t="shared" ca="1" si="97"/>
        <v>53905</v>
      </c>
      <c r="V280" s="22"/>
      <c r="W280" s="22"/>
      <c r="X280" s="22"/>
    </row>
    <row r="281" spans="2:24" x14ac:dyDescent="0.2">
      <c r="B281" s="17">
        <f t="shared" ca="1" si="85"/>
        <v>53905</v>
      </c>
      <c r="C281" s="9">
        <f t="shared" si="98"/>
        <v>277</v>
      </c>
      <c r="D281" s="9"/>
      <c r="E281" s="13">
        <f t="shared" si="86"/>
        <v>3084.0375239038804</v>
      </c>
      <c r="F281" s="14">
        <f t="shared" si="87"/>
        <v>548614.27925790404</v>
      </c>
      <c r="G281" s="15">
        <f t="shared" si="88"/>
        <v>0.39893454658201527</v>
      </c>
      <c r="H281" s="13">
        <f t="shared" si="89"/>
        <v>26328.959074321207</v>
      </c>
      <c r="I281" s="13">
        <f t="shared" si="90"/>
        <v>2124884.5594938952</v>
      </c>
      <c r="J281" s="15">
        <f t="shared" si="82"/>
        <v>0.60106545341798467</v>
      </c>
      <c r="K281" s="13">
        <f t="shared" si="91"/>
        <v>826584.44433801482</v>
      </c>
      <c r="L281" s="13">
        <f t="shared" si="99"/>
        <v>64863699.021366023</v>
      </c>
      <c r="M281" s="15">
        <f t="shared" si="92"/>
        <v>0.60106545341798467</v>
      </c>
      <c r="N281" s="13">
        <f t="shared" si="83"/>
        <v>9824.5986647021109</v>
      </c>
      <c r="O281" s="13">
        <f t="shared" si="93"/>
        <v>1298300.1151558787</v>
      </c>
      <c r="P281" s="15">
        <f t="shared" si="84"/>
        <v>0.48561835761336208</v>
      </c>
      <c r="Q281" s="7">
        <f t="shared" si="94"/>
        <v>2673498.8387517976</v>
      </c>
      <c r="R281" s="7">
        <f t="shared" si="95"/>
        <v>1375198.7235959189</v>
      </c>
      <c r="S281" s="13">
        <f>IF(Calc!$AD$32="Sim",R281,Q281)</f>
        <v>1375198.7235959189</v>
      </c>
      <c r="T281" s="9">
        <f t="shared" si="96"/>
        <v>277</v>
      </c>
      <c r="U281" s="17">
        <f t="shared" ca="1" si="97"/>
        <v>53936</v>
      </c>
      <c r="V281" s="22"/>
      <c r="W281" s="22"/>
      <c r="X281" s="22"/>
    </row>
    <row r="282" spans="2:24" x14ac:dyDescent="0.2">
      <c r="B282" s="17">
        <f t="shared" ca="1" si="85"/>
        <v>53936</v>
      </c>
      <c r="C282" s="9">
        <f t="shared" si="98"/>
        <v>278</v>
      </c>
      <c r="D282" s="9"/>
      <c r="E282" s="13">
        <f t="shared" si="86"/>
        <v>3096.6022745296809</v>
      </c>
      <c r="F282" s="14">
        <f t="shared" si="87"/>
        <v>551710.88153243368</v>
      </c>
      <c r="G282" s="15">
        <f t="shared" si="88"/>
        <v>0.39779481201832378</v>
      </c>
      <c r="H282" s="13">
        <f t="shared" si="89"/>
        <v>26621.844264106523</v>
      </c>
      <c r="I282" s="13">
        <f t="shared" si="90"/>
        <v>2151506.4037580015</v>
      </c>
      <c r="J282" s="15">
        <f t="shared" si="82"/>
        <v>0.60220518798167622</v>
      </c>
      <c r="K282" s="13">
        <f t="shared" si="91"/>
        <v>835212.38861574512</v>
      </c>
      <c r="L282" s="13">
        <f t="shared" si="99"/>
        <v>65698911.409981765</v>
      </c>
      <c r="M282" s="15">
        <f t="shared" si="92"/>
        <v>0.60220518798167622</v>
      </c>
      <c r="N282" s="13">
        <f t="shared" si="83"/>
        <v>9933.8082914086717</v>
      </c>
      <c r="O282" s="13">
        <f t="shared" si="93"/>
        <v>1316294.0151422548</v>
      </c>
      <c r="P282" s="15">
        <f t="shared" si="84"/>
        <v>0.48693607513716092</v>
      </c>
      <c r="Q282" s="7">
        <f t="shared" si="94"/>
        <v>2703217.2852904336</v>
      </c>
      <c r="R282" s="7">
        <f t="shared" si="95"/>
        <v>1386923.2701481788</v>
      </c>
      <c r="S282" s="13">
        <f>IF(Calc!$AD$32="Sim",R282,Q282)</f>
        <v>1386923.2701481788</v>
      </c>
      <c r="T282" s="9">
        <f t="shared" si="96"/>
        <v>278</v>
      </c>
      <c r="U282" s="17">
        <f t="shared" ca="1" si="97"/>
        <v>53966</v>
      </c>
      <c r="V282" s="22"/>
      <c r="W282" s="22"/>
      <c r="X282" s="22"/>
    </row>
    <row r="283" spans="2:24" x14ac:dyDescent="0.2">
      <c r="B283" s="17">
        <f t="shared" ca="1" si="85"/>
        <v>53966</v>
      </c>
      <c r="C283" s="9">
        <f t="shared" si="98"/>
        <v>279</v>
      </c>
      <c r="D283" s="9"/>
      <c r="E283" s="13">
        <f t="shared" si="86"/>
        <v>3109.2182155048417</v>
      </c>
      <c r="F283" s="14">
        <f t="shared" si="87"/>
        <v>554820.09974793857</v>
      </c>
      <c r="G283" s="15">
        <f t="shared" si="88"/>
        <v>0.39665879084212624</v>
      </c>
      <c r="H283" s="13">
        <f t="shared" si="89"/>
        <v>26917.771026465667</v>
      </c>
      <c r="I283" s="13">
        <f t="shared" si="90"/>
        <v>2178424.1747844671</v>
      </c>
      <c r="J283" s="15">
        <f t="shared" si="82"/>
        <v>0.60334120915787381</v>
      </c>
      <c r="K283" s="13">
        <f t="shared" si="91"/>
        <v>843913.80595985637</v>
      </c>
      <c r="L283" s="13">
        <f t="shared" si="99"/>
        <v>66542825.215941623</v>
      </c>
      <c r="M283" s="15">
        <f t="shared" si="92"/>
        <v>0.6033412091578737</v>
      </c>
      <c r="N283" s="13">
        <f t="shared" si="83"/>
        <v>10044.15175374188</v>
      </c>
      <c r="O283" s="13">
        <f t="shared" si="93"/>
        <v>1334510.3688246089</v>
      </c>
      <c r="P283" s="15">
        <f t="shared" si="84"/>
        <v>0.48825140923524418</v>
      </c>
      <c r="Q283" s="7">
        <f t="shared" si="94"/>
        <v>2733244.2745324038</v>
      </c>
      <c r="R283" s="7">
        <f t="shared" si="95"/>
        <v>1398733.9057077949</v>
      </c>
      <c r="S283" s="13">
        <f>IF(Calc!$AD$32="Sim",R283,Q283)</f>
        <v>1398733.9057077949</v>
      </c>
      <c r="T283" s="9">
        <f t="shared" si="96"/>
        <v>279</v>
      </c>
      <c r="U283" s="17">
        <f t="shared" ca="1" si="97"/>
        <v>53997</v>
      </c>
      <c r="V283" s="22"/>
      <c r="W283" s="22"/>
      <c r="X283" s="22"/>
    </row>
    <row r="284" spans="2:24" x14ac:dyDescent="0.2">
      <c r="B284" s="17">
        <f t="shared" ca="1" si="85"/>
        <v>53997</v>
      </c>
      <c r="C284" s="9">
        <f t="shared" si="98"/>
        <v>280</v>
      </c>
      <c r="D284" s="9"/>
      <c r="E284" s="13">
        <f t="shared" si="86"/>
        <v>3121.8855553851827</v>
      </c>
      <c r="F284" s="14">
        <f t="shared" si="87"/>
        <v>557941.98530332372</v>
      </c>
      <c r="G284" s="15">
        <f t="shared" si="88"/>
        <v>0.39552646860241752</v>
      </c>
      <c r="H284" s="13">
        <f t="shared" si="89"/>
        <v>27216.770158140225</v>
      </c>
      <c r="I284" s="13">
        <f t="shared" si="90"/>
        <v>2205640.9449426075</v>
      </c>
      <c r="J284" s="15">
        <f t="shared" si="82"/>
        <v>0.60447353139758242</v>
      </c>
      <c r="K284" s="13">
        <f t="shared" si="91"/>
        <v>852689.23559776344</v>
      </c>
      <c r="L284" s="13">
        <f t="shared" si="99"/>
        <v>67395514.451539382</v>
      </c>
      <c r="M284" s="15">
        <f t="shared" si="92"/>
        <v>0.60447353139758253</v>
      </c>
      <c r="N284" s="13">
        <f t="shared" si="83"/>
        <v>10155.640530954561</v>
      </c>
      <c r="O284" s="13">
        <f t="shared" si="93"/>
        <v>1352951.7093448422</v>
      </c>
      <c r="P284" s="15">
        <f t="shared" si="84"/>
        <v>0.48956436028660949</v>
      </c>
      <c r="Q284" s="7">
        <f t="shared" si="94"/>
        <v>2763582.9302459294</v>
      </c>
      <c r="R284" s="7">
        <f t="shared" si="95"/>
        <v>1410631.2209010872</v>
      </c>
      <c r="S284" s="13">
        <f>IF(Calc!$AD$32="Sim",R284,Q284)</f>
        <v>1410631.2209010872</v>
      </c>
      <c r="T284" s="9">
        <f t="shared" si="96"/>
        <v>280</v>
      </c>
      <c r="U284" s="17">
        <f t="shared" ca="1" si="97"/>
        <v>54027</v>
      </c>
      <c r="V284" s="22"/>
      <c r="W284" s="22"/>
      <c r="X284" s="22"/>
    </row>
    <row r="285" spans="2:24" x14ac:dyDescent="0.2">
      <c r="B285" s="17">
        <f t="shared" ca="1" si="85"/>
        <v>54027</v>
      </c>
      <c r="C285" s="9">
        <f t="shared" si="98"/>
        <v>281</v>
      </c>
      <c r="D285" s="9"/>
      <c r="E285" s="13">
        <f t="shared" si="86"/>
        <v>3134.6045035762058</v>
      </c>
      <c r="F285" s="14">
        <f t="shared" si="87"/>
        <v>561076.58980689989</v>
      </c>
      <c r="G285" s="15">
        <f t="shared" si="88"/>
        <v>0.39439783092487646</v>
      </c>
      <c r="H285" s="13">
        <f t="shared" si="89"/>
        <v>27518.872764612617</v>
      </c>
      <c r="I285" s="13">
        <f t="shared" si="90"/>
        <v>2233159.8177072201</v>
      </c>
      <c r="J285" s="15">
        <f t="shared" si="82"/>
        <v>0.60560216907512354</v>
      </c>
      <c r="K285" s="13">
        <f t="shared" si="91"/>
        <v>861539.22045543347</v>
      </c>
      <c r="L285" s="13">
        <f t="shared" si="99"/>
        <v>68257053.67199482</v>
      </c>
      <c r="M285" s="15">
        <f t="shared" si="92"/>
        <v>0.60560216907512354</v>
      </c>
      <c r="N285" s="13">
        <f t="shared" si="83"/>
        <v>10268.286217375779</v>
      </c>
      <c r="O285" s="13">
        <f t="shared" si="93"/>
        <v>1371620.5972517848</v>
      </c>
      <c r="P285" s="15">
        <f t="shared" si="84"/>
        <v>0.49087492867936749</v>
      </c>
      <c r="Q285" s="7">
        <f t="shared" si="94"/>
        <v>2794236.4075141181</v>
      </c>
      <c r="R285" s="7">
        <f t="shared" si="95"/>
        <v>1422615.8102623334</v>
      </c>
      <c r="S285" s="13">
        <f>IF(Calc!$AD$32="Sim",R285,Q285)</f>
        <v>1422615.8102623334</v>
      </c>
      <c r="T285" s="9">
        <f t="shared" si="96"/>
        <v>281</v>
      </c>
      <c r="U285" s="17">
        <f t="shared" ca="1" si="97"/>
        <v>54058</v>
      </c>
      <c r="V285" s="22"/>
      <c r="W285" s="22"/>
      <c r="X285" s="22"/>
    </row>
    <row r="286" spans="2:24" x14ac:dyDescent="0.2">
      <c r="B286" s="17">
        <f t="shared" ca="1" si="85"/>
        <v>54058</v>
      </c>
      <c r="C286" s="9">
        <f t="shared" si="98"/>
        <v>282</v>
      </c>
      <c r="D286" s="9"/>
      <c r="E286" s="13">
        <f t="shared" si="86"/>
        <v>3147.3752703365567</v>
      </c>
      <c r="F286" s="14">
        <f t="shared" si="87"/>
        <v>564223.96507723641</v>
      </c>
      <c r="G286" s="15">
        <f t="shared" si="88"/>
        <v>0.39327286351117724</v>
      </c>
      <c r="H286" s="13">
        <f t="shared" si="89"/>
        <v>27824.110263188843</v>
      </c>
      <c r="I286" s="13">
        <f t="shared" si="90"/>
        <v>2260983.9279704089</v>
      </c>
      <c r="J286" s="15">
        <f t="shared" si="82"/>
        <v>0.6067271364888227</v>
      </c>
      <c r="K286" s="13">
        <f t="shared" si="91"/>
        <v>870464.30718185508</v>
      </c>
      <c r="L286" s="13">
        <f t="shared" si="99"/>
        <v>69127517.97917667</v>
      </c>
      <c r="M286" s="15">
        <f t="shared" si="92"/>
        <v>0.6067271364888227</v>
      </c>
      <c r="N286" s="13">
        <f t="shared" si="83"/>
        <v>10382.100523559871</v>
      </c>
      <c r="O286" s="13">
        <f t="shared" si="93"/>
        <v>1390519.6207885519</v>
      </c>
      <c r="P286" s="15">
        <f t="shared" si="84"/>
        <v>0.49218311481090804</v>
      </c>
      <c r="Q286" s="7">
        <f t="shared" si="94"/>
        <v>2825207.8930476434</v>
      </c>
      <c r="R286" s="7">
        <f t="shared" si="95"/>
        <v>1434688.2722590915</v>
      </c>
      <c r="S286" s="13">
        <f>IF(Calc!$AD$32="Sim",R286,Q286)</f>
        <v>1434688.2722590915</v>
      </c>
      <c r="T286" s="9">
        <f t="shared" si="96"/>
        <v>282</v>
      </c>
      <c r="U286" s="17">
        <f t="shared" ca="1" si="97"/>
        <v>54089</v>
      </c>
      <c r="V286" s="22"/>
      <c r="W286" s="22"/>
      <c r="X286" s="22"/>
    </row>
    <row r="287" spans="2:24" x14ac:dyDescent="0.2">
      <c r="B287" s="17">
        <f t="shared" ca="1" si="85"/>
        <v>54089</v>
      </c>
      <c r="C287" s="9">
        <f t="shared" si="98"/>
        <v>283</v>
      </c>
      <c r="D287" s="9"/>
      <c r="E287" s="13">
        <f t="shared" si="86"/>
        <v>3160.1980667815014</v>
      </c>
      <c r="F287" s="14">
        <f t="shared" si="87"/>
        <v>567384.16314401792</v>
      </c>
      <c r="G287" s="15">
        <f t="shared" si="88"/>
        <v>0.39215155213831143</v>
      </c>
      <c r="H287" s="13">
        <f t="shared" si="89"/>
        <v>28132.514386112081</v>
      </c>
      <c r="I287" s="13">
        <f t="shared" si="90"/>
        <v>2289116.4423565208</v>
      </c>
      <c r="J287" s="15">
        <f t="shared" si="82"/>
        <v>0.60784844786168857</v>
      </c>
      <c r="K287" s="13">
        <f t="shared" si="91"/>
        <v>879465.04617366486</v>
      </c>
      <c r="L287" s="13">
        <f t="shared" si="99"/>
        <v>70006983.025350332</v>
      </c>
      <c r="M287" s="15">
        <f t="shared" si="92"/>
        <v>0.60784844786168857</v>
      </c>
      <c r="N287" s="13">
        <f t="shared" si="83"/>
        <v>10497.09527744693</v>
      </c>
      <c r="O287" s="13">
        <f t="shared" si="93"/>
        <v>1409651.3961828537</v>
      </c>
      <c r="P287" s="15">
        <f t="shared" si="84"/>
        <v>0.49348891908806175</v>
      </c>
      <c r="Q287" s="7">
        <f t="shared" si="94"/>
        <v>2856500.6055005365</v>
      </c>
      <c r="R287" s="7">
        <f t="shared" si="95"/>
        <v>1446849.2093176828</v>
      </c>
      <c r="S287" s="13">
        <f>IF(Calc!$AD$32="Sim",R287,Q287)</f>
        <v>1446849.2093176828</v>
      </c>
      <c r="T287" s="9">
        <f t="shared" si="96"/>
        <v>283</v>
      </c>
      <c r="U287" s="17">
        <f t="shared" ca="1" si="97"/>
        <v>54118</v>
      </c>
      <c r="V287" s="22"/>
      <c r="W287" s="22"/>
      <c r="X287" s="22"/>
    </row>
    <row r="288" spans="2:24" x14ac:dyDescent="0.2">
      <c r="B288" s="17">
        <f t="shared" ca="1" si="85"/>
        <v>54118</v>
      </c>
      <c r="C288" s="9">
        <f t="shared" si="98"/>
        <v>284</v>
      </c>
      <c r="D288" s="9"/>
      <c r="E288" s="13">
        <f t="shared" si="86"/>
        <v>3173.0731048864154</v>
      </c>
      <c r="F288" s="14">
        <f t="shared" si="87"/>
        <v>570557.23624890437</v>
      </c>
      <c r="G288" s="15">
        <f t="shared" si="88"/>
        <v>0.39103388265791977</v>
      </c>
      <c r="H288" s="13">
        <f t="shared" si="89"/>
        <v>28444.117183707207</v>
      </c>
      <c r="I288" s="13">
        <f t="shared" si="90"/>
        <v>2317560.559540228</v>
      </c>
      <c r="J288" s="15">
        <f t="shared" si="82"/>
        <v>0.60896611734208017</v>
      </c>
      <c r="K288" s="13">
        <f t="shared" si="91"/>
        <v>888541.99159993487</v>
      </c>
      <c r="L288" s="13">
        <f t="shared" si="99"/>
        <v>70895525.016950265</v>
      </c>
      <c r="M288" s="15">
        <f t="shared" si="92"/>
        <v>0.60896611734208017</v>
      </c>
      <c r="N288" s="13">
        <f t="shared" si="83"/>
        <v>10613.282425534853</v>
      </c>
      <c r="O288" s="13">
        <f t="shared" si="93"/>
        <v>1429018.5679402908</v>
      </c>
      <c r="P288" s="15">
        <f t="shared" si="84"/>
        <v>0.49479234192725691</v>
      </c>
      <c r="Q288" s="7">
        <f t="shared" si="94"/>
        <v>2888117.79578913</v>
      </c>
      <c r="R288" s="7">
        <f t="shared" si="95"/>
        <v>1459099.2278488392</v>
      </c>
      <c r="S288" s="13">
        <f>IF(Calc!$AD$32="Sim",R288,Q288)</f>
        <v>1459099.2278488392</v>
      </c>
      <c r="T288" s="9">
        <f t="shared" si="96"/>
        <v>284</v>
      </c>
      <c r="U288" s="17">
        <f t="shared" ca="1" si="97"/>
        <v>54149</v>
      </c>
      <c r="V288" s="22"/>
      <c r="W288" s="22"/>
      <c r="X288" s="22"/>
    </row>
    <row r="289" spans="2:24" x14ac:dyDescent="0.2">
      <c r="B289" s="17">
        <f t="shared" ca="1" si="85"/>
        <v>54149</v>
      </c>
      <c r="C289" s="9">
        <f t="shared" si="98"/>
        <v>285</v>
      </c>
      <c r="D289" s="9"/>
      <c r="E289" s="13">
        <f t="shared" si="86"/>
        <v>3186.0005974902879</v>
      </c>
      <c r="F289" s="14">
        <f t="shared" si="87"/>
        <v>573743.2368463946</v>
      </c>
      <c r="G289" s="15">
        <f t="shared" si="88"/>
        <v>0.38991984099563498</v>
      </c>
      <c r="H289" s="13">
        <f t="shared" si="89"/>
        <v>28758.951027556766</v>
      </c>
      <c r="I289" s="13">
        <f t="shared" si="90"/>
        <v>2346319.5105677848</v>
      </c>
      <c r="J289" s="15">
        <f t="shared" si="82"/>
        <v>0.61008015900436496</v>
      </c>
      <c r="K289" s="13">
        <f t="shared" si="91"/>
        <v>897695.70142711955</v>
      </c>
      <c r="L289" s="13">
        <f t="shared" si="99"/>
        <v>71793220.718377382</v>
      </c>
      <c r="M289" s="15">
        <f t="shared" si="92"/>
        <v>0.61008015900436496</v>
      </c>
      <c r="N289" s="13">
        <f t="shared" si="83"/>
        <v>10730.674034063079</v>
      </c>
      <c r="O289" s="13">
        <f t="shared" si="93"/>
        <v>1448623.8091406631</v>
      </c>
      <c r="P289" s="15">
        <f t="shared" si="84"/>
        <v>0.49609338375467193</v>
      </c>
      <c r="Q289" s="7">
        <f t="shared" si="94"/>
        <v>2920062.7474141773</v>
      </c>
      <c r="R289" s="7">
        <f t="shared" si="95"/>
        <v>1471438.9382735142</v>
      </c>
      <c r="S289" s="13">
        <f>IF(Calc!$AD$32="Sim",R289,Q289)</f>
        <v>1471438.9382735142</v>
      </c>
      <c r="T289" s="9">
        <f t="shared" si="96"/>
        <v>285</v>
      </c>
      <c r="U289" s="17">
        <f t="shared" ca="1" si="97"/>
        <v>54179</v>
      </c>
      <c r="V289" s="22"/>
      <c r="W289" s="22"/>
      <c r="X289" s="22"/>
    </row>
    <row r="290" spans="2:24" x14ac:dyDescent="0.2">
      <c r="B290" s="17">
        <f t="shared" ca="1" si="85"/>
        <v>54179</v>
      </c>
      <c r="C290" s="9">
        <f t="shared" si="98"/>
        <v>286</v>
      </c>
      <c r="D290" s="9"/>
      <c r="E290" s="13">
        <f t="shared" si="86"/>
        <v>3198.9807582992407</v>
      </c>
      <c r="F290" s="14">
        <f t="shared" si="87"/>
        <v>576942.21760469384</v>
      </c>
      <c r="G290" s="15">
        <f t="shared" si="88"/>
        <v>0.38880941315043366</v>
      </c>
      <c r="H290" s="13">
        <f t="shared" si="89"/>
        <v>29077.048613708506</v>
      </c>
      <c r="I290" s="13">
        <f t="shared" si="90"/>
        <v>2375396.5591814932</v>
      </c>
      <c r="J290" s="15">
        <f t="shared" si="82"/>
        <v>0.6111905868495664</v>
      </c>
      <c r="K290" s="13">
        <f t="shared" si="91"/>
        <v>906926.73744416458</v>
      </c>
      <c r="L290" s="13">
        <f t="shared" si="99"/>
        <v>72700147.455821544</v>
      </c>
      <c r="M290" s="15">
        <f t="shared" si="92"/>
        <v>0.6111905868495664</v>
      </c>
      <c r="N290" s="13">
        <f t="shared" si="83"/>
        <v>10849.282290208108</v>
      </c>
      <c r="O290" s="13">
        <f t="shared" si="93"/>
        <v>1468469.8217373264</v>
      </c>
      <c r="P290" s="15">
        <f t="shared" si="84"/>
        <v>0.4973920450063839</v>
      </c>
      <c r="Q290" s="7">
        <f t="shared" si="94"/>
        <v>2952338.7767861849</v>
      </c>
      <c r="R290" s="7">
        <f t="shared" si="95"/>
        <v>1483868.9550488584</v>
      </c>
      <c r="S290" s="13">
        <f>IF(Calc!$AD$32="Sim",R290,Q290)</f>
        <v>1483868.9550488584</v>
      </c>
      <c r="T290" s="9">
        <f t="shared" si="96"/>
        <v>286</v>
      </c>
      <c r="U290" s="17">
        <f t="shared" ca="1" si="97"/>
        <v>54210</v>
      </c>
      <c r="V290" s="22"/>
      <c r="W290" s="22"/>
      <c r="X290" s="22"/>
    </row>
    <row r="291" spans="2:24" x14ac:dyDescent="0.2">
      <c r="B291" s="17">
        <f t="shared" ca="1" si="85"/>
        <v>54210</v>
      </c>
      <c r="C291" s="9">
        <f t="shared" si="98"/>
        <v>287</v>
      </c>
      <c r="D291" s="9"/>
      <c r="E291" s="13">
        <f t="shared" si="86"/>
        <v>3212.0138018900611</v>
      </c>
      <c r="F291" s="14">
        <f t="shared" si="87"/>
        <v>580154.23140658392</v>
      </c>
      <c r="G291" s="15">
        <f t="shared" si="88"/>
        <v>0.38770258519399819</v>
      </c>
      <c r="H291" s="13">
        <f t="shared" si="89"/>
        <v>29398.44296591495</v>
      </c>
      <c r="I291" s="13">
        <f t="shared" si="90"/>
        <v>2404795.0021474082</v>
      </c>
      <c r="J291" s="15">
        <f t="shared" si="82"/>
        <v>0.61229741480600186</v>
      </c>
      <c r="K291" s="13">
        <f t="shared" si="91"/>
        <v>916235.66528777778</v>
      </c>
      <c r="L291" s="13">
        <f t="shared" si="99"/>
        <v>73616383.121109322</v>
      </c>
      <c r="M291" s="15">
        <f t="shared" si="92"/>
        <v>0.61229741480600186</v>
      </c>
      <c r="N291" s="13">
        <f t="shared" si="83"/>
        <v>10969.119503290976</v>
      </c>
      <c r="O291" s="13">
        <f t="shared" si="93"/>
        <v>1488559.3368596281</v>
      </c>
      <c r="P291" s="15">
        <f t="shared" si="84"/>
        <v>0.49868832612851338</v>
      </c>
      <c r="Q291" s="7">
        <f t="shared" si="94"/>
        <v>2984949.2335539898</v>
      </c>
      <c r="R291" s="7">
        <f t="shared" si="95"/>
        <v>1496389.8966943617</v>
      </c>
      <c r="S291" s="13">
        <f>IF(Calc!$AD$32="Sim",R291,Q291)</f>
        <v>1496389.8966943617</v>
      </c>
      <c r="T291" s="9">
        <f t="shared" si="96"/>
        <v>287</v>
      </c>
      <c r="U291" s="17">
        <f t="shared" ca="1" si="97"/>
        <v>54240</v>
      </c>
      <c r="V291" s="22"/>
      <c r="W291" s="22"/>
      <c r="X291" s="22"/>
    </row>
    <row r="292" spans="2:24" x14ac:dyDescent="0.2">
      <c r="B292" s="17">
        <f t="shared" ca="1" si="85"/>
        <v>54240</v>
      </c>
      <c r="C292" s="9">
        <f t="shared" si="98"/>
        <v>288</v>
      </c>
      <c r="D292" s="9">
        <v>24</v>
      </c>
      <c r="E292" s="13">
        <f t="shared" si="86"/>
        <v>3225.0999437137484</v>
      </c>
      <c r="F292" s="14">
        <f t="shared" si="87"/>
        <v>583379.33135029767</v>
      </c>
      <c r="G292" s="15">
        <f t="shared" si="88"/>
        <v>0.38659934327008783</v>
      </c>
      <c r="H292" s="13">
        <f t="shared" si="89"/>
        <v>29723.16743890526</v>
      </c>
      <c r="I292" s="13">
        <f t="shared" si="90"/>
        <v>2434518.1695863134</v>
      </c>
      <c r="J292" s="15">
        <f t="shared" si="82"/>
        <v>0.61340065672991217</v>
      </c>
      <c r="K292" s="13">
        <f t="shared" si="91"/>
        <v>925623.05446786573</v>
      </c>
      <c r="L292" s="13">
        <f t="shared" si="99"/>
        <v>74542006.175577193</v>
      </c>
      <c r="M292" s="15">
        <f t="shared" si="92"/>
        <v>0.61340065672991217</v>
      </c>
      <c r="N292" s="13">
        <f t="shared" si="83"/>
        <v>11090.198105996731</v>
      </c>
      <c r="O292" s="13">
        <f t="shared" si="93"/>
        <v>1508895.1151184454</v>
      </c>
      <c r="P292" s="15">
        <f t="shared" si="84"/>
        <v>0.49998222757736394</v>
      </c>
      <c r="Q292" s="7">
        <f t="shared" si="94"/>
        <v>3017897.5009366088</v>
      </c>
      <c r="R292" s="7">
        <f t="shared" si="95"/>
        <v>1509002.3858181634</v>
      </c>
      <c r="S292" s="13">
        <f>IF(Calc!$AD$32="Sim",R292,Q292)</f>
        <v>1509002.3858181634</v>
      </c>
      <c r="T292" s="9">
        <f t="shared" si="96"/>
        <v>288</v>
      </c>
      <c r="U292" s="17">
        <f t="shared" ca="1" si="97"/>
        <v>54271</v>
      </c>
      <c r="V292" s="22"/>
      <c r="W292" s="22"/>
      <c r="X292" s="22"/>
    </row>
    <row r="293" spans="2:24" x14ac:dyDescent="0.2">
      <c r="B293" s="17">
        <f t="shared" ca="1" si="85"/>
        <v>54271</v>
      </c>
      <c r="C293" s="9">
        <f t="shared" si="98"/>
        <v>289</v>
      </c>
      <c r="D293" s="9"/>
      <c r="E293" s="13">
        <f t="shared" si="86"/>
        <v>3238.2394000990757</v>
      </c>
      <c r="F293" s="14">
        <f t="shared" si="87"/>
        <v>586617.5707503967</v>
      </c>
      <c r="G293" s="15">
        <f t="shared" si="88"/>
        <v>0.3854996735939194</v>
      </c>
      <c r="H293" s="13">
        <f t="shared" si="89"/>
        <v>30051.255721689682</v>
      </c>
      <c r="I293" s="13">
        <f t="shared" si="90"/>
        <v>2464569.4253080031</v>
      </c>
      <c r="J293" s="15">
        <f t="shared" si="82"/>
        <v>0.61450032640608065</v>
      </c>
      <c r="K293" s="13">
        <f t="shared" si="91"/>
        <v>935089.47839313233</v>
      </c>
      <c r="L293" s="13">
        <f t="shared" si="99"/>
        <v>75477095.653970331</v>
      </c>
      <c r="M293" s="15">
        <f t="shared" si="92"/>
        <v>0.61450032640608065</v>
      </c>
      <c r="N293" s="13">
        <f t="shared" si="83"/>
        <v>11212.530655606077</v>
      </c>
      <c r="O293" s="13">
        <f t="shared" si="93"/>
        <v>1529479.9469148684</v>
      </c>
      <c r="P293" s="15">
        <f t="shared" si="84"/>
        <v>0.50127374981955886</v>
      </c>
      <c r="Q293" s="7">
        <f t="shared" si="94"/>
        <v>3051186.9960583975</v>
      </c>
      <c r="R293" s="7">
        <f t="shared" si="95"/>
        <v>1521707.049143529</v>
      </c>
      <c r="S293" s="13">
        <f>IF(Calc!$AD$32="Sim",R293,Q293)</f>
        <v>1521707.049143529</v>
      </c>
      <c r="T293" s="9">
        <f t="shared" si="96"/>
        <v>289</v>
      </c>
      <c r="U293" s="17">
        <f t="shared" ca="1" si="97"/>
        <v>54302</v>
      </c>
      <c r="V293" s="22"/>
      <c r="W293" s="22"/>
      <c r="X293" s="22"/>
    </row>
    <row r="294" spans="2:24" x14ac:dyDescent="0.2">
      <c r="B294" s="17">
        <f t="shared" ca="1" si="85"/>
        <v>54302</v>
      </c>
      <c r="C294" s="9">
        <f t="shared" si="98"/>
        <v>290</v>
      </c>
      <c r="D294" s="9"/>
      <c r="E294" s="13">
        <f t="shared" si="86"/>
        <v>3251.4323882561666</v>
      </c>
      <c r="F294" s="14">
        <f t="shared" si="87"/>
        <v>589869.00313865289</v>
      </c>
      <c r="G294" s="15">
        <f t="shared" si="88"/>
        <v>0.38440356245155677</v>
      </c>
      <c r="H294" s="13">
        <f t="shared" si="89"/>
        <v>30382.741840896957</v>
      </c>
      <c r="I294" s="13">
        <f t="shared" si="90"/>
        <v>2494952.1671489002</v>
      </c>
      <c r="J294" s="15">
        <f t="shared" si="82"/>
        <v>0.61559643754844329</v>
      </c>
      <c r="K294" s="13">
        <f t="shared" si="91"/>
        <v>944635.51439684525</v>
      </c>
      <c r="L294" s="13">
        <f t="shared" si="99"/>
        <v>76421731.168367177</v>
      </c>
      <c r="M294" s="15">
        <f t="shared" si="92"/>
        <v>0.61559643754844318</v>
      </c>
      <c r="N294" s="13">
        <f t="shared" si="83"/>
        <v>11336.129835239301</v>
      </c>
      <c r="O294" s="13">
        <f t="shared" si="93"/>
        <v>1550316.6527520528</v>
      </c>
      <c r="P294" s="15">
        <f t="shared" si="84"/>
        <v>0.50256289333217341</v>
      </c>
      <c r="Q294" s="7">
        <f t="shared" si="94"/>
        <v>3084821.1702875509</v>
      </c>
      <c r="R294" s="7">
        <f t="shared" si="95"/>
        <v>1534504.5175354981</v>
      </c>
      <c r="S294" s="13">
        <f>IF(Calc!$AD$32="Sim",R294,Q294)</f>
        <v>1534504.5175354981</v>
      </c>
      <c r="T294" s="9">
        <f t="shared" si="96"/>
        <v>290</v>
      </c>
      <c r="U294" s="17">
        <f t="shared" ca="1" si="97"/>
        <v>54332</v>
      </c>
      <c r="V294" s="22"/>
      <c r="W294" s="22"/>
      <c r="X294" s="22"/>
    </row>
    <row r="295" spans="2:24" x14ac:dyDescent="0.2">
      <c r="B295" s="17">
        <f t="shared" ca="1" si="85"/>
        <v>54332</v>
      </c>
      <c r="C295" s="9">
        <f t="shared" si="98"/>
        <v>291</v>
      </c>
      <c r="D295" s="9"/>
      <c r="E295" s="13">
        <f t="shared" si="86"/>
        <v>3264.6791262800857</v>
      </c>
      <c r="F295" s="14">
        <f t="shared" si="87"/>
        <v>593133.68226493301</v>
      </c>
      <c r="G295" s="15">
        <f t="shared" si="88"/>
        <v>0.38331099619930958</v>
      </c>
      <c r="H295" s="13">
        <f t="shared" si="89"/>
        <v>30717.660164145003</v>
      </c>
      <c r="I295" s="13">
        <f t="shared" si="90"/>
        <v>2525669.827313045</v>
      </c>
      <c r="J295" s="15">
        <f t="shared" si="82"/>
        <v>0.61668900380069047</v>
      </c>
      <c r="K295" s="13">
        <f t="shared" si="91"/>
        <v>954261.74376276776</v>
      </c>
      <c r="L295" s="13">
        <f t="shared" si="99"/>
        <v>77375992.912129939</v>
      </c>
      <c r="M295" s="15">
        <f t="shared" si="92"/>
        <v>0.61668900380069047</v>
      </c>
      <c r="N295" s="13">
        <f t="shared" si="83"/>
        <v>11461.008455112589</v>
      </c>
      <c r="O295" s="13">
        <f t="shared" si="93"/>
        <v>1571408.0835502748</v>
      </c>
      <c r="P295" s="15">
        <f t="shared" si="84"/>
        <v>0.50384965860286324</v>
      </c>
      <c r="Q295" s="7">
        <f t="shared" si="94"/>
        <v>3118803.5095779756</v>
      </c>
      <c r="R295" s="7">
        <f t="shared" si="95"/>
        <v>1547395.4260277008</v>
      </c>
      <c r="S295" s="13">
        <f>IF(Calc!$AD$32="Sim",R295,Q295)</f>
        <v>1547395.4260277008</v>
      </c>
      <c r="T295" s="9">
        <f t="shared" si="96"/>
        <v>291</v>
      </c>
      <c r="U295" s="17">
        <f t="shared" ca="1" si="97"/>
        <v>54363</v>
      </c>
      <c r="V295" s="22"/>
      <c r="W295" s="22"/>
      <c r="X295" s="22"/>
    </row>
    <row r="296" spans="2:24" x14ac:dyDescent="0.2">
      <c r="B296" s="17">
        <f t="shared" ca="1" si="85"/>
        <v>54363</v>
      </c>
      <c r="C296" s="9">
        <f t="shared" si="98"/>
        <v>292</v>
      </c>
      <c r="D296" s="9"/>
      <c r="E296" s="13">
        <f t="shared" si="86"/>
        <v>3277.9798331544439</v>
      </c>
      <c r="F296" s="14">
        <f t="shared" si="87"/>
        <v>596411.66209808749</v>
      </c>
      <c r="G296" s="15">
        <f t="shared" si="88"/>
        <v>0.38222196126313995</v>
      </c>
      <c r="H296" s="13">
        <f t="shared" si="89"/>
        <v>31056.045403445158</v>
      </c>
      <c r="I296" s="13">
        <f t="shared" si="90"/>
        <v>2556725.8727164902</v>
      </c>
      <c r="J296" s="15">
        <f t="shared" si="82"/>
        <v>0.6177780387368601</v>
      </c>
      <c r="K296" s="13">
        <f t="shared" si="91"/>
        <v>963968.75175125978</v>
      </c>
      <c r="L296" s="13">
        <f t="shared" si="99"/>
        <v>78339961.663881198</v>
      </c>
      <c r="M296" s="15">
        <f t="shared" si="92"/>
        <v>0.6177780387368601</v>
      </c>
      <c r="N296" s="13">
        <f t="shared" si="83"/>
        <v>11587.179453806881</v>
      </c>
      <c r="O296" s="13">
        <f t="shared" si="93"/>
        <v>1592757.120965228</v>
      </c>
      <c r="P296" s="15">
        <f t="shared" si="84"/>
        <v>0.5051340461299898</v>
      </c>
      <c r="Q296" s="7">
        <f t="shared" si="94"/>
        <v>3153137.5348145752</v>
      </c>
      <c r="R296" s="7">
        <f t="shared" si="95"/>
        <v>1560380.4138493473</v>
      </c>
      <c r="S296" s="13">
        <f>IF(Calc!$AD$32="Sim",R296,Q296)</f>
        <v>1560380.4138493473</v>
      </c>
      <c r="T296" s="9">
        <f t="shared" si="96"/>
        <v>292</v>
      </c>
      <c r="U296" s="17">
        <f t="shared" ca="1" si="97"/>
        <v>54393</v>
      </c>
      <c r="V296" s="22"/>
      <c r="W296" s="22"/>
      <c r="X296" s="22"/>
    </row>
    <row r="297" spans="2:24" x14ac:dyDescent="0.2">
      <c r="B297" s="17">
        <f t="shared" ca="1" si="85"/>
        <v>54393</v>
      </c>
      <c r="C297" s="9">
        <f t="shared" si="98"/>
        <v>293</v>
      </c>
      <c r="D297" s="9"/>
      <c r="E297" s="13">
        <f t="shared" si="86"/>
        <v>3291.3347287550182</v>
      </c>
      <c r="F297" s="14">
        <f t="shared" si="87"/>
        <v>599702.99682684254</v>
      </c>
      <c r="G297" s="15">
        <f t="shared" si="88"/>
        <v>0.38113644413807873</v>
      </c>
      <c r="H297" s="13">
        <f t="shared" si="89"/>
        <v>31397.932618640432</v>
      </c>
      <c r="I297" s="13">
        <f t="shared" si="90"/>
        <v>2588123.8053351305</v>
      </c>
      <c r="J297" s="15">
        <f t="shared" si="82"/>
        <v>0.61886355586192132</v>
      </c>
      <c r="K297" s="13">
        <f t="shared" si="91"/>
        <v>973757.127625547</v>
      </c>
      <c r="L297" s="13">
        <f t="shared" si="99"/>
        <v>79313718.791506737</v>
      </c>
      <c r="M297" s="15">
        <f t="shared" si="92"/>
        <v>0.61886355586192132</v>
      </c>
      <c r="N297" s="13">
        <f t="shared" si="83"/>
        <v>11714.655899549356</v>
      </c>
      <c r="O297" s="13">
        <f t="shared" si="93"/>
        <v>1614366.6777095811</v>
      </c>
      <c r="P297" s="15">
        <f t="shared" si="84"/>
        <v>0.50641605642274057</v>
      </c>
      <c r="Q297" s="7">
        <f t="shared" si="94"/>
        <v>3187826.8021619706</v>
      </c>
      <c r="R297" s="7">
        <f t="shared" si="95"/>
        <v>1573460.1244523895</v>
      </c>
      <c r="S297" s="13">
        <f>IF(Calc!$AD$32="Sim",R297,Q297)</f>
        <v>1573460.1244523895</v>
      </c>
      <c r="T297" s="9">
        <f t="shared" si="96"/>
        <v>293</v>
      </c>
      <c r="U297" s="17">
        <f t="shared" ca="1" si="97"/>
        <v>54424</v>
      </c>
      <c r="V297" s="22"/>
      <c r="W297" s="22"/>
      <c r="X297" s="22"/>
    </row>
    <row r="298" spans="2:24" x14ac:dyDescent="0.2">
      <c r="B298" s="17">
        <f t="shared" ca="1" si="85"/>
        <v>54424</v>
      </c>
      <c r="C298" s="9">
        <f t="shared" si="98"/>
        <v>294</v>
      </c>
      <c r="D298" s="9"/>
      <c r="E298" s="13">
        <f t="shared" si="86"/>
        <v>3304.744033853387</v>
      </c>
      <c r="F298" s="14">
        <f t="shared" si="87"/>
        <v>603007.74086069595</v>
      </c>
      <c r="G298" s="15">
        <f t="shared" si="88"/>
        <v>0.38005443138764938</v>
      </c>
      <c r="H298" s="13">
        <f t="shared" si="89"/>
        <v>31743.357220877955</v>
      </c>
      <c r="I298" s="13">
        <f t="shared" si="90"/>
        <v>2619867.1625560084</v>
      </c>
      <c r="J298" s="15">
        <f t="shared" si="82"/>
        <v>0.61994556861235062</v>
      </c>
      <c r="K298" s="13">
        <f t="shared" si="91"/>
        <v>983627.46467815968</v>
      </c>
      <c r="L298" s="13">
        <f t="shared" si="99"/>
        <v>80297346.256184891</v>
      </c>
      <c r="M298" s="15">
        <f t="shared" si="92"/>
        <v>0.61994556861235062</v>
      </c>
      <c r="N298" s="13">
        <f t="shared" si="83"/>
        <v>11843.450991507707</v>
      </c>
      <c r="O298" s="13">
        <f t="shared" si="93"/>
        <v>1636239.6978778464</v>
      </c>
      <c r="P298" s="15">
        <f t="shared" si="84"/>
        <v>0.50769569000124748</v>
      </c>
      <c r="Q298" s="7">
        <f t="shared" si="94"/>
        <v>3222874.9034167021</v>
      </c>
      <c r="R298" s="7">
        <f t="shared" si="95"/>
        <v>1586635.2055388556</v>
      </c>
      <c r="S298" s="13">
        <f>IF(Calc!$AD$32="Sim",R298,Q298)</f>
        <v>1586635.2055388556</v>
      </c>
      <c r="T298" s="9">
        <f t="shared" si="96"/>
        <v>294</v>
      </c>
      <c r="U298" s="17">
        <f t="shared" ca="1" si="97"/>
        <v>54455</v>
      </c>
      <c r="V298" s="22"/>
      <c r="W298" s="22"/>
      <c r="X298" s="22"/>
    </row>
    <row r="299" spans="2:24" x14ac:dyDescent="0.2">
      <c r="B299" s="17">
        <f t="shared" ca="1" si="85"/>
        <v>54455</v>
      </c>
      <c r="C299" s="9">
        <f t="shared" si="98"/>
        <v>295</v>
      </c>
      <c r="D299" s="9"/>
      <c r="E299" s="13">
        <f t="shared" si="86"/>
        <v>3318.2079701205789</v>
      </c>
      <c r="F299" s="14">
        <f t="shared" si="87"/>
        <v>606325.94883081655</v>
      </c>
      <c r="G299" s="15">
        <f t="shared" si="88"/>
        <v>0.37897590964330019</v>
      </c>
      <c r="H299" s="13">
        <f t="shared" si="89"/>
        <v>32092.354976116076</v>
      </c>
      <c r="I299" s="13">
        <f t="shared" si="90"/>
        <v>2651959.5175321246</v>
      </c>
      <c r="J299" s="15">
        <f t="shared" si="82"/>
        <v>0.62102409035669981</v>
      </c>
      <c r="K299" s="13">
        <f t="shared" si="91"/>
        <v>993580.36025754421</v>
      </c>
      <c r="L299" s="13">
        <f t="shared" si="99"/>
        <v>81290926.616442442</v>
      </c>
      <c r="M299" s="15">
        <f t="shared" si="92"/>
        <v>0.62102409035669981</v>
      </c>
      <c r="N299" s="13">
        <f t="shared" si="83"/>
        <v>11973.578061097298</v>
      </c>
      <c r="O299" s="13">
        <f t="shared" si="93"/>
        <v>1658379.157274578</v>
      </c>
      <c r="P299" s="15">
        <f t="shared" si="84"/>
        <v>0.50897294739670051</v>
      </c>
      <c r="Q299" s="7">
        <f t="shared" si="94"/>
        <v>3258285.4663629388</v>
      </c>
      <c r="R299" s="7">
        <f t="shared" si="95"/>
        <v>1599906.3090883608</v>
      </c>
      <c r="S299" s="13">
        <f>IF(Calc!$AD$32="Sim",R299,Q299)</f>
        <v>1599906.3090883608</v>
      </c>
      <c r="T299" s="9">
        <f t="shared" si="96"/>
        <v>295</v>
      </c>
      <c r="U299" s="17">
        <f t="shared" ca="1" si="97"/>
        <v>54483</v>
      </c>
      <c r="V299" s="22"/>
      <c r="W299" s="22"/>
      <c r="X299" s="22"/>
    </row>
    <row r="300" spans="2:24" x14ac:dyDescent="0.2">
      <c r="B300" s="17">
        <f t="shared" ca="1" si="85"/>
        <v>54483</v>
      </c>
      <c r="C300" s="9">
        <f t="shared" si="98"/>
        <v>296</v>
      </c>
      <c r="D300" s="9"/>
      <c r="E300" s="13">
        <f t="shared" si="86"/>
        <v>3331.7267601307385</v>
      </c>
      <c r="F300" s="14">
        <f t="shared" si="87"/>
        <v>609657.67559094727</v>
      </c>
      <c r="G300" s="15">
        <f t="shared" si="88"/>
        <v>0.37790086560384473</v>
      </c>
      <c r="H300" s="13">
        <f t="shared" si="89"/>
        <v>32444.962008666418</v>
      </c>
      <c r="I300" s="13">
        <f t="shared" si="90"/>
        <v>2684404.4795407909</v>
      </c>
      <c r="J300" s="15">
        <f t="shared" si="82"/>
        <v>0.62209913439615527</v>
      </c>
      <c r="K300" s="13">
        <f t="shared" si="91"/>
        <v>1003616.4157948457</v>
      </c>
      <c r="L300" s="13">
        <f t="shared" si="99"/>
        <v>82294543.032237291</v>
      </c>
      <c r="M300" s="15">
        <f t="shared" si="92"/>
        <v>0.62209913439615527</v>
      </c>
      <c r="N300" s="13">
        <f t="shared" si="83"/>
        <v>12105.050573301376</v>
      </c>
      <c r="O300" s="13">
        <f t="shared" si="93"/>
        <v>1680788.0637459429</v>
      </c>
      <c r="P300" s="15">
        <f t="shared" si="84"/>
        <v>0.51024782915145839</v>
      </c>
      <c r="Q300" s="7">
        <f t="shared" si="94"/>
        <v>3294062.1551317358</v>
      </c>
      <c r="R300" s="7">
        <f t="shared" si="95"/>
        <v>1613274.0913857929</v>
      </c>
      <c r="S300" s="13">
        <f>IF(Calc!$AD$32="Sim",R300,Q300)</f>
        <v>1613274.0913857929</v>
      </c>
      <c r="T300" s="9">
        <f t="shared" si="96"/>
        <v>296</v>
      </c>
      <c r="U300" s="17">
        <f t="shared" ca="1" si="97"/>
        <v>54514</v>
      </c>
      <c r="V300" s="22"/>
      <c r="W300" s="22"/>
      <c r="X300" s="22"/>
    </row>
    <row r="301" spans="2:24" x14ac:dyDescent="0.2">
      <c r="B301" s="17">
        <f t="shared" ca="1" si="85"/>
        <v>54514</v>
      </c>
      <c r="C301" s="9">
        <f t="shared" si="98"/>
        <v>297</v>
      </c>
      <c r="D301" s="9"/>
      <c r="E301" s="13">
        <f t="shared" si="86"/>
        <v>3345.3006273648048</v>
      </c>
      <c r="F301" s="14">
        <f t="shared" si="87"/>
        <v>613002.97621831205</v>
      </c>
      <c r="G301" s="15">
        <f t="shared" si="88"/>
        <v>0.37682928603491012</v>
      </c>
      <c r="H301" s="13">
        <f t="shared" si="89"/>
        <v>32801.21480477124</v>
      </c>
      <c r="I301" s="13">
        <f t="shared" si="90"/>
        <v>2717205.6943455623</v>
      </c>
      <c r="J301" s="15">
        <f t="shared" si="82"/>
        <v>0.62317071396508994</v>
      </c>
      <c r="K301" s="13">
        <f t="shared" si="91"/>
        <v>1013736.2368308627</v>
      </c>
      <c r="L301" s="13">
        <f t="shared" si="99"/>
        <v>83308279.269068152</v>
      </c>
      <c r="M301" s="15">
        <f t="shared" si="92"/>
        <v>0.62317071396508994</v>
      </c>
      <c r="N301" s="13">
        <f t="shared" si="83"/>
        <v>12237.882128004427</v>
      </c>
      <c r="O301" s="13">
        <f t="shared" si="93"/>
        <v>1703469.4575146972</v>
      </c>
      <c r="P301" s="15">
        <f t="shared" si="84"/>
        <v>0.51152033581915612</v>
      </c>
      <c r="Q301" s="7">
        <f t="shared" si="94"/>
        <v>3330208.670563872</v>
      </c>
      <c r="R301" s="7">
        <f t="shared" si="95"/>
        <v>1626739.2130491748</v>
      </c>
      <c r="S301" s="13">
        <f>IF(Calc!$AD$32="Sim",R301,Q301)</f>
        <v>1626739.2130491748</v>
      </c>
      <c r="T301" s="9">
        <f t="shared" si="96"/>
        <v>297</v>
      </c>
      <c r="U301" s="17">
        <f t="shared" ca="1" si="97"/>
        <v>54544</v>
      </c>
      <c r="V301" s="22"/>
      <c r="W301" s="22"/>
      <c r="X301" s="22"/>
    </row>
    <row r="302" spans="2:24" x14ac:dyDescent="0.2">
      <c r="B302" s="17">
        <f t="shared" ca="1" si="85"/>
        <v>54544</v>
      </c>
      <c r="C302" s="9">
        <f t="shared" si="98"/>
        <v>298</v>
      </c>
      <c r="D302" s="9"/>
      <c r="E302" s="13">
        <f t="shared" si="86"/>
        <v>3358.9297962142055</v>
      </c>
      <c r="F302" s="14">
        <f t="shared" si="87"/>
        <v>616361.90601452626</v>
      </c>
      <c r="G302" s="15">
        <f t="shared" si="88"/>
        <v>0.3757611577683927</v>
      </c>
      <c r="H302" s="13">
        <f t="shared" si="89"/>
        <v>33161.150216216462</v>
      </c>
      <c r="I302" s="13">
        <f t="shared" si="90"/>
        <v>2750366.8445617789</v>
      </c>
      <c r="J302" s="15">
        <f t="shared" si="82"/>
        <v>0.6242388422316073</v>
      </c>
      <c r="K302" s="13">
        <f t="shared" si="91"/>
        <v>1023940.4330431798</v>
      </c>
      <c r="L302" s="13">
        <f t="shared" si="99"/>
        <v>84332219.702111334</v>
      </c>
      <c r="M302" s="15">
        <f t="shared" si="92"/>
        <v>0.6242388422316073</v>
      </c>
      <c r="N302" s="13">
        <f t="shared" si="83"/>
        <v>12372.086461338813</v>
      </c>
      <c r="O302" s="13">
        <f t="shared" si="93"/>
        <v>1726426.4115185968</v>
      </c>
      <c r="P302" s="15">
        <f t="shared" si="84"/>
        <v>0.51279046796480832</v>
      </c>
      <c r="Q302" s="7">
        <f t="shared" si="94"/>
        <v>3366728.7505763029</v>
      </c>
      <c r="R302" s="7">
        <f t="shared" si="95"/>
        <v>1640302.3390577061</v>
      </c>
      <c r="S302" s="13">
        <f>IF(Calc!$AD$32="Sim",R302,Q302)</f>
        <v>1640302.3390577061</v>
      </c>
      <c r="T302" s="9">
        <f t="shared" si="96"/>
        <v>298</v>
      </c>
      <c r="U302" s="17">
        <f t="shared" ca="1" si="97"/>
        <v>54575</v>
      </c>
      <c r="V302" s="22"/>
      <c r="W302" s="22"/>
      <c r="X302" s="22"/>
    </row>
    <row r="303" spans="2:24" x14ac:dyDescent="0.2">
      <c r="B303" s="17">
        <f t="shared" ca="1" si="85"/>
        <v>54575</v>
      </c>
      <c r="C303" s="9">
        <f t="shared" si="98"/>
        <v>299</v>
      </c>
      <c r="D303" s="9"/>
      <c r="E303" s="13">
        <f t="shared" si="86"/>
        <v>3372.6144919845669</v>
      </c>
      <c r="F303" s="14">
        <f t="shared" si="87"/>
        <v>619734.52050651086</v>
      </c>
      <c r="G303" s="15">
        <f t="shared" si="88"/>
        <v>0.37469646770192172</v>
      </c>
      <c r="H303" s="13">
        <f t="shared" si="89"/>
        <v>33524.805463980687</v>
      </c>
      <c r="I303" s="13">
        <f t="shared" si="90"/>
        <v>2783891.6500257598</v>
      </c>
      <c r="J303" s="15">
        <f t="shared" si="82"/>
        <v>0.62530353229807822</v>
      </c>
      <c r="K303" s="13">
        <f t="shared" si="91"/>
        <v>1034229.6182734725</v>
      </c>
      <c r="L303" s="13">
        <f t="shared" si="99"/>
        <v>85366449.3203848</v>
      </c>
      <c r="M303" s="15">
        <f t="shared" si="92"/>
        <v>0.62530353229807822</v>
      </c>
      <c r="N303" s="13">
        <f t="shared" si="83"/>
        <v>12507.677447044862</v>
      </c>
      <c r="O303" s="13">
        <f t="shared" si="93"/>
        <v>1749662.0317522851</v>
      </c>
      <c r="P303" s="15">
        <f t="shared" si="84"/>
        <v>0.51405822616491048</v>
      </c>
      <c r="Q303" s="7">
        <f t="shared" si="94"/>
        <v>3403626.1705322685</v>
      </c>
      <c r="R303" s="7">
        <f t="shared" si="95"/>
        <v>1653964.1387799834</v>
      </c>
      <c r="S303" s="13">
        <f>IF(Calc!$AD$32="Sim",R303,Q303)</f>
        <v>1653964.1387799834</v>
      </c>
      <c r="T303" s="9">
        <f t="shared" si="96"/>
        <v>299</v>
      </c>
      <c r="U303" s="17">
        <f t="shared" ca="1" si="97"/>
        <v>54605</v>
      </c>
      <c r="V303" s="22"/>
      <c r="W303" s="22"/>
      <c r="X303" s="22"/>
    </row>
    <row r="304" spans="2:24" x14ac:dyDescent="0.2">
      <c r="B304" s="17">
        <f t="shared" ca="1" si="85"/>
        <v>54605</v>
      </c>
      <c r="C304" s="9">
        <f t="shared" si="98"/>
        <v>300</v>
      </c>
      <c r="D304" s="9">
        <v>25</v>
      </c>
      <c r="E304" s="13">
        <f t="shared" si="86"/>
        <v>3386.3549408994386</v>
      </c>
      <c r="F304" s="14">
        <f t="shared" si="87"/>
        <v>623120.87544741028</v>
      </c>
      <c r="G304" s="15">
        <f t="shared" si="88"/>
        <v>0.37363520279833029</v>
      </c>
      <c r="H304" s="13">
        <f t="shared" si="89"/>
        <v>33892.218141920603</v>
      </c>
      <c r="I304" s="13">
        <f t="shared" si="90"/>
        <v>2817783.8681676802</v>
      </c>
      <c r="J304" s="15">
        <f t="shared" si="82"/>
        <v>0.62636479720166971</v>
      </c>
      <c r="K304" s="13">
        <f t="shared" si="91"/>
        <v>1044604.4105549903</v>
      </c>
      <c r="L304" s="13">
        <f t="shared" si="99"/>
        <v>86411053.730939791</v>
      </c>
      <c r="M304" s="15">
        <f t="shared" si="92"/>
        <v>0.62636479720166971</v>
      </c>
      <c r="N304" s="13">
        <f t="shared" si="83"/>
        <v>12644.669097844482</v>
      </c>
      <c r="O304" s="13">
        <f t="shared" si="93"/>
        <v>1773179.457612688</v>
      </c>
      <c r="P304" s="15">
        <f t="shared" si="84"/>
        <v>0.51532361100753621</v>
      </c>
      <c r="Q304" s="7">
        <f t="shared" si="94"/>
        <v>3440904.7436150885</v>
      </c>
      <c r="R304" s="7">
        <f t="shared" si="95"/>
        <v>1667725.2860024006</v>
      </c>
      <c r="S304" s="13">
        <f>IF(Calc!$AD$32="Sim",R304,Q304)</f>
        <v>1667725.2860024006</v>
      </c>
      <c r="T304" s="9">
        <f t="shared" si="96"/>
        <v>300</v>
      </c>
      <c r="U304" s="17">
        <f t="shared" ca="1" si="97"/>
        <v>54636</v>
      </c>
      <c r="V304" s="22"/>
      <c r="W304" s="22"/>
      <c r="X304" s="22"/>
    </row>
    <row r="305" spans="2:24" x14ac:dyDescent="0.2">
      <c r="B305" s="17">
        <f t="shared" ca="1" si="85"/>
        <v>54636</v>
      </c>
      <c r="C305" s="9">
        <f t="shared" si="98"/>
        <v>301</v>
      </c>
      <c r="D305" s="9"/>
      <c r="E305" s="13">
        <f t="shared" si="86"/>
        <v>3400.1513701040321</v>
      </c>
      <c r="F305" s="14">
        <f t="shared" si="87"/>
        <v>626521.02681751433</v>
      </c>
      <c r="G305" s="15">
        <f t="shared" si="88"/>
        <v>0.37257735008513337</v>
      </c>
      <c r="H305" s="13">
        <f t="shared" si="89"/>
        <v>34263.426220493129</v>
      </c>
      <c r="I305" s="13">
        <f t="shared" si="90"/>
        <v>2852047.2943881731</v>
      </c>
      <c r="J305" s="15">
        <f t="shared" si="82"/>
        <v>0.62742264991486663</v>
      </c>
      <c r="K305" s="13">
        <f t="shared" si="91"/>
        <v>1055065.4321402167</v>
      </c>
      <c r="L305" s="13">
        <f t="shared" si="99"/>
        <v>87466119.163080007</v>
      </c>
      <c r="M305" s="15">
        <f t="shared" si="92"/>
        <v>0.62742264991486663</v>
      </c>
      <c r="N305" s="13">
        <f t="shared" si="83"/>
        <v>12783.075566828489</v>
      </c>
      <c r="O305" s="13">
        <f t="shared" si="93"/>
        <v>1796981.8622479544</v>
      </c>
      <c r="P305" s="15">
        <f t="shared" si="84"/>
        <v>0.51658662309243175</v>
      </c>
      <c r="Q305" s="7">
        <f t="shared" si="94"/>
        <v>3478568.3212056854</v>
      </c>
      <c r="R305" s="7">
        <f t="shared" si="95"/>
        <v>1681586.458957731</v>
      </c>
      <c r="S305" s="13">
        <f>IF(Calc!$AD$32="Sim",R305,Q305)</f>
        <v>1681586.458957731</v>
      </c>
      <c r="T305" s="9">
        <f t="shared" si="96"/>
        <v>301</v>
      </c>
      <c r="U305" s="17">
        <f t="shared" ca="1" si="97"/>
        <v>54667</v>
      </c>
      <c r="V305" s="22"/>
      <c r="W305" s="22"/>
      <c r="X305" s="22"/>
    </row>
    <row r="306" spans="2:24" x14ac:dyDescent="0.2">
      <c r="B306" s="17">
        <f t="shared" ca="1" si="85"/>
        <v>54667</v>
      </c>
      <c r="C306" s="9">
        <f t="shared" si="98"/>
        <v>302</v>
      </c>
      <c r="D306" s="9"/>
      <c r="E306" s="13">
        <f t="shared" si="86"/>
        <v>3414.0040076689775</v>
      </c>
      <c r="F306" s="14">
        <f t="shared" si="87"/>
        <v>629935.03082518326</v>
      </c>
      <c r="G306" s="15">
        <f t="shared" si="88"/>
        <v>0.37152289665401322</v>
      </c>
      <c r="H306" s="13">
        <f t="shared" si="89"/>
        <v>34638.468050514683</v>
      </c>
      <c r="I306" s="13">
        <f t="shared" si="90"/>
        <v>2886685.762438688</v>
      </c>
      <c r="J306" s="15">
        <f t="shared" si="82"/>
        <v>0.62847710334598683</v>
      </c>
      <c r="K306" s="13">
        <f t="shared" si="91"/>
        <v>1065613.3095287103</v>
      </c>
      <c r="L306" s="13">
        <f t="shared" si="99"/>
        <v>88531732.472608715</v>
      </c>
      <c r="M306" s="15">
        <f t="shared" si="92"/>
        <v>0.62847710334598672</v>
      </c>
      <c r="N306" s="13">
        <f t="shared" si="83"/>
        <v>12922.911148857766</v>
      </c>
      <c r="O306" s="13">
        <f t="shared" si="93"/>
        <v>1821072.4529099758</v>
      </c>
      <c r="P306" s="15">
        <f t="shared" si="84"/>
        <v>0.51784726303110717</v>
      </c>
      <c r="Q306" s="7">
        <f t="shared" si="94"/>
        <v>3516620.7932638694</v>
      </c>
      <c r="R306" s="7">
        <f t="shared" si="95"/>
        <v>1695548.3403538936</v>
      </c>
      <c r="S306" s="13">
        <f>IF(Calc!$AD$32="Sim",R306,Q306)</f>
        <v>1695548.3403538936</v>
      </c>
      <c r="T306" s="9">
        <f t="shared" si="96"/>
        <v>302</v>
      </c>
      <c r="U306" s="17">
        <f t="shared" ca="1" si="97"/>
        <v>54697</v>
      </c>
      <c r="V306" s="22"/>
      <c r="W306" s="22"/>
      <c r="X306" s="22"/>
    </row>
    <row r="307" spans="2:24" x14ac:dyDescent="0.2">
      <c r="B307" s="17">
        <f t="shared" ca="1" si="85"/>
        <v>54697</v>
      </c>
      <c r="C307" s="9">
        <f t="shared" si="98"/>
        <v>303</v>
      </c>
      <c r="D307" s="9"/>
      <c r="E307" s="13">
        <f t="shared" si="86"/>
        <v>3427.9130825940924</v>
      </c>
      <c r="F307" s="14">
        <f t="shared" si="87"/>
        <v>633362.94390777731</v>
      </c>
      <c r="G307" s="15">
        <f t="shared" si="88"/>
        <v>0.37047182966031178</v>
      </c>
      <c r="H307" s="13">
        <f t="shared" si="89"/>
        <v>35017.382366957849</v>
      </c>
      <c r="I307" s="13">
        <f t="shared" si="90"/>
        <v>2921703.144805646</v>
      </c>
      <c r="J307" s="15">
        <f t="shared" si="82"/>
        <v>0.62952817033968822</v>
      </c>
      <c r="K307" s="13">
        <f t="shared" si="91"/>
        <v>1076248.6734951227</v>
      </c>
      <c r="L307" s="13">
        <f t="shared" si="99"/>
        <v>89607981.146103844</v>
      </c>
      <c r="M307" s="15">
        <f t="shared" si="92"/>
        <v>0.62952817033968822</v>
      </c>
      <c r="N307" s="13">
        <f t="shared" si="83"/>
        <v>13064.190281978352</v>
      </c>
      <c r="O307" s="13">
        <f t="shared" si="93"/>
        <v>1845454.4713105215</v>
      </c>
      <c r="P307" s="15">
        <f t="shared" si="84"/>
        <v>0.51910553144692495</v>
      </c>
      <c r="Q307" s="7">
        <f t="shared" si="94"/>
        <v>3555066.0887134215</v>
      </c>
      <c r="R307" s="7">
        <f t="shared" si="95"/>
        <v>1709611.6174029</v>
      </c>
      <c r="S307" s="13">
        <f>IF(Calc!$AD$32="Sim",R307,Q307)</f>
        <v>1709611.6174029</v>
      </c>
      <c r="T307" s="9">
        <f t="shared" si="96"/>
        <v>303</v>
      </c>
      <c r="U307" s="17">
        <f t="shared" ca="1" si="97"/>
        <v>54728</v>
      </c>
      <c r="V307" s="22"/>
      <c r="W307" s="22"/>
      <c r="X307" s="22"/>
    </row>
    <row r="308" spans="2:24" x14ac:dyDescent="0.2">
      <c r="B308" s="17">
        <f t="shared" ca="1" si="85"/>
        <v>54728</v>
      </c>
      <c r="C308" s="9">
        <f t="shared" si="98"/>
        <v>304</v>
      </c>
      <c r="D308" s="9"/>
      <c r="E308" s="13">
        <f t="shared" si="86"/>
        <v>3441.8788248121682</v>
      </c>
      <c r="F308" s="14">
        <f t="shared" si="87"/>
        <v>636804.82273258944</v>
      </c>
      <c r="G308" s="15">
        <f t="shared" si="88"/>
        <v>0.36942413632252974</v>
      </c>
      <c r="H308" s="13">
        <f t="shared" si="89"/>
        <v>35400.208292785959</v>
      </c>
      <c r="I308" s="13">
        <f t="shared" si="90"/>
        <v>2957103.3530984321</v>
      </c>
      <c r="J308" s="15">
        <f t="shared" si="82"/>
        <v>0.63057586367747032</v>
      </c>
      <c r="K308" s="13">
        <f t="shared" si="91"/>
        <v>1086972.1591174002</v>
      </c>
      <c r="L308" s="13">
        <f t="shared" si="99"/>
        <v>90694953.305221245</v>
      </c>
      <c r="M308" s="15">
        <f t="shared" si="92"/>
        <v>0.63057586367747021</v>
      </c>
      <c r="N308" s="13">
        <f t="shared" si="83"/>
        <v>13206.927548850688</v>
      </c>
      <c r="O308" s="13">
        <f t="shared" si="93"/>
        <v>1870131.1939810303</v>
      </c>
      <c r="P308" s="15">
        <f t="shared" si="84"/>
        <v>0.52036142897518511</v>
      </c>
      <c r="Q308" s="7">
        <f t="shared" si="94"/>
        <v>3593908.1758310199</v>
      </c>
      <c r="R308" s="7">
        <f t="shared" si="95"/>
        <v>1723776.9818499896</v>
      </c>
      <c r="S308" s="13">
        <f>IF(Calc!$AD$32="Sim",R308,Q308)</f>
        <v>1723776.9818499896</v>
      </c>
      <c r="T308" s="9">
        <f t="shared" si="96"/>
        <v>304</v>
      </c>
      <c r="U308" s="17">
        <f t="shared" ca="1" si="97"/>
        <v>54758</v>
      </c>
      <c r="V308" s="22"/>
      <c r="W308" s="22"/>
      <c r="X308" s="22"/>
    </row>
    <row r="309" spans="2:24" x14ac:dyDescent="0.2">
      <c r="B309" s="17">
        <f t="shared" ca="1" si="85"/>
        <v>54758</v>
      </c>
      <c r="C309" s="9">
        <f t="shared" si="98"/>
        <v>305</v>
      </c>
      <c r="D309" s="9"/>
      <c r="E309" s="13">
        <f t="shared" si="86"/>
        <v>3455.901465192771</v>
      </c>
      <c r="F309" s="14">
        <f t="shared" si="87"/>
        <v>640260.72419778223</v>
      </c>
      <c r="G309" s="15">
        <f t="shared" si="88"/>
        <v>0.3683798039218325</v>
      </c>
      <c r="H309" s="13">
        <f t="shared" si="89"/>
        <v>35786.985342825879</v>
      </c>
      <c r="I309" s="13">
        <f t="shared" si="90"/>
        <v>2992890.3384412578</v>
      </c>
      <c r="J309" s="15">
        <f t="shared" si="82"/>
        <v>0.63162019607816755</v>
      </c>
      <c r="K309" s="13">
        <f t="shared" si="91"/>
        <v>1097784.4058051668</v>
      </c>
      <c r="L309" s="13">
        <f t="shared" si="99"/>
        <v>91792737.711026415</v>
      </c>
      <c r="M309" s="15">
        <f t="shared" si="92"/>
        <v>0.63162019607816755</v>
      </c>
      <c r="N309" s="13">
        <f t="shared" si="83"/>
        <v>13351.137678193076</v>
      </c>
      <c r="O309" s="13">
        <f t="shared" si="93"/>
        <v>1895105.9326360896</v>
      </c>
      <c r="P309" s="15">
        <f t="shared" si="84"/>
        <v>0.52161495626320797</v>
      </c>
      <c r="Q309" s="7">
        <f t="shared" si="94"/>
        <v>3633151.0626390385</v>
      </c>
      <c r="R309" s="7">
        <f t="shared" si="95"/>
        <v>1738045.1300029489</v>
      </c>
      <c r="S309" s="13">
        <f>IF(Calc!$AD$32="Sim",R309,Q309)</f>
        <v>1738045.1300029489</v>
      </c>
      <c r="T309" s="9">
        <f t="shared" si="96"/>
        <v>305</v>
      </c>
      <c r="U309" s="17">
        <f t="shared" ca="1" si="97"/>
        <v>54789</v>
      </c>
      <c r="V309" s="22"/>
      <c r="W309" s="22"/>
      <c r="X309" s="22"/>
    </row>
    <row r="310" spans="2:24" x14ac:dyDescent="0.2">
      <c r="B310" s="17">
        <f t="shared" ca="1" si="85"/>
        <v>54789</v>
      </c>
      <c r="C310" s="9">
        <f t="shared" si="98"/>
        <v>306</v>
      </c>
      <c r="D310" s="9"/>
      <c r="E310" s="13">
        <f t="shared" si="86"/>
        <v>3469.9812355460581</v>
      </c>
      <c r="F310" s="14">
        <f t="shared" si="87"/>
        <v>643730.70543332829</v>
      </c>
      <c r="G310" s="15">
        <f t="shared" si="88"/>
        <v>0.36733881980156263</v>
      </c>
      <c r="H310" s="13">
        <f t="shared" si="89"/>
        <v>36177.753427679352</v>
      </c>
      <c r="I310" s="13">
        <f t="shared" si="90"/>
        <v>3029068.091868937</v>
      </c>
      <c r="J310" s="15">
        <f t="shared" si="82"/>
        <v>0.63266118019843742</v>
      </c>
      <c r="K310" s="13">
        <f t="shared" si="91"/>
        <v>1108686.0573282912</v>
      </c>
      <c r="L310" s="13">
        <f t="shared" si="99"/>
        <v>92901423.768354714</v>
      </c>
      <c r="M310" s="15">
        <f t="shared" si="92"/>
        <v>0.63266118019843731</v>
      </c>
      <c r="N310" s="13">
        <f t="shared" si="83"/>
        <v>13496.835546239521</v>
      </c>
      <c r="O310" s="13">
        <f t="shared" si="93"/>
        <v>1920382.0345406441</v>
      </c>
      <c r="P310" s="15">
        <f t="shared" si="84"/>
        <v>0.52286611397041383</v>
      </c>
      <c r="Q310" s="7">
        <f t="shared" si="94"/>
        <v>3672798.7973022638</v>
      </c>
      <c r="R310" s="7">
        <f t="shared" si="95"/>
        <v>1752416.7627616196</v>
      </c>
      <c r="S310" s="13">
        <f>IF(Calc!$AD$32="Sim",R310,Q310)</f>
        <v>1752416.7627616196</v>
      </c>
      <c r="T310" s="9">
        <f t="shared" si="96"/>
        <v>306</v>
      </c>
      <c r="U310" s="17">
        <f t="shared" ca="1" si="97"/>
        <v>54820</v>
      </c>
      <c r="V310" s="22"/>
      <c r="W310" s="22"/>
      <c r="X310" s="22"/>
    </row>
    <row r="311" spans="2:24" x14ac:dyDescent="0.2">
      <c r="B311" s="17">
        <f t="shared" ca="1" si="85"/>
        <v>54820</v>
      </c>
      <c r="C311" s="9">
        <f t="shared" si="98"/>
        <v>307</v>
      </c>
      <c r="D311" s="9"/>
      <c r="E311" s="13">
        <f t="shared" si="86"/>
        <v>3484.1183686266099</v>
      </c>
      <c r="F311" s="14">
        <f t="shared" si="87"/>
        <v>647214.82380195486</v>
      </c>
      <c r="G311" s="15">
        <f t="shared" si="88"/>
        <v>0.36630117136675877</v>
      </c>
      <c r="H311" s="13">
        <f t="shared" si="89"/>
        <v>36572.552857673414</v>
      </c>
      <c r="I311" s="13">
        <f t="shared" si="90"/>
        <v>3065640.6447266103</v>
      </c>
      <c r="J311" s="15">
        <f t="shared" si="82"/>
        <v>0.63369882863324123</v>
      </c>
      <c r="K311" s="13">
        <f t="shared" si="91"/>
        <v>1119677.761845639</v>
      </c>
      <c r="L311" s="13">
        <f t="shared" si="99"/>
        <v>94021101.530200347</v>
      </c>
      <c r="M311" s="15">
        <f t="shared" si="92"/>
        <v>0.63369882863324112</v>
      </c>
      <c r="N311" s="13">
        <f t="shared" si="83"/>
        <v>13644.036178212136</v>
      </c>
      <c r="O311" s="13">
        <f t="shared" si="93"/>
        <v>1945962.8828809697</v>
      </c>
      <c r="P311" s="15">
        <f t="shared" si="84"/>
        <v>0.52411490276839978</v>
      </c>
      <c r="Q311" s="7">
        <f t="shared" si="94"/>
        <v>3712855.4685285636</v>
      </c>
      <c r="R311" s="7">
        <f t="shared" si="95"/>
        <v>1766892.585647594</v>
      </c>
      <c r="S311" s="13">
        <f>IF(Calc!$AD$32="Sim",R311,Q311)</f>
        <v>1766892.585647594</v>
      </c>
      <c r="T311" s="9">
        <f t="shared" si="96"/>
        <v>307</v>
      </c>
      <c r="U311" s="17">
        <f t="shared" ca="1" si="97"/>
        <v>54848</v>
      </c>
      <c r="V311" s="22"/>
      <c r="W311" s="22"/>
      <c r="X311" s="22"/>
    </row>
    <row r="312" spans="2:24" x14ac:dyDescent="0.2">
      <c r="B312" s="17">
        <f t="shared" ca="1" si="85"/>
        <v>54848</v>
      </c>
      <c r="C312" s="9">
        <f t="shared" si="98"/>
        <v>308</v>
      </c>
      <c r="D312" s="9"/>
      <c r="E312" s="13">
        <f t="shared" si="86"/>
        <v>3498.3130981372778</v>
      </c>
      <c r="F312" s="14">
        <f t="shared" si="87"/>
        <v>650713.13690009213</v>
      </c>
      <c r="G312" s="15">
        <f t="shared" si="88"/>
        <v>0.36526684608368143</v>
      </c>
      <c r="H312" s="13">
        <f t="shared" si="89"/>
        <v>36971.424346850101</v>
      </c>
      <c r="I312" s="13">
        <f t="shared" si="90"/>
        <v>3102612.0690734605</v>
      </c>
      <c r="J312" s="15">
        <f t="shared" si="82"/>
        <v>0.63473315391631857</v>
      </c>
      <c r="K312" s="13">
        <f t="shared" si="91"/>
        <v>1130760.1719340086</v>
      </c>
      <c r="L312" s="13">
        <f t="shared" si="99"/>
        <v>95151861.702134356</v>
      </c>
      <c r="M312" s="15">
        <f t="shared" si="92"/>
        <v>0.63473315391631857</v>
      </c>
      <c r="N312" s="13">
        <f t="shared" si="83"/>
        <v>13792.754749808188</v>
      </c>
      <c r="O312" s="13">
        <f t="shared" si="93"/>
        <v>1971851.8971394505</v>
      </c>
      <c r="P312" s="15">
        <f t="shared" si="84"/>
        <v>0.52536132334101449</v>
      </c>
      <c r="Q312" s="7">
        <f t="shared" si="94"/>
        <v>3753325.2059735511</v>
      </c>
      <c r="R312" s="7">
        <f t="shared" si="95"/>
        <v>1781473.3088341006</v>
      </c>
      <c r="S312" s="13">
        <f>IF(Calc!$AD$32="Sim",R312,Q312)</f>
        <v>1781473.3088341006</v>
      </c>
      <c r="T312" s="9">
        <f t="shared" si="96"/>
        <v>308</v>
      </c>
      <c r="U312" s="17">
        <f t="shared" ca="1" si="97"/>
        <v>54879</v>
      </c>
      <c r="V312" s="22"/>
      <c r="W312" s="22"/>
      <c r="X312" s="22"/>
    </row>
    <row r="313" spans="2:24" x14ac:dyDescent="0.2">
      <c r="B313" s="17">
        <f t="shared" ca="1" si="85"/>
        <v>54879</v>
      </c>
      <c r="C313" s="9">
        <f t="shared" si="98"/>
        <v>309</v>
      </c>
      <c r="D313" s="9"/>
      <c r="E313" s="13">
        <f t="shared" si="86"/>
        <v>3512.5656587330477</v>
      </c>
      <c r="F313" s="14">
        <f t="shared" si="87"/>
        <v>654225.70255882514</v>
      </c>
      <c r="G313" s="15">
        <f t="shared" si="88"/>
        <v>0.36423583147934391</v>
      </c>
      <c r="H313" s="13">
        <f t="shared" si="89"/>
        <v>37374.409016995967</v>
      </c>
      <c r="I313" s="13">
        <f t="shared" si="90"/>
        <v>3139986.4780904567</v>
      </c>
      <c r="J313" s="15">
        <f t="shared" si="82"/>
        <v>0.63576416852065609</v>
      </c>
      <c r="K313" s="13">
        <f t="shared" si="91"/>
        <v>1141933.9446172565</v>
      </c>
      <c r="L313" s="13">
        <f t="shared" si="99"/>
        <v>96293795.646751612</v>
      </c>
      <c r="M313" s="15">
        <f t="shared" si="92"/>
        <v>0.63576416852065598</v>
      </c>
      <c r="N313" s="13">
        <f t="shared" si="83"/>
        <v>13943.006588701981</v>
      </c>
      <c r="O313" s="13">
        <f t="shared" si="93"/>
        <v>1998052.5334731988</v>
      </c>
      <c r="P313" s="15">
        <f t="shared" si="84"/>
        <v>0.52660537638442884</v>
      </c>
      <c r="Q313" s="7">
        <f t="shared" si="94"/>
        <v>3794212.1806492805</v>
      </c>
      <c r="R313" s="7">
        <f t="shared" si="95"/>
        <v>1796159.6471760818</v>
      </c>
      <c r="S313" s="13">
        <f>IF(Calc!$AD$32="Sim",R313,Q313)</f>
        <v>1796159.6471760818</v>
      </c>
      <c r="T313" s="9">
        <f t="shared" si="96"/>
        <v>309</v>
      </c>
      <c r="U313" s="17">
        <f t="shared" ca="1" si="97"/>
        <v>54909</v>
      </c>
      <c r="V313" s="22"/>
      <c r="W313" s="22"/>
      <c r="X313" s="22"/>
    </row>
    <row r="314" spans="2:24" x14ac:dyDescent="0.2">
      <c r="B314" s="17">
        <f t="shared" ca="1" si="85"/>
        <v>54909</v>
      </c>
      <c r="C314" s="9">
        <f t="shared" si="98"/>
        <v>310</v>
      </c>
      <c r="D314" s="9"/>
      <c r="E314" s="13">
        <f t="shared" si="86"/>
        <v>3526.8762860249185</v>
      </c>
      <c r="F314" s="14">
        <f t="shared" si="87"/>
        <v>657752.57884485007</v>
      </c>
      <c r="G314" s="15">
        <f t="shared" si="88"/>
        <v>0.36320811514105039</v>
      </c>
      <c r="H314" s="13">
        <f t="shared" si="89"/>
        <v>37781.548401711734</v>
      </c>
      <c r="I314" s="13">
        <f t="shared" si="90"/>
        <v>3177768.0264921682</v>
      </c>
      <c r="J314" s="15">
        <f t="shared" si="82"/>
        <v>0.63679188485894955</v>
      </c>
      <c r="K314" s="13">
        <f t="shared" si="91"/>
        <v>1153199.7413956118</v>
      </c>
      <c r="L314" s="13">
        <f t="shared" si="99"/>
        <v>97446995.38814722</v>
      </c>
      <c r="M314" s="15">
        <f t="shared" si="92"/>
        <v>0.63679188485894955</v>
      </c>
      <c r="N314" s="13">
        <f t="shared" si="83"/>
        <v>14094.807176061711</v>
      </c>
      <c r="O314" s="13">
        <f t="shared" si="93"/>
        <v>2024568.2850965548</v>
      </c>
      <c r="P314" s="15">
        <f t="shared" si="84"/>
        <v>0.52784706260720549</v>
      </c>
      <c r="Q314" s="7">
        <f t="shared" si="94"/>
        <v>3835520.6053370168</v>
      </c>
      <c r="R314" s="7">
        <f t="shared" si="95"/>
        <v>1810952.320240462</v>
      </c>
      <c r="S314" s="13">
        <f>IF(Calc!$AD$32="Sim",R314,Q314)</f>
        <v>1810952.320240462</v>
      </c>
      <c r="T314" s="9">
        <f t="shared" si="96"/>
        <v>310</v>
      </c>
      <c r="U314" s="17">
        <f t="shared" ca="1" si="97"/>
        <v>54940</v>
      </c>
      <c r="V314" s="22"/>
      <c r="W314" s="22"/>
      <c r="X314" s="22"/>
    </row>
    <row r="315" spans="2:24" x14ac:dyDescent="0.2">
      <c r="B315" s="17">
        <f t="shared" ca="1" si="85"/>
        <v>54940</v>
      </c>
      <c r="C315" s="9">
        <f t="shared" si="98"/>
        <v>311</v>
      </c>
      <c r="D315" s="9"/>
      <c r="E315" s="13">
        <f t="shared" si="86"/>
        <v>3541.2452165837981</v>
      </c>
      <c r="F315" s="14">
        <f t="shared" si="87"/>
        <v>661293.8240614339</v>
      </c>
      <c r="G315" s="15">
        <f t="shared" si="88"/>
        <v>0.36218368471593959</v>
      </c>
      <c r="H315" s="13">
        <f t="shared" si="89"/>
        <v>38192.884450522557</v>
      </c>
      <c r="I315" s="13">
        <f t="shared" si="90"/>
        <v>3215960.9109426909</v>
      </c>
      <c r="J315" s="15">
        <f t="shared" si="82"/>
        <v>0.63781631528406035</v>
      </c>
      <c r="K315" s="13">
        <f t="shared" si="91"/>
        <v>1164558.2282751757</v>
      </c>
      <c r="L315" s="13">
        <f t="shared" si="99"/>
        <v>98611553.6164224</v>
      </c>
      <c r="M315" s="15">
        <f t="shared" si="92"/>
        <v>0.63781631528406035</v>
      </c>
      <c r="N315" s="13">
        <f t="shared" si="83"/>
        <v>14248.172148081445</v>
      </c>
      <c r="O315" s="13">
        <f t="shared" si="93"/>
        <v>2051402.6826675136</v>
      </c>
      <c r="P315" s="15">
        <f t="shared" si="84"/>
        <v>0.52908638273036557</v>
      </c>
      <c r="Q315" s="7">
        <f t="shared" si="94"/>
        <v>3877254.7350041233</v>
      </c>
      <c r="R315" s="7">
        <f t="shared" si="95"/>
        <v>1825852.0523366097</v>
      </c>
      <c r="S315" s="13">
        <f>IF(Calc!$AD$32="Sim",R315,Q315)</f>
        <v>1825852.0523366097</v>
      </c>
      <c r="T315" s="9">
        <f t="shared" si="96"/>
        <v>311</v>
      </c>
      <c r="U315" s="17">
        <f t="shared" ca="1" si="97"/>
        <v>54970</v>
      </c>
      <c r="V315" s="22"/>
      <c r="W315" s="22"/>
      <c r="X315" s="22"/>
    </row>
    <row r="316" spans="2:24" x14ac:dyDescent="0.2">
      <c r="B316" s="17">
        <f t="shared" ca="1" si="85"/>
        <v>54970</v>
      </c>
      <c r="C316" s="9">
        <f t="shared" si="98"/>
        <v>312</v>
      </c>
      <c r="D316" s="9">
        <v>26</v>
      </c>
      <c r="E316" s="13">
        <f t="shared" si="86"/>
        <v>3555.6726879444132</v>
      </c>
      <c r="F316" s="14">
        <f t="shared" si="87"/>
        <v>664849.49674937828</v>
      </c>
      <c r="G316" s="15">
        <f t="shared" si="88"/>
        <v>0.36116252791053427</v>
      </c>
      <c r="H316" s="13">
        <f t="shared" si="89"/>
        <v>38608.459533029221</v>
      </c>
      <c r="I316" s="13">
        <f t="shared" si="90"/>
        <v>3254569.3704757201</v>
      </c>
      <c r="J316" s="15">
        <f t="shared" si="82"/>
        <v>0.63883747208946573</v>
      </c>
      <c r="K316" s="13">
        <f t="shared" si="91"/>
        <v>1176010.0757976167</v>
      </c>
      <c r="L316" s="13">
        <f t="shared" si="99"/>
        <v>99787563.692220017</v>
      </c>
      <c r="M316" s="15">
        <f t="shared" si="92"/>
        <v>0.63883747208946573</v>
      </c>
      <c r="N316" s="13">
        <f t="shared" si="83"/>
        <v>14403.117297528343</v>
      </c>
      <c r="O316" s="13">
        <f t="shared" si="93"/>
        <v>2078559.294678102</v>
      </c>
      <c r="P316" s="15">
        <f t="shared" si="84"/>
        <v>0.53032333748745197</v>
      </c>
      <c r="Q316" s="7">
        <f t="shared" si="94"/>
        <v>3919418.867225097</v>
      </c>
      <c r="R316" s="7">
        <f t="shared" si="95"/>
        <v>1840859.572546995</v>
      </c>
      <c r="S316" s="13">
        <f>IF(Calc!$AD$32="Sim",R316,Q316)</f>
        <v>1840859.572546995</v>
      </c>
      <c r="T316" s="9">
        <f t="shared" si="96"/>
        <v>312</v>
      </c>
      <c r="U316" s="17">
        <f t="shared" ca="1" si="97"/>
        <v>55001</v>
      </c>
      <c r="V316" s="22"/>
      <c r="W316" s="22"/>
      <c r="X316" s="22"/>
    </row>
    <row r="317" spans="2:24" x14ac:dyDescent="0.2">
      <c r="B317" s="17">
        <f t="shared" ca="1" si="85"/>
        <v>55001</v>
      </c>
      <c r="C317" s="9">
        <f t="shared" si="98"/>
        <v>313</v>
      </c>
      <c r="D317" s="9"/>
      <c r="E317" s="13">
        <f t="shared" si="86"/>
        <v>3570.1589386092364</v>
      </c>
      <c r="F317" s="14">
        <f t="shared" si="87"/>
        <v>668419.65568798746</v>
      </c>
      <c r="G317" s="15">
        <f t="shared" si="88"/>
        <v>0.36014463249029666</v>
      </c>
      <c r="H317" s="13">
        <f t="shared" si="89"/>
        <v>39028.316443100673</v>
      </c>
      <c r="I317" s="13">
        <f t="shared" si="90"/>
        <v>3293597.6869188207</v>
      </c>
      <c r="J317" s="15">
        <f t="shared" si="82"/>
        <v>0.6398553675097034</v>
      </c>
      <c r="K317" s="13">
        <f t="shared" si="91"/>
        <v>1187555.9590700548</v>
      </c>
      <c r="L317" s="13">
        <f t="shared" si="99"/>
        <v>100975119.65129007</v>
      </c>
      <c r="M317" s="15">
        <f t="shared" si="92"/>
        <v>0.6398553675097034</v>
      </c>
      <c r="N317" s="13">
        <f t="shared" si="83"/>
        <v>14559.658575305326</v>
      </c>
      <c r="O317" s="13">
        <f t="shared" si="93"/>
        <v>2106041.7278487645</v>
      </c>
      <c r="P317" s="15">
        <f t="shared" si="84"/>
        <v>0.53155792762459131</v>
      </c>
      <c r="Q317" s="7">
        <f t="shared" si="94"/>
        <v>3962017.3426068067</v>
      </c>
      <c r="R317" s="7">
        <f t="shared" si="95"/>
        <v>1855975.6147580422</v>
      </c>
      <c r="S317" s="13">
        <f>IF(Calc!$AD$32="Sim",R317,Q317)</f>
        <v>1855975.6147580422</v>
      </c>
      <c r="T317" s="9">
        <f t="shared" si="96"/>
        <v>313</v>
      </c>
      <c r="U317" s="17">
        <f t="shared" ca="1" si="97"/>
        <v>55032</v>
      </c>
      <c r="V317" s="22"/>
      <c r="W317" s="22"/>
      <c r="X317" s="22"/>
    </row>
    <row r="318" spans="2:24" x14ac:dyDescent="0.2">
      <c r="B318" s="17">
        <f t="shared" ca="1" si="85"/>
        <v>55032</v>
      </c>
      <c r="C318" s="9">
        <f t="shared" si="98"/>
        <v>314</v>
      </c>
      <c r="D318" s="9"/>
      <c r="E318" s="13">
        <f t="shared" si="86"/>
        <v>3584.7042080524293</v>
      </c>
      <c r="F318" s="14">
        <f t="shared" si="87"/>
        <v>672004.35989603994</v>
      </c>
      <c r="G318" s="15">
        <f t="shared" si="88"/>
        <v>0.35912998627918941</v>
      </c>
      <c r="H318" s="13">
        <f t="shared" si="89"/>
        <v>39452.498403108453</v>
      </c>
      <c r="I318" s="13">
        <f t="shared" si="90"/>
        <v>3333050.1853219294</v>
      </c>
      <c r="J318" s="15">
        <f t="shared" si="82"/>
        <v>0.64087001372081054</v>
      </c>
      <c r="K318" s="13">
        <f t="shared" si="91"/>
        <v>1199196.5577951395</v>
      </c>
      <c r="L318" s="13">
        <f t="shared" si="99"/>
        <v>102174316.20908521</v>
      </c>
      <c r="M318" s="15">
        <f t="shared" si="92"/>
        <v>0.64087001372081054</v>
      </c>
      <c r="N318" s="13">
        <f t="shared" si="83"/>
        <v>14717.812092029326</v>
      </c>
      <c r="O318" s="13">
        <f t="shared" si="93"/>
        <v>2133853.627526788</v>
      </c>
      <c r="P318" s="15">
        <f t="shared" si="84"/>
        <v>0.5327901539005524</v>
      </c>
      <c r="Q318" s="7">
        <f t="shared" si="94"/>
        <v>4005054.5452179676</v>
      </c>
      <c r="R318" s="7">
        <f t="shared" si="95"/>
        <v>1871200.9176911796</v>
      </c>
      <c r="S318" s="13">
        <f>IF(Calc!$AD$32="Sim",R318,Q318)</f>
        <v>1871200.9176911796</v>
      </c>
      <c r="T318" s="9">
        <f t="shared" si="96"/>
        <v>314</v>
      </c>
      <c r="U318" s="17">
        <f t="shared" ca="1" si="97"/>
        <v>55062</v>
      </c>
      <c r="V318" s="22"/>
      <c r="W318" s="22"/>
      <c r="X318" s="22"/>
    </row>
    <row r="319" spans="2:24" x14ac:dyDescent="0.2">
      <c r="B319" s="17">
        <f t="shared" ca="1" si="85"/>
        <v>55062</v>
      </c>
      <c r="C319" s="9">
        <f t="shared" si="98"/>
        <v>315</v>
      </c>
      <c r="D319" s="9"/>
      <c r="E319" s="13">
        <f t="shared" si="86"/>
        <v>3599.3087367237999</v>
      </c>
      <c r="F319" s="14">
        <f t="shared" si="87"/>
        <v>675603.66863276379</v>
      </c>
      <c r="G319" s="15">
        <f t="shared" si="88"/>
        <v>0.35811857715924234</v>
      </c>
      <c r="H319" s="13">
        <f t="shared" si="89"/>
        <v>39881.049068203203</v>
      </c>
      <c r="I319" s="13">
        <f t="shared" si="90"/>
        <v>3372931.2343901326</v>
      </c>
      <c r="J319" s="15">
        <f t="shared" si="82"/>
        <v>0.64188142284075766</v>
      </c>
      <c r="K319" s="13">
        <f t="shared" si="91"/>
        <v>1210932.5563013237</v>
      </c>
      <c r="L319" s="13">
        <f t="shared" si="99"/>
        <v>103385248.76538654</v>
      </c>
      <c r="M319" s="15">
        <f t="shared" si="92"/>
        <v>0.64188142284075766</v>
      </c>
      <c r="N319" s="13">
        <f t="shared" si="83"/>
        <v>14877.59411962523</v>
      </c>
      <c r="O319" s="13">
        <f t="shared" si="93"/>
        <v>2161998.678088807</v>
      </c>
      <c r="P319" s="15">
        <f t="shared" si="84"/>
        <v>0.53402001708680358</v>
      </c>
      <c r="Q319" s="7">
        <f t="shared" si="94"/>
        <v>4048534.9030228946</v>
      </c>
      <c r="R319" s="7">
        <f t="shared" si="95"/>
        <v>1886536.2249340876</v>
      </c>
      <c r="S319" s="13">
        <f>IF(Calc!$AD$32="Sim",R319,Q319)</f>
        <v>1886536.2249340876</v>
      </c>
      <c r="T319" s="9">
        <f t="shared" si="96"/>
        <v>315</v>
      </c>
      <c r="U319" s="17">
        <f t="shared" ca="1" si="97"/>
        <v>55093</v>
      </c>
      <c r="V319" s="22"/>
      <c r="W319" s="22"/>
      <c r="X319" s="22"/>
    </row>
    <row r="320" spans="2:24" x14ac:dyDescent="0.2">
      <c r="B320" s="17">
        <f t="shared" ca="1" si="85"/>
        <v>55093</v>
      </c>
      <c r="C320" s="9">
        <f t="shared" si="98"/>
        <v>316</v>
      </c>
      <c r="D320" s="9"/>
      <c r="E320" s="13">
        <f t="shared" si="86"/>
        <v>3613.9727660527797</v>
      </c>
      <c r="F320" s="14">
        <f t="shared" si="87"/>
        <v>679217.6413988166</v>
      </c>
      <c r="G320" s="15">
        <f t="shared" si="88"/>
        <v>0.35711039307012432</v>
      </c>
      <c r="H320" s="13">
        <f t="shared" si="89"/>
        <v>40314.012530633889</v>
      </c>
      <c r="I320" s="13">
        <f t="shared" si="90"/>
        <v>3413245.2469207663</v>
      </c>
      <c r="J320" s="15">
        <f t="shared" si="82"/>
        <v>0.64288960692987573</v>
      </c>
      <c r="K320" s="13">
        <f t="shared" si="91"/>
        <v>1222764.6435733302</v>
      </c>
      <c r="L320" s="13">
        <f t="shared" si="99"/>
        <v>104608013.40895987</v>
      </c>
      <c r="M320" s="15">
        <f t="shared" si="92"/>
        <v>0.64288960692987562</v>
      </c>
      <c r="N320" s="13">
        <f t="shared" si="83"/>
        <v>15039.021092935745</v>
      </c>
      <c r="O320" s="13">
        <f t="shared" si="93"/>
        <v>2190480.6033474347</v>
      </c>
      <c r="P320" s="15">
        <f t="shared" si="84"/>
        <v>0.53524751796756664</v>
      </c>
      <c r="Q320" s="7">
        <f t="shared" si="94"/>
        <v>4092462.8883195813</v>
      </c>
      <c r="R320" s="7">
        <f t="shared" si="95"/>
        <v>1901982.2849721469</v>
      </c>
      <c r="S320" s="13">
        <f>IF(Calc!$AD$32="Sim",R320,Q320)</f>
        <v>1901982.2849721469</v>
      </c>
      <c r="T320" s="9">
        <f t="shared" si="96"/>
        <v>316</v>
      </c>
      <c r="U320" s="17">
        <f t="shared" ca="1" si="97"/>
        <v>55123</v>
      </c>
      <c r="V320" s="22"/>
      <c r="W320" s="22"/>
      <c r="X320" s="22"/>
    </row>
    <row r="321" spans="2:24" x14ac:dyDescent="0.2">
      <c r="B321" s="17">
        <f t="shared" ca="1" si="85"/>
        <v>55123</v>
      </c>
      <c r="C321" s="9">
        <f t="shared" si="98"/>
        <v>317</v>
      </c>
      <c r="D321" s="9"/>
      <c r="E321" s="13">
        <f t="shared" si="86"/>
        <v>3628.6965384524128</v>
      </c>
      <c r="F321" s="14">
        <f t="shared" si="87"/>
        <v>682846.33793726901</v>
      </c>
      <c r="G321" s="15">
        <f t="shared" si="88"/>
        <v>0.35610542200872092</v>
      </c>
      <c r="H321" s="13">
        <f t="shared" si="89"/>
        <v>40751.433324110025</v>
      </c>
      <c r="I321" s="13">
        <f t="shared" si="90"/>
        <v>3453996.6802448765</v>
      </c>
      <c r="J321" s="15">
        <f t="shared" si="82"/>
        <v>0.64389457799127903</v>
      </c>
      <c r="K321" s="13">
        <f t="shared" si="91"/>
        <v>1234693.5132828183</v>
      </c>
      <c r="L321" s="13">
        <f t="shared" si="99"/>
        <v>105842706.92224269</v>
      </c>
      <c r="M321" s="15">
        <f t="shared" si="92"/>
        <v>0.64389457799127914</v>
      </c>
      <c r="N321" s="13">
        <f t="shared" si="83"/>
        <v>15202.1096113473</v>
      </c>
      <c r="O321" s="13">
        <f t="shared" si="93"/>
        <v>2219303.1669620569</v>
      </c>
      <c r="P321" s="15">
        <f t="shared" si="84"/>
        <v>0.53647265733986849</v>
      </c>
      <c r="Q321" s="7">
        <f t="shared" si="94"/>
        <v>4136843.018182144</v>
      </c>
      <c r="R321" s="7">
        <f t="shared" si="95"/>
        <v>1917539.8512200871</v>
      </c>
      <c r="S321" s="13">
        <f>IF(Calc!$AD$32="Sim",R321,Q321)</f>
        <v>1917539.8512200871</v>
      </c>
      <c r="T321" s="9">
        <f t="shared" si="96"/>
        <v>317</v>
      </c>
      <c r="U321" s="17">
        <f t="shared" ca="1" si="97"/>
        <v>55154</v>
      </c>
      <c r="V321" s="22"/>
      <c r="W321" s="22"/>
      <c r="X321" s="22"/>
    </row>
    <row r="322" spans="2:24" x14ac:dyDescent="0.2">
      <c r="B322" s="17">
        <f t="shared" ca="1" si="85"/>
        <v>55154</v>
      </c>
      <c r="C322" s="9">
        <f t="shared" si="98"/>
        <v>318</v>
      </c>
      <c r="D322" s="9"/>
      <c r="E322" s="13">
        <f t="shared" si="86"/>
        <v>3643.4802973233641</v>
      </c>
      <c r="F322" s="14">
        <f t="shared" si="87"/>
        <v>686489.81823459233</v>
      </c>
      <c r="G322" s="15">
        <f t="shared" si="88"/>
        <v>0.35510365202871697</v>
      </c>
      <c r="H322" s="13">
        <f t="shared" si="89"/>
        <v>41193.356428207422</v>
      </c>
      <c r="I322" s="13">
        <f t="shared" si="90"/>
        <v>3495190.0366730839</v>
      </c>
      <c r="J322" s="15">
        <f t="shared" si="82"/>
        <v>0.64489634797128303</v>
      </c>
      <c r="K322" s="13">
        <f t="shared" si="91"/>
        <v>1246719.8638192448</v>
      </c>
      <c r="L322" s="13">
        <f t="shared" si="99"/>
        <v>107089426.78606193</v>
      </c>
      <c r="M322" s="15">
        <f t="shared" si="92"/>
        <v>0.64489634797128303</v>
      </c>
      <c r="N322" s="13">
        <f t="shared" si="83"/>
        <v>15366.876440432132</v>
      </c>
      <c r="O322" s="13">
        <f t="shared" si="93"/>
        <v>2248470.1728538377</v>
      </c>
      <c r="P322" s="15">
        <f t="shared" si="84"/>
        <v>0.53769543601359238</v>
      </c>
      <c r="Q322" s="7">
        <f t="shared" si="94"/>
        <v>4181679.8549076747</v>
      </c>
      <c r="R322" s="7">
        <f t="shared" si="95"/>
        <v>1933209.6820538372</v>
      </c>
      <c r="S322" s="13">
        <f>IF(Calc!$AD$32="Sim",R322,Q322)</f>
        <v>1933209.6820538372</v>
      </c>
      <c r="T322" s="9">
        <f t="shared" si="96"/>
        <v>318</v>
      </c>
      <c r="U322" s="17">
        <f t="shared" ca="1" si="97"/>
        <v>55185</v>
      </c>
      <c r="V322" s="22"/>
      <c r="W322" s="22"/>
      <c r="X322" s="22"/>
    </row>
    <row r="323" spans="2:24" x14ac:dyDescent="0.2">
      <c r="B323" s="17">
        <f t="shared" ca="1" si="85"/>
        <v>55185</v>
      </c>
      <c r="C323" s="9">
        <f t="shared" si="98"/>
        <v>319</v>
      </c>
      <c r="D323" s="9"/>
      <c r="E323" s="13">
        <f t="shared" si="86"/>
        <v>3658.3242870579434</v>
      </c>
      <c r="F323" s="14">
        <f t="shared" si="87"/>
        <v>690148.1425216503</v>
      </c>
      <c r="G323" s="15">
        <f t="shared" si="88"/>
        <v>0.35410507124018459</v>
      </c>
      <c r="H323" s="13">
        <f t="shared" si="89"/>
        <v>41639.827272817747</v>
      </c>
      <c r="I323" s="13">
        <f t="shared" si="90"/>
        <v>3536829.8639459019</v>
      </c>
      <c r="J323" s="15">
        <f t="shared" si="82"/>
        <v>0.64589492875981547</v>
      </c>
      <c r="K323" s="13">
        <f t="shared" si="91"/>
        <v>1258844.3983209301</v>
      </c>
      <c r="L323" s="13">
        <f t="shared" si="99"/>
        <v>108348271.18438286</v>
      </c>
      <c r="M323" s="15">
        <f t="shared" si="92"/>
        <v>0.64589492875981536</v>
      </c>
      <c r="N323" s="13">
        <f t="shared" si="83"/>
        <v>15533.338513606775</v>
      </c>
      <c r="O323" s="13">
        <f t="shared" si="93"/>
        <v>2277985.4656249695</v>
      </c>
      <c r="P323" s="15">
        <f t="shared" si="84"/>
        <v>0.5389158548115236</v>
      </c>
      <c r="Q323" s="7">
        <f t="shared" si="94"/>
        <v>4226978.0064675501</v>
      </c>
      <c r="R323" s="7">
        <f t="shared" si="95"/>
        <v>1948992.5408425804</v>
      </c>
      <c r="S323" s="13">
        <f>IF(Calc!$AD$32="Sim",R323,Q323)</f>
        <v>1948992.5408425804</v>
      </c>
      <c r="T323" s="9">
        <f t="shared" si="96"/>
        <v>319</v>
      </c>
      <c r="U323" s="17">
        <f t="shared" ca="1" si="97"/>
        <v>55213</v>
      </c>
      <c r="V323" s="22"/>
      <c r="W323" s="22"/>
      <c r="X323" s="22"/>
    </row>
    <row r="324" spans="2:24" x14ac:dyDescent="0.2">
      <c r="B324" s="17">
        <f t="shared" ca="1" si="85"/>
        <v>55213</v>
      </c>
      <c r="C324" s="9">
        <f t="shared" si="98"/>
        <v>320</v>
      </c>
      <c r="D324" s="9"/>
      <c r="E324" s="13">
        <f t="shared" si="86"/>
        <v>3673.2287530441445</v>
      </c>
      <c r="F324" s="14">
        <f t="shared" si="87"/>
        <v>693821.37127469445</v>
      </c>
      <c r="G324" s="15">
        <f t="shared" si="88"/>
        <v>0.35310966780917602</v>
      </c>
      <c r="H324" s="13">
        <f t="shared" si="89"/>
        <v>42090.891742642583</v>
      </c>
      <c r="I324" s="13">
        <f t="shared" si="90"/>
        <v>3578920.7556885444</v>
      </c>
      <c r="J324" s="15">
        <f t="shared" si="82"/>
        <v>0.64689033219082392</v>
      </c>
      <c r="K324" s="13">
        <f t="shared" si="91"/>
        <v>1271067.8247063183</v>
      </c>
      <c r="L324" s="13">
        <f t="shared" si="99"/>
        <v>109619339.00908917</v>
      </c>
      <c r="M324" s="15">
        <f t="shared" si="92"/>
        <v>0.64689033219082392</v>
      </c>
      <c r="N324" s="13">
        <f t="shared" si="83"/>
        <v>15701.512933807051</v>
      </c>
      <c r="O324" s="13">
        <f t="shared" si="93"/>
        <v>2307852.9309822246</v>
      </c>
      <c r="P324" s="15">
        <f t="shared" si="84"/>
        <v>0.54013391456939697</v>
      </c>
      <c r="Q324" s="7">
        <f t="shared" si="94"/>
        <v>4272742.1269632373</v>
      </c>
      <c r="R324" s="7">
        <f t="shared" si="95"/>
        <v>1964889.1959810129</v>
      </c>
      <c r="S324" s="13">
        <f>IF(Calc!$AD$32="Sim",R324,Q324)</f>
        <v>1964889.1959810129</v>
      </c>
      <c r="T324" s="9">
        <f t="shared" si="96"/>
        <v>320</v>
      </c>
      <c r="U324" s="17">
        <f t="shared" ca="1" si="97"/>
        <v>55244</v>
      </c>
      <c r="V324" s="22"/>
      <c r="W324" s="22"/>
      <c r="X324" s="22"/>
    </row>
    <row r="325" spans="2:24" x14ac:dyDescent="0.2">
      <c r="B325" s="17">
        <f t="shared" ca="1" si="85"/>
        <v>55244</v>
      </c>
      <c r="C325" s="9">
        <f t="shared" si="98"/>
        <v>321</v>
      </c>
      <c r="D325" s="9"/>
      <c r="E325" s="13">
        <f t="shared" si="86"/>
        <v>3688.1939416697028</v>
      </c>
      <c r="F325" s="14">
        <f t="shared" si="87"/>
        <v>697509.56521636411</v>
      </c>
      <c r="G325" s="15">
        <f t="shared" si="88"/>
        <v>0.35211742995732165</v>
      </c>
      <c r="H325" s="13">
        <f t="shared" si="89"/>
        <v>42546.596181732151</v>
      </c>
      <c r="I325" s="13">
        <f t="shared" si="90"/>
        <v>3621467.3518702765</v>
      </c>
      <c r="J325" s="15">
        <f t="shared" ref="J325:J364" si="100">1-G325</f>
        <v>0.64788257004267835</v>
      </c>
      <c r="K325" s="13">
        <f t="shared" si="91"/>
        <v>1283390.8557054452</v>
      </c>
      <c r="L325" s="13">
        <f t="shared" si="99"/>
        <v>110902729.86479461</v>
      </c>
      <c r="M325" s="15">
        <f t="shared" si="92"/>
        <v>0.64788257004267835</v>
      </c>
      <c r="N325" s="13">
        <f t="shared" ref="N325:N364" si="101">Q325*Inflação</f>
        <v>15871.416975179754</v>
      </c>
      <c r="O325" s="13">
        <f t="shared" si="93"/>
        <v>2338076.4961648304</v>
      </c>
      <c r="P325" s="15">
        <f t="shared" ref="P325:P364" si="102">O325/Q325</f>
        <v>0.54134961613593824</v>
      </c>
      <c r="Q325" s="7">
        <f t="shared" si="94"/>
        <v>4318976.9170866394</v>
      </c>
      <c r="R325" s="7">
        <f t="shared" si="95"/>
        <v>1980900.4209218093</v>
      </c>
      <c r="S325" s="13">
        <f>IF(Calc!$AD$32="Sim",R325,Q325)</f>
        <v>1980900.4209218093</v>
      </c>
      <c r="T325" s="9">
        <f t="shared" si="96"/>
        <v>321</v>
      </c>
      <c r="U325" s="17">
        <f t="shared" ca="1" si="97"/>
        <v>55274</v>
      </c>
      <c r="V325" s="22"/>
      <c r="W325" s="22"/>
      <c r="X325" s="22"/>
    </row>
    <row r="326" spans="2:24" x14ac:dyDescent="0.2">
      <c r="B326" s="17">
        <f t="shared" ref="B326:B389" ca="1" si="103">DATE(YEAR(B325),MONTH(B325)+1,1)</f>
        <v>55274</v>
      </c>
      <c r="C326" s="9">
        <f t="shared" si="98"/>
        <v>322</v>
      </c>
      <c r="D326" s="9"/>
      <c r="E326" s="13">
        <f t="shared" ref="E326:E389" si="104">IF($AE$33,IF($AE$34,$E325*(1+Inflação)*(1+Crescimento_Salário),$E325*(1+Inflação)),IF($AE$34,$E325*(1+Crescimento_Salário),$E325))</f>
        <v>3703.2201003261671</v>
      </c>
      <c r="F326" s="14">
        <f t="shared" ref="F326:F364" si="105">F325+E326</f>
        <v>701212.78531669022</v>
      </c>
      <c r="G326" s="15">
        <f t="shared" ref="G326:G364" si="106">IF(F326&lt;=0,0,F326/S326)</f>
        <v>0.35112834596143289</v>
      </c>
      <c r="H326" s="13">
        <f t="shared" ref="H326:H364" si="107">Q325*Taxa</f>
        <v>43006.987398069286</v>
      </c>
      <c r="I326" s="13">
        <f t="shared" ref="I326:I364" si="108">I325+H326</f>
        <v>3664474.3392683459</v>
      </c>
      <c r="J326" s="15">
        <f t="shared" si="100"/>
        <v>0.64887165403856706</v>
      </c>
      <c r="K326" s="13">
        <f t="shared" ref="K326:K364" si="109">R326-F326</f>
        <v>1295814.2088916036</v>
      </c>
      <c r="L326" s="13">
        <f t="shared" si="99"/>
        <v>112198544.07368621</v>
      </c>
      <c r="M326" s="15">
        <f t="shared" ref="M326:M364" si="110">K326/R326</f>
        <v>0.64887165403856717</v>
      </c>
      <c r="N326" s="13">
        <f t="shared" si="101"/>
        <v>16043.068084791215</v>
      </c>
      <c r="O326" s="13">
        <f t="shared" ref="O326:O364" si="111">Q326-R326</f>
        <v>2368660.1303767413</v>
      </c>
      <c r="P326" s="15">
        <f t="shared" si="102"/>
        <v>0.54256296037290708</v>
      </c>
      <c r="Q326" s="7">
        <f t="shared" ref="Q326:Q364" si="112">Q325+E326+H326</f>
        <v>4365687.1245850353</v>
      </c>
      <c r="R326" s="7">
        <f t="shared" ref="R326:R364" si="113">(R325+E326)*(1+((1+Taxa)/(1+Inflação)-1))</f>
        <v>1997026.9942082937</v>
      </c>
      <c r="S326" s="13">
        <f>IF(Calc!$AD$32="Sim",R326,Q326)</f>
        <v>1997026.9942082937</v>
      </c>
      <c r="T326" s="9">
        <f t="shared" ref="T326:T364" si="114">C326</f>
        <v>322</v>
      </c>
      <c r="U326" s="17">
        <f t="shared" ref="U326:U389" ca="1" si="115">DATE(YEAR(U325),MONTH(U325)+1,1)</f>
        <v>55305</v>
      </c>
      <c r="V326" s="22"/>
      <c r="W326" s="22"/>
      <c r="X326" s="22"/>
    </row>
    <row r="327" spans="2:24" x14ac:dyDescent="0.2">
      <c r="B327" s="17">
        <f t="shared" ca="1" si="103"/>
        <v>55305</v>
      </c>
      <c r="C327" s="9">
        <f t="shared" ref="C327:C390" si="116">C326+1</f>
        <v>323</v>
      </c>
      <c r="D327" s="9"/>
      <c r="E327" s="13">
        <f t="shared" si="104"/>
        <v>3718.3074774129905</v>
      </c>
      <c r="F327" s="14">
        <f t="shared" si="105"/>
        <v>704931.0927941032</v>
      </c>
      <c r="G327" s="15">
        <f t="shared" si="106"/>
        <v>0.35014240415310999</v>
      </c>
      <c r="H327" s="13">
        <f t="shared" si="107"/>
        <v>43472.112668199188</v>
      </c>
      <c r="I327" s="13">
        <f t="shared" si="108"/>
        <v>3707946.4519365449</v>
      </c>
      <c r="J327" s="15">
        <f t="shared" si="100"/>
        <v>0.64985759584688996</v>
      </c>
      <c r="K327" s="13">
        <f t="shared" si="109"/>
        <v>1308338.6067132191</v>
      </c>
      <c r="L327" s="13">
        <f t="shared" ref="L327:L364" si="117">L326+K327</f>
        <v>113506882.68039943</v>
      </c>
      <c r="M327" s="15">
        <f t="shared" si="110"/>
        <v>0.64985759584688996</v>
      </c>
      <c r="N327" s="13">
        <f t="shared" si="101"/>
        <v>16216.483884352876</v>
      </c>
      <c r="O327" s="13">
        <f t="shared" si="111"/>
        <v>2399607.8452233253</v>
      </c>
      <c r="P327" s="15">
        <f t="shared" si="102"/>
        <v>0.54377394815513558</v>
      </c>
      <c r="Q327" s="7">
        <f t="shared" si="112"/>
        <v>4412877.5447306475</v>
      </c>
      <c r="R327" s="7">
        <f t="shared" si="113"/>
        <v>2013269.6995073224</v>
      </c>
      <c r="S327" s="13">
        <f>IF(Calc!$AD$32="Sim",R327,Q327)</f>
        <v>2013269.6995073224</v>
      </c>
      <c r="T327" s="9">
        <f t="shared" si="114"/>
        <v>323</v>
      </c>
      <c r="U327" s="17">
        <f t="shared" ca="1" si="115"/>
        <v>55335</v>
      </c>
      <c r="V327" s="22"/>
      <c r="W327" s="22"/>
      <c r="X327" s="22"/>
    </row>
    <row r="328" spans="2:24" x14ac:dyDescent="0.2">
      <c r="B328" s="17">
        <f t="shared" ca="1" si="103"/>
        <v>55335</v>
      </c>
      <c r="C328" s="9">
        <f t="shared" si="116"/>
        <v>324</v>
      </c>
      <c r="D328" s="9">
        <v>27</v>
      </c>
      <c r="E328" s="13">
        <f t="shared" si="104"/>
        <v>3733.4563223416362</v>
      </c>
      <c r="F328" s="14">
        <f t="shared" si="105"/>
        <v>708664.54911644489</v>
      </c>
      <c r="G328" s="15">
        <f t="shared" si="106"/>
        <v>0.34915959291835413</v>
      </c>
      <c r="H328" s="13">
        <f t="shared" si="107"/>
        <v>43942.019741905184</v>
      </c>
      <c r="I328" s="13">
        <f t="shared" si="108"/>
        <v>3751888.4716784502</v>
      </c>
      <c r="J328" s="15">
        <f t="shared" si="100"/>
        <v>0.65084040708164581</v>
      </c>
      <c r="K328" s="13">
        <f t="shared" si="109"/>
        <v>1320964.7765259291</v>
      </c>
      <c r="L328" s="13">
        <f t="shared" si="117"/>
        <v>114827847.45692536</v>
      </c>
      <c r="M328" s="15">
        <f t="shared" si="110"/>
        <v>0.65084040708164592</v>
      </c>
      <c r="N328" s="13">
        <f t="shared" si="101"/>
        <v>16391.682171964068</v>
      </c>
      <c r="O328" s="13">
        <f t="shared" si="111"/>
        <v>2430923.6951525197</v>
      </c>
      <c r="P328" s="15">
        <f t="shared" si="102"/>
        <v>0.54498258037056502</v>
      </c>
      <c r="Q328" s="7">
        <f t="shared" si="112"/>
        <v>4460553.0207948936</v>
      </c>
      <c r="R328" s="7">
        <f t="shared" si="113"/>
        <v>2029629.3256423739</v>
      </c>
      <c r="S328" s="13">
        <f>IF(Calc!$AD$32="Sim",R328,Q328)</f>
        <v>2029629.3256423739</v>
      </c>
      <c r="T328" s="9">
        <f t="shared" si="114"/>
        <v>324</v>
      </c>
      <c r="U328" s="17">
        <f t="shared" ca="1" si="115"/>
        <v>55366</v>
      </c>
      <c r="V328" s="22"/>
      <c r="W328" s="22"/>
      <c r="X328" s="22"/>
    </row>
    <row r="329" spans="2:24" x14ac:dyDescent="0.2">
      <c r="B329" s="17">
        <f t="shared" ca="1" si="103"/>
        <v>55366</v>
      </c>
      <c r="C329" s="9">
        <f t="shared" si="116"/>
        <v>325</v>
      </c>
      <c r="D329" s="9"/>
      <c r="E329" s="13">
        <f t="shared" si="104"/>
        <v>3748.6668855397006</v>
      </c>
      <c r="F329" s="14">
        <f t="shared" si="105"/>
        <v>712413.21600198455</v>
      </c>
      <c r="G329" s="15">
        <f t="shared" si="106"/>
        <v>0.34817990069718463</v>
      </c>
      <c r="H329" s="13">
        <f t="shared" si="107"/>
        <v>44416.756846931217</v>
      </c>
      <c r="I329" s="13">
        <f t="shared" si="108"/>
        <v>3796305.2285253815</v>
      </c>
      <c r="J329" s="15">
        <f t="shared" si="100"/>
        <v>0.65182009930281537</v>
      </c>
      <c r="K329" s="13">
        <f t="shared" si="109"/>
        <v>1333693.4506248669</v>
      </c>
      <c r="L329" s="13">
        <f t="shared" si="117"/>
        <v>116161540.90755023</v>
      </c>
      <c r="M329" s="15">
        <f t="shared" si="110"/>
        <v>0.65182009930281548</v>
      </c>
      <c r="N329" s="13">
        <f t="shared" si="101"/>
        <v>16568.680923872176</v>
      </c>
      <c r="O329" s="13">
        <f t="shared" si="111"/>
        <v>2462611.7779005133</v>
      </c>
      <c r="P329" s="15">
        <f t="shared" si="102"/>
        <v>0.54618885792028238</v>
      </c>
      <c r="Q329" s="7">
        <f t="shared" si="112"/>
        <v>4508718.4445273643</v>
      </c>
      <c r="R329" s="7">
        <f t="shared" si="113"/>
        <v>2046106.6666268513</v>
      </c>
      <c r="S329" s="13">
        <f>IF(Calc!$AD$32="Sim",R329,Q329)</f>
        <v>2046106.6666268513</v>
      </c>
      <c r="T329" s="9">
        <f t="shared" si="114"/>
        <v>325</v>
      </c>
      <c r="U329" s="17">
        <f t="shared" ca="1" si="115"/>
        <v>55397</v>
      </c>
      <c r="V329" s="22"/>
      <c r="W329" s="22"/>
      <c r="X329" s="22"/>
    </row>
    <row r="330" spans="2:24" x14ac:dyDescent="0.2">
      <c r="B330" s="17">
        <f t="shared" ca="1" si="103"/>
        <v>55397</v>
      </c>
      <c r="C330" s="9">
        <f t="shared" si="116"/>
        <v>326</v>
      </c>
      <c r="D330" s="9"/>
      <c r="E330" s="13">
        <f t="shared" si="104"/>
        <v>3763.9394184550529</v>
      </c>
      <c r="F330" s="14">
        <f t="shared" si="105"/>
        <v>716177.15542043955</v>
      </c>
      <c r="G330" s="15">
        <f t="shared" si="106"/>
        <v>0.34720331598326076</v>
      </c>
      <c r="H330" s="13">
        <f t="shared" si="107"/>
        <v>44896.372693751335</v>
      </c>
      <c r="I330" s="13">
        <f t="shared" si="108"/>
        <v>3841201.601219133</v>
      </c>
      <c r="J330" s="15">
        <f t="shared" si="100"/>
        <v>0.65279668401673918</v>
      </c>
      <c r="K330" s="13">
        <f t="shared" si="109"/>
        <v>1346525.3662771576</v>
      </c>
      <c r="L330" s="13">
        <f t="shared" si="117"/>
        <v>117508066.27382739</v>
      </c>
      <c r="M330" s="15">
        <f t="shared" si="110"/>
        <v>0.65279668401673929</v>
      </c>
      <c r="N330" s="13">
        <f t="shared" si="101"/>
        <v>16747.498296250302</v>
      </c>
      <c r="O330" s="13">
        <f t="shared" si="111"/>
        <v>2494676.2349419729</v>
      </c>
      <c r="P330" s="15">
        <f t="shared" si="102"/>
        <v>0.54739278171855266</v>
      </c>
      <c r="Q330" s="7">
        <f t="shared" si="112"/>
        <v>4557378.75663957</v>
      </c>
      <c r="R330" s="7">
        <f t="shared" si="113"/>
        <v>2062702.5216975971</v>
      </c>
      <c r="S330" s="13">
        <f>IF(Calc!$AD$32="Sim",R330,Q330)</f>
        <v>2062702.5216975971</v>
      </c>
      <c r="T330" s="9">
        <f t="shared" si="114"/>
        <v>326</v>
      </c>
      <c r="U330" s="17">
        <f t="shared" ca="1" si="115"/>
        <v>55427</v>
      </c>
      <c r="V330" s="22"/>
      <c r="W330" s="22"/>
      <c r="X330" s="22"/>
    </row>
    <row r="331" spans="2:24" x14ac:dyDescent="0.2">
      <c r="B331" s="17">
        <f t="shared" ca="1" si="103"/>
        <v>55427</v>
      </c>
      <c r="C331" s="9">
        <f t="shared" si="116"/>
        <v>327</v>
      </c>
      <c r="D331" s="9"/>
      <c r="E331" s="13">
        <f t="shared" si="104"/>
        <v>3779.2741735599921</v>
      </c>
      <c r="F331" s="14">
        <f t="shared" si="105"/>
        <v>719956.42959399952</v>
      </c>
      <c r="G331" s="15">
        <f t="shared" si="106"/>
        <v>0.34622982732350749</v>
      </c>
      <c r="H331" s="13">
        <f t="shared" si="107"/>
        <v>45380.916480386666</v>
      </c>
      <c r="I331" s="13">
        <f t="shared" si="108"/>
        <v>3886582.5176995196</v>
      </c>
      <c r="J331" s="15">
        <f t="shared" si="100"/>
        <v>0.65377017267649251</v>
      </c>
      <c r="K331" s="13">
        <f t="shared" si="109"/>
        <v>1359461.2657546229</v>
      </c>
      <c r="L331" s="13">
        <f t="shared" si="117"/>
        <v>118867527.53958201</v>
      </c>
      <c r="M331" s="15">
        <f t="shared" si="110"/>
        <v>0.6537701726764924</v>
      </c>
      <c r="N331" s="13">
        <f t="shared" si="101"/>
        <v>16928.152626992691</v>
      </c>
      <c r="O331" s="13">
        <f t="shared" si="111"/>
        <v>2527121.251944894</v>
      </c>
      <c r="P331" s="15">
        <f t="shared" si="102"/>
        <v>0.54859435269285106</v>
      </c>
      <c r="Q331" s="7">
        <f t="shared" si="112"/>
        <v>4606538.9472935162</v>
      </c>
      <c r="R331" s="7">
        <f t="shared" si="113"/>
        <v>2079417.6953486225</v>
      </c>
      <c r="S331" s="13">
        <f>IF(Calc!$AD$32="Sim",R331,Q331)</f>
        <v>2079417.6953486225</v>
      </c>
      <c r="T331" s="9">
        <f t="shared" si="114"/>
        <v>327</v>
      </c>
      <c r="U331" s="17">
        <f t="shared" ca="1" si="115"/>
        <v>55458</v>
      </c>
      <c r="V331" s="22"/>
      <c r="W331" s="22"/>
      <c r="X331" s="22"/>
    </row>
    <row r="332" spans="2:24" x14ac:dyDescent="0.2">
      <c r="B332" s="17">
        <f t="shared" ca="1" si="103"/>
        <v>55458</v>
      </c>
      <c r="C332" s="9">
        <f t="shared" si="116"/>
        <v>328</v>
      </c>
      <c r="D332" s="9"/>
      <c r="E332" s="13">
        <f t="shared" si="104"/>
        <v>3794.6714043554207</v>
      </c>
      <c r="F332" s="14">
        <f t="shared" si="105"/>
        <v>723751.10099835496</v>
      </c>
      <c r="G332" s="15">
        <f t="shared" si="106"/>
        <v>0.34525942331774645</v>
      </c>
      <c r="H332" s="13">
        <f t="shared" si="107"/>
        <v>45870.437897270531</v>
      </c>
      <c r="I332" s="13">
        <f t="shared" si="108"/>
        <v>3932452.9555967902</v>
      </c>
      <c r="J332" s="15">
        <f t="shared" si="100"/>
        <v>0.65474057668225361</v>
      </c>
      <c r="K332" s="13">
        <f t="shared" si="109"/>
        <v>1372501.8963666959</v>
      </c>
      <c r="L332" s="13">
        <f t="shared" si="117"/>
        <v>120240029.43594871</v>
      </c>
      <c r="M332" s="15">
        <f t="shared" si="110"/>
        <v>0.65474057668225349</v>
      </c>
      <c r="N332" s="13">
        <f t="shared" si="101"/>
        <v>17110.66243752803</v>
      </c>
      <c r="O332" s="13">
        <f t="shared" si="111"/>
        <v>2559951.0592300911</v>
      </c>
      <c r="P332" s="15">
        <f t="shared" si="102"/>
        <v>0.54979357178389221</v>
      </c>
      <c r="Q332" s="7">
        <f t="shared" si="112"/>
        <v>4656204.056595142</v>
      </c>
      <c r="R332" s="7">
        <f t="shared" si="113"/>
        <v>2096252.9973650509</v>
      </c>
      <c r="S332" s="13">
        <f>IF(Calc!$AD$32="Sim",R332,Q332)</f>
        <v>2096252.9973650509</v>
      </c>
      <c r="T332" s="9">
        <f t="shared" si="114"/>
        <v>328</v>
      </c>
      <c r="U332" s="17">
        <f t="shared" ca="1" si="115"/>
        <v>55488</v>
      </c>
      <c r="V332" s="22"/>
      <c r="W332" s="22"/>
      <c r="X332" s="22"/>
    </row>
    <row r="333" spans="2:24" x14ac:dyDescent="0.2">
      <c r="B333" s="17">
        <f t="shared" ca="1" si="103"/>
        <v>55488</v>
      </c>
      <c r="C333" s="9">
        <f t="shared" si="116"/>
        <v>329</v>
      </c>
      <c r="D333" s="9"/>
      <c r="E333" s="13">
        <f t="shared" si="104"/>
        <v>3810.1313653750353</v>
      </c>
      <c r="F333" s="14">
        <f t="shared" si="105"/>
        <v>727561.23236372997</v>
      </c>
      <c r="G333" s="15">
        <f t="shared" si="106"/>
        <v>0.3442920926183301</v>
      </c>
      <c r="H333" s="13">
        <f t="shared" si="107"/>
        <v>46364.987132161914</v>
      </c>
      <c r="I333" s="13">
        <f t="shared" si="108"/>
        <v>3978817.942728952</v>
      </c>
      <c r="J333" s="15">
        <f t="shared" si="100"/>
        <v>0.65570790738166984</v>
      </c>
      <c r="K333" s="13">
        <f t="shared" si="109"/>
        <v>1385648.0104935502</v>
      </c>
      <c r="L333" s="13">
        <f t="shared" si="117"/>
        <v>121625677.44644226</v>
      </c>
      <c r="M333" s="15">
        <f t="shared" si="110"/>
        <v>0.65570790738166984</v>
      </c>
      <c r="N333" s="13">
        <f t="shared" si="101"/>
        <v>17295.046434650809</v>
      </c>
      <c r="O333" s="13">
        <f t="shared" si="111"/>
        <v>2593169.9322353983</v>
      </c>
      <c r="P333" s="15">
        <f t="shared" si="102"/>
        <v>0.55099043994565811</v>
      </c>
      <c r="Q333" s="7">
        <f t="shared" si="112"/>
        <v>4706379.1750926785</v>
      </c>
      <c r="R333" s="7">
        <f t="shared" si="113"/>
        <v>2113209.2428572802</v>
      </c>
      <c r="S333" s="13">
        <f>IF(Calc!$AD$32="Sim",R333,Q333)</f>
        <v>2113209.2428572802</v>
      </c>
      <c r="T333" s="9">
        <f t="shared" si="114"/>
        <v>329</v>
      </c>
      <c r="U333" s="17">
        <f t="shared" ca="1" si="115"/>
        <v>55519</v>
      </c>
      <c r="V333" s="22"/>
      <c r="W333" s="22"/>
      <c r="X333" s="22"/>
    </row>
    <row r="334" spans="2:24" x14ac:dyDescent="0.2">
      <c r="B334" s="17">
        <f t="shared" ca="1" si="103"/>
        <v>55519</v>
      </c>
      <c r="C334" s="9">
        <f t="shared" si="116"/>
        <v>330</v>
      </c>
      <c r="D334" s="9"/>
      <c r="E334" s="13">
        <f t="shared" si="104"/>
        <v>3825.6543121895343</v>
      </c>
      <c r="F334" s="14">
        <f t="shared" si="105"/>
        <v>731386.88667591952</v>
      </c>
      <c r="G334" s="15">
        <f t="shared" si="106"/>
        <v>0.34332782392978167</v>
      </c>
      <c r="H334" s="13">
        <f t="shared" si="107"/>
        <v>46864.614875107989</v>
      </c>
      <c r="I334" s="13">
        <f t="shared" si="108"/>
        <v>4025682.55760406</v>
      </c>
      <c r="J334" s="15">
        <f t="shared" si="100"/>
        <v>0.65667217607021833</v>
      </c>
      <c r="K334" s="13">
        <f t="shared" si="109"/>
        <v>1398900.3656194401</v>
      </c>
      <c r="L334" s="13">
        <f t="shared" si="117"/>
        <v>123024577.8120617</v>
      </c>
      <c r="M334" s="15">
        <f t="shared" si="110"/>
        <v>0.65667217607021844</v>
      </c>
      <c r="N334" s="13">
        <f t="shared" si="101"/>
        <v>17481.323512370964</v>
      </c>
      <c r="O334" s="13">
        <f t="shared" si="111"/>
        <v>2626782.1919846167</v>
      </c>
      <c r="P334" s="15">
        <f t="shared" si="102"/>
        <v>0.55218495814542456</v>
      </c>
      <c r="Q334" s="7">
        <f t="shared" si="112"/>
        <v>4757069.4442799762</v>
      </c>
      <c r="R334" s="7">
        <f t="shared" si="113"/>
        <v>2130287.2522953595</v>
      </c>
      <c r="S334" s="13">
        <f>IF(Calc!$AD$32="Sim",R334,Q334)</f>
        <v>2130287.2522953595</v>
      </c>
      <c r="T334" s="9">
        <f t="shared" si="114"/>
        <v>330</v>
      </c>
      <c r="U334" s="17">
        <f t="shared" ca="1" si="115"/>
        <v>55550</v>
      </c>
      <c r="V334" s="22"/>
      <c r="W334" s="22"/>
      <c r="X334" s="22"/>
    </row>
    <row r="335" spans="2:24" x14ac:dyDescent="0.2">
      <c r="B335" s="17">
        <f t="shared" ca="1" si="103"/>
        <v>55550</v>
      </c>
      <c r="C335" s="9">
        <f t="shared" si="116"/>
        <v>331</v>
      </c>
      <c r="D335" s="9"/>
      <c r="E335" s="13">
        <f t="shared" si="104"/>
        <v>3841.2405014108426</v>
      </c>
      <c r="F335" s="14">
        <f t="shared" si="105"/>
        <v>735228.12717733032</v>
      </c>
      <c r="G335" s="15">
        <f t="shared" si="106"/>
        <v>0.34236660600843766</v>
      </c>
      <c r="H335" s="13">
        <f t="shared" si="107"/>
        <v>47369.372323456053</v>
      </c>
      <c r="I335" s="13">
        <f t="shared" si="108"/>
        <v>4073051.9299275163</v>
      </c>
      <c r="J335" s="15">
        <f t="shared" si="100"/>
        <v>0.6576333939915624</v>
      </c>
      <c r="K335" s="13">
        <f t="shared" si="109"/>
        <v>1412259.7243662593</v>
      </c>
      <c r="L335" s="13">
        <f t="shared" si="117"/>
        <v>124436837.53642796</v>
      </c>
      <c r="M335" s="15">
        <f t="shared" si="110"/>
        <v>0.6576333939915624</v>
      </c>
      <c r="N335" s="13">
        <f t="shared" si="101"/>
        <v>17669.512753781921</v>
      </c>
      <c r="O335" s="13">
        <f t="shared" si="111"/>
        <v>2660792.2055612542</v>
      </c>
      <c r="P335" s="15">
        <f t="shared" si="102"/>
        <v>0.55337712736378497</v>
      </c>
      <c r="Q335" s="7">
        <f t="shared" si="112"/>
        <v>4808280.0571048437</v>
      </c>
      <c r="R335" s="7">
        <f t="shared" si="113"/>
        <v>2147487.8515435895</v>
      </c>
      <c r="S335" s="13">
        <f>IF(Calc!$AD$32="Sim",R335,Q335)</f>
        <v>2147487.8515435895</v>
      </c>
      <c r="T335" s="9">
        <f t="shared" si="114"/>
        <v>331</v>
      </c>
      <c r="U335" s="17">
        <f t="shared" ca="1" si="115"/>
        <v>55579</v>
      </c>
      <c r="V335" s="22"/>
      <c r="W335" s="22"/>
      <c r="X335" s="22"/>
    </row>
    <row r="336" spans="2:24" x14ac:dyDescent="0.2">
      <c r="B336" s="17">
        <f t="shared" ca="1" si="103"/>
        <v>55579</v>
      </c>
      <c r="C336" s="9">
        <f t="shared" si="116"/>
        <v>332</v>
      </c>
      <c r="D336" s="9"/>
      <c r="E336" s="13">
        <f t="shared" si="104"/>
        <v>3856.8901906963538</v>
      </c>
      <c r="F336" s="14">
        <f t="shared" si="105"/>
        <v>739085.01736802666</v>
      </c>
      <c r="G336" s="15">
        <f t="shared" si="106"/>
        <v>0.34140842766209573</v>
      </c>
      <c r="H336" s="13">
        <f t="shared" si="107"/>
        <v>47879.311186915438</v>
      </c>
      <c r="I336" s="13">
        <f t="shared" si="108"/>
        <v>4120931.2411144315</v>
      </c>
      <c r="J336" s="15">
        <f t="shared" si="100"/>
        <v>0.65859157233790433</v>
      </c>
      <c r="K336" s="13">
        <f t="shared" si="109"/>
        <v>1425726.8545273147</v>
      </c>
      <c r="L336" s="13">
        <f t="shared" si="117"/>
        <v>125862564.39095527</v>
      </c>
      <c r="M336" s="15">
        <f t="shared" si="110"/>
        <v>0.65859157233790433</v>
      </c>
      <c r="N336" s="13">
        <f t="shared" si="101"/>
        <v>17859.633432947263</v>
      </c>
      <c r="O336" s="13">
        <f t="shared" si="111"/>
        <v>2695204.3865871141</v>
      </c>
      <c r="P336" s="15">
        <f t="shared" si="102"/>
        <v>0.55456694859467281</v>
      </c>
      <c r="Q336" s="7">
        <f t="shared" si="112"/>
        <v>4860016.2584824553</v>
      </c>
      <c r="R336" s="7">
        <f t="shared" si="113"/>
        <v>2164811.8718953412</v>
      </c>
      <c r="S336" s="13">
        <f>IF(Calc!$AD$32="Sim",R336,Q336)</f>
        <v>2164811.8718953412</v>
      </c>
      <c r="T336" s="9">
        <f t="shared" si="114"/>
        <v>332</v>
      </c>
      <c r="U336" s="17">
        <f t="shared" ca="1" si="115"/>
        <v>55610</v>
      </c>
      <c r="V336" s="22"/>
      <c r="W336" s="22"/>
      <c r="X336" s="22"/>
    </row>
    <row r="337" spans="2:24" x14ac:dyDescent="0.2">
      <c r="B337" s="17">
        <f t="shared" ca="1" si="103"/>
        <v>55610</v>
      </c>
      <c r="C337" s="9">
        <f t="shared" si="116"/>
        <v>333</v>
      </c>
      <c r="D337" s="9"/>
      <c r="E337" s="13">
        <f t="shared" si="104"/>
        <v>3872.6036387531899</v>
      </c>
      <c r="F337" s="14">
        <f t="shared" si="105"/>
        <v>742957.62100677984</v>
      </c>
      <c r="G337" s="15">
        <f t="shared" si="106"/>
        <v>0.34045327774966594</v>
      </c>
      <c r="H337" s="13">
        <f t="shared" si="107"/>
        <v>48394.483692669834</v>
      </c>
      <c r="I337" s="13">
        <f t="shared" si="108"/>
        <v>4169325.7248071013</v>
      </c>
      <c r="J337" s="15">
        <f t="shared" si="100"/>
        <v>0.65954672225033406</v>
      </c>
      <c r="K337" s="13">
        <f t="shared" si="109"/>
        <v>1439302.5291013177</v>
      </c>
      <c r="L337" s="13">
        <f t="shared" si="117"/>
        <v>127301866.92005658</v>
      </c>
      <c r="M337" s="15">
        <f t="shared" si="110"/>
        <v>0.65954672225033406</v>
      </c>
      <c r="N337" s="13">
        <f t="shared" si="101"/>
        <v>18051.705016806231</v>
      </c>
      <c r="O337" s="13">
        <f t="shared" si="111"/>
        <v>2730023.1957057812</v>
      </c>
      <c r="P337" s="15">
        <f t="shared" si="102"/>
        <v>0.55575442284538346</v>
      </c>
      <c r="Q337" s="7">
        <f t="shared" si="112"/>
        <v>4912283.3458138788</v>
      </c>
      <c r="R337" s="7">
        <f t="shared" si="113"/>
        <v>2182260.1501080976</v>
      </c>
      <c r="S337" s="13">
        <f>IF(Calc!$AD$32="Sim",R337,Q337)</f>
        <v>2182260.1501080976</v>
      </c>
      <c r="T337" s="9">
        <f t="shared" si="114"/>
        <v>333</v>
      </c>
      <c r="U337" s="17">
        <f t="shared" ca="1" si="115"/>
        <v>55640</v>
      </c>
      <c r="V337" s="22"/>
      <c r="W337" s="22"/>
      <c r="X337" s="22"/>
    </row>
    <row r="338" spans="2:24" x14ac:dyDescent="0.2">
      <c r="B338" s="17">
        <f t="shared" ca="1" si="103"/>
        <v>55640</v>
      </c>
      <c r="C338" s="9">
        <f t="shared" si="116"/>
        <v>334</v>
      </c>
      <c r="D338" s="9"/>
      <c r="E338" s="13">
        <f t="shared" si="104"/>
        <v>3888.3811053424774</v>
      </c>
      <c r="F338" s="14">
        <f t="shared" si="105"/>
        <v>746846.00211212237</v>
      </c>
      <c r="G338" s="15">
        <f t="shared" si="106"/>
        <v>0.33950114518082614</v>
      </c>
      <c r="H338" s="13">
        <f t="shared" si="107"/>
        <v>48914.942590540631</v>
      </c>
      <c r="I338" s="13">
        <f t="shared" si="108"/>
        <v>4218240.6673976416</v>
      </c>
      <c r="J338" s="15">
        <f t="shared" si="100"/>
        <v>0.66049885481917392</v>
      </c>
      <c r="K338" s="13">
        <f t="shared" si="109"/>
        <v>1452987.5263265963</v>
      </c>
      <c r="L338" s="13">
        <f t="shared" si="117"/>
        <v>128754854.44638318</v>
      </c>
      <c r="M338" s="15">
        <f t="shared" si="110"/>
        <v>0.66049885481917392</v>
      </c>
      <c r="N338" s="13">
        <f t="shared" si="101"/>
        <v>18245.747167098172</v>
      </c>
      <c r="O338" s="13">
        <f t="shared" si="111"/>
        <v>2765253.1410710434</v>
      </c>
      <c r="P338" s="15">
        <f t="shared" si="102"/>
        <v>0.55693955113659199</v>
      </c>
      <c r="Q338" s="7">
        <f t="shared" si="112"/>
        <v>4965086.669509762</v>
      </c>
      <c r="R338" s="7">
        <f t="shared" si="113"/>
        <v>2199833.5284387185</v>
      </c>
      <c r="S338" s="13">
        <f>IF(Calc!$AD$32="Sim",R338,Q338)</f>
        <v>2199833.5284387185</v>
      </c>
      <c r="T338" s="9">
        <f t="shared" si="114"/>
        <v>334</v>
      </c>
      <c r="U338" s="17">
        <f t="shared" ca="1" si="115"/>
        <v>55671</v>
      </c>
      <c r="V338" s="22"/>
      <c r="W338" s="22"/>
      <c r="X338" s="22"/>
    </row>
    <row r="339" spans="2:24" x14ac:dyDescent="0.2">
      <c r="B339" s="17">
        <f t="shared" ca="1" si="103"/>
        <v>55671</v>
      </c>
      <c r="C339" s="9">
        <f t="shared" si="116"/>
        <v>335</v>
      </c>
      <c r="D339" s="9"/>
      <c r="E339" s="13">
        <f t="shared" si="104"/>
        <v>3904.2228512836423</v>
      </c>
      <c r="F339" s="14">
        <f t="shared" si="105"/>
        <v>750750.22496340598</v>
      </c>
      <c r="G339" s="15">
        <f t="shared" si="106"/>
        <v>0.3385520189156811</v>
      </c>
      <c r="H339" s="13">
        <f t="shared" si="107"/>
        <v>49440.741158201614</v>
      </c>
      <c r="I339" s="13">
        <f t="shared" si="108"/>
        <v>4267681.4085558429</v>
      </c>
      <c r="J339" s="15">
        <f t="shared" si="100"/>
        <v>0.6614479810843189</v>
      </c>
      <c r="K339" s="13">
        <f t="shared" si="109"/>
        <v>1466782.6297155255</v>
      </c>
      <c r="L339" s="13">
        <f t="shared" si="117"/>
        <v>130221637.07609871</v>
      </c>
      <c r="M339" s="15">
        <f t="shared" si="110"/>
        <v>0.66144798108431879</v>
      </c>
      <c r="N339" s="13">
        <f t="shared" si="101"/>
        <v>18441.779742306193</v>
      </c>
      <c r="O339" s="13">
        <f t="shared" si="111"/>
        <v>2800898.7788403155</v>
      </c>
      <c r="P339" s="15">
        <f t="shared" si="102"/>
        <v>0.55812233450237225</v>
      </c>
      <c r="Q339" s="7">
        <f t="shared" si="112"/>
        <v>5018431.6335192472</v>
      </c>
      <c r="R339" s="7">
        <f t="shared" si="113"/>
        <v>2217532.8546789316</v>
      </c>
      <c r="S339" s="13">
        <f>IF(Calc!$AD$32="Sim",R339,Q339)</f>
        <v>2217532.8546789316</v>
      </c>
      <c r="T339" s="9">
        <f t="shared" si="114"/>
        <v>335</v>
      </c>
      <c r="U339" s="17">
        <f t="shared" ca="1" si="115"/>
        <v>55701</v>
      </c>
      <c r="V339" s="22"/>
      <c r="W339" s="22"/>
      <c r="X339" s="22"/>
    </row>
    <row r="340" spans="2:24" x14ac:dyDescent="0.2">
      <c r="B340" s="17">
        <f t="shared" ca="1" si="103"/>
        <v>55701</v>
      </c>
      <c r="C340" s="9">
        <f t="shared" si="116"/>
        <v>336</v>
      </c>
      <c r="D340" s="9">
        <v>28</v>
      </c>
      <c r="E340" s="13">
        <f t="shared" si="104"/>
        <v>3920.1291384587203</v>
      </c>
      <c r="F340" s="14">
        <f t="shared" si="105"/>
        <v>754670.35410186474</v>
      </c>
      <c r="G340" s="15">
        <f t="shared" si="106"/>
        <v>0.33760588796442625</v>
      </c>
      <c r="H340" s="13">
        <f t="shared" si="107"/>
        <v>49971.933206445749</v>
      </c>
      <c r="I340" s="13">
        <f t="shared" si="108"/>
        <v>4317653.3417622885</v>
      </c>
      <c r="J340" s="15">
        <f t="shared" si="100"/>
        <v>0.66239411203557375</v>
      </c>
      <c r="K340" s="13">
        <f t="shared" si="109"/>
        <v>1480688.628089183</v>
      </c>
      <c r="L340" s="13">
        <f t="shared" si="117"/>
        <v>131702325.7041879</v>
      </c>
      <c r="M340" s="15">
        <f t="shared" si="110"/>
        <v>0.66239411203557375</v>
      </c>
      <c r="N340" s="13">
        <f t="shared" si="101"/>
        <v>18639.822799620175</v>
      </c>
      <c r="O340" s="13">
        <f t="shared" si="111"/>
        <v>2836964.7136731036</v>
      </c>
      <c r="P340" s="15">
        <f t="shared" si="102"/>
        <v>0.55930277399021189</v>
      </c>
      <c r="Q340" s="7">
        <f t="shared" si="112"/>
        <v>5072323.6958641512</v>
      </c>
      <c r="R340" s="7">
        <f t="shared" si="113"/>
        <v>2235358.9821910476</v>
      </c>
      <c r="S340" s="13">
        <f>IF(Calc!$AD$32="Sim",R340,Q340)</f>
        <v>2235358.9821910476</v>
      </c>
      <c r="T340" s="9">
        <f t="shared" si="114"/>
        <v>336</v>
      </c>
      <c r="U340" s="17">
        <f t="shared" ca="1" si="115"/>
        <v>55732</v>
      </c>
      <c r="V340" s="22"/>
      <c r="W340" s="22"/>
      <c r="X340" s="22"/>
    </row>
    <row r="341" spans="2:24" x14ac:dyDescent="0.2">
      <c r="B341" s="17">
        <f t="shared" ca="1" si="103"/>
        <v>55732</v>
      </c>
      <c r="C341" s="9">
        <f t="shared" si="116"/>
        <v>337</v>
      </c>
      <c r="D341" s="9"/>
      <c r="E341" s="13">
        <f t="shared" si="104"/>
        <v>3936.1002298166877</v>
      </c>
      <c r="F341" s="14">
        <f t="shared" si="105"/>
        <v>758606.45433168148</v>
      </c>
      <c r="G341" s="15">
        <f t="shared" si="106"/>
        <v>0.33666274138701385</v>
      </c>
      <c r="H341" s="13">
        <f t="shared" si="107"/>
        <v>50508.573084504344</v>
      </c>
      <c r="I341" s="13">
        <f t="shared" si="108"/>
        <v>4368161.9148467928</v>
      </c>
      <c r="J341" s="15">
        <f t="shared" si="100"/>
        <v>0.6633372586129862</v>
      </c>
      <c r="K341" s="13">
        <f t="shared" si="109"/>
        <v>1494706.3156122258</v>
      </c>
      <c r="L341" s="13">
        <f t="shared" si="117"/>
        <v>133197032.01980013</v>
      </c>
      <c r="M341" s="15">
        <f t="shared" si="110"/>
        <v>0.66333725861298609</v>
      </c>
      <c r="N341" s="13">
        <f t="shared" si="101"/>
        <v>18839.896596919356</v>
      </c>
      <c r="O341" s="13">
        <f t="shared" si="111"/>
        <v>2873455.5992345647</v>
      </c>
      <c r="P341" s="15">
        <f t="shared" si="102"/>
        <v>0.56048087066102725</v>
      </c>
      <c r="Q341" s="7">
        <f t="shared" si="112"/>
        <v>5126768.3691784721</v>
      </c>
      <c r="R341" s="7">
        <f t="shared" si="113"/>
        <v>2253312.7699439074</v>
      </c>
      <c r="S341" s="13">
        <f>IF(Calc!$AD$32="Sim",R341,Q341)</f>
        <v>2253312.7699439074</v>
      </c>
      <c r="T341" s="9">
        <f t="shared" si="114"/>
        <v>337</v>
      </c>
      <c r="U341" s="17">
        <f t="shared" ca="1" si="115"/>
        <v>55763</v>
      </c>
      <c r="V341" s="22"/>
      <c r="W341" s="22"/>
      <c r="X341" s="22"/>
    </row>
    <row r="342" spans="2:24" x14ac:dyDescent="0.2">
      <c r="B342" s="17">
        <f t="shared" ca="1" si="103"/>
        <v>55763</v>
      </c>
      <c r="C342" s="9">
        <f t="shared" si="116"/>
        <v>338</v>
      </c>
      <c r="D342" s="9"/>
      <c r="E342" s="13">
        <f t="shared" si="104"/>
        <v>3952.1363893778075</v>
      </c>
      <c r="F342" s="14">
        <f t="shared" si="105"/>
        <v>762558.59072105924</v>
      </c>
      <c r="G342" s="15">
        <f t="shared" si="106"/>
        <v>0.33572256829282393</v>
      </c>
      <c r="H342" s="13">
        <f t="shared" si="107"/>
        <v>51050.715685419294</v>
      </c>
      <c r="I342" s="13">
        <f t="shared" si="108"/>
        <v>4419212.6305322126</v>
      </c>
      <c r="J342" s="15">
        <f t="shared" si="100"/>
        <v>0.66427743170717601</v>
      </c>
      <c r="K342" s="13">
        <f t="shared" si="109"/>
        <v>1508836.4918279951</v>
      </c>
      <c r="L342" s="13">
        <f t="shared" si="117"/>
        <v>134705868.51162812</v>
      </c>
      <c r="M342" s="15">
        <f t="shared" si="110"/>
        <v>0.66427743170717612</v>
      </c>
      <c r="N342" s="13">
        <f t="shared" si="101"/>
        <v>19042.021594774658</v>
      </c>
      <c r="O342" s="13">
        <f t="shared" si="111"/>
        <v>2910376.1387042152</v>
      </c>
      <c r="P342" s="15">
        <f t="shared" si="102"/>
        <v>0.56165662558917606</v>
      </c>
      <c r="Q342" s="7">
        <f t="shared" si="112"/>
        <v>5181771.2212532694</v>
      </c>
      <c r="R342" s="7">
        <f t="shared" si="113"/>
        <v>2271395.0825490542</v>
      </c>
      <c r="S342" s="13">
        <f>IF(Calc!$AD$32="Sim",R342,Q342)</f>
        <v>2271395.0825490542</v>
      </c>
      <c r="T342" s="9">
        <f t="shared" si="114"/>
        <v>338</v>
      </c>
      <c r="U342" s="17">
        <f t="shared" ca="1" si="115"/>
        <v>55793</v>
      </c>
      <c r="V342" s="22"/>
      <c r="W342" s="22"/>
      <c r="X342" s="22"/>
    </row>
    <row r="343" spans="2:24" x14ac:dyDescent="0.2">
      <c r="B343" s="17">
        <f t="shared" ca="1" si="103"/>
        <v>55793</v>
      </c>
      <c r="C343" s="9">
        <f t="shared" si="116"/>
        <v>339</v>
      </c>
      <c r="D343" s="9"/>
      <c r="E343" s="13">
        <f t="shared" si="104"/>
        <v>3968.2378822379937</v>
      </c>
      <c r="F343" s="14">
        <f t="shared" si="105"/>
        <v>766526.82860329724</v>
      </c>
      <c r="G343" s="15">
        <f t="shared" si="106"/>
        <v>0.33478535784033886</v>
      </c>
      <c r="H343" s="13">
        <f t="shared" si="107"/>
        <v>51598.416451468845</v>
      </c>
      <c r="I343" s="13">
        <f t="shared" si="108"/>
        <v>4470811.0469836816</v>
      </c>
      <c r="J343" s="15">
        <f t="shared" si="100"/>
        <v>0.6652146421596612</v>
      </c>
      <c r="K343" s="13">
        <f t="shared" si="109"/>
        <v>1523079.9616938413</v>
      </c>
      <c r="L343" s="13">
        <f t="shared" si="117"/>
        <v>136228948.47332197</v>
      </c>
      <c r="M343" s="15">
        <f t="shared" si="110"/>
        <v>0.66521464215966108</v>
      </c>
      <c r="N343" s="13">
        <f t="shared" si="101"/>
        <v>19246.21845847099</v>
      </c>
      <c r="O343" s="13">
        <f t="shared" si="111"/>
        <v>2947731.0852898378</v>
      </c>
      <c r="P343" s="15">
        <f t="shared" si="102"/>
        <v>0.56283003986246927</v>
      </c>
      <c r="Q343" s="7">
        <f t="shared" si="112"/>
        <v>5237337.8755869763</v>
      </c>
      <c r="R343" s="7">
        <f t="shared" si="113"/>
        <v>2289606.7902971385</v>
      </c>
      <c r="S343" s="13">
        <f>IF(Calc!$AD$32="Sim",R343,Q343)</f>
        <v>2289606.7902971385</v>
      </c>
      <c r="T343" s="9">
        <f t="shared" si="114"/>
        <v>339</v>
      </c>
      <c r="U343" s="17">
        <f t="shared" ca="1" si="115"/>
        <v>55824</v>
      </c>
      <c r="V343" s="22"/>
      <c r="W343" s="22"/>
      <c r="X343" s="22"/>
    </row>
    <row r="344" spans="2:24" x14ac:dyDescent="0.2">
      <c r="B344" s="17">
        <f t="shared" ca="1" si="103"/>
        <v>55824</v>
      </c>
      <c r="C344" s="9">
        <f t="shared" si="116"/>
        <v>340</v>
      </c>
      <c r="D344" s="9"/>
      <c r="E344" s="13">
        <f t="shared" si="104"/>
        <v>3984.4049745731941</v>
      </c>
      <c r="F344" s="14">
        <f t="shared" si="105"/>
        <v>770511.23357787041</v>
      </c>
      <c r="G344" s="15">
        <f t="shared" si="106"/>
        <v>0.33385109923682071</v>
      </c>
      <c r="H344" s="13">
        <f t="shared" si="107"/>
        <v>52151.731379647397</v>
      </c>
      <c r="I344" s="13">
        <f t="shared" si="108"/>
        <v>4522962.7783633294</v>
      </c>
      <c r="J344" s="15">
        <f t="shared" si="100"/>
        <v>0.66614890076317934</v>
      </c>
      <c r="K344" s="13">
        <f t="shared" si="109"/>
        <v>1537437.535616687</v>
      </c>
      <c r="L344" s="13">
        <f t="shared" si="117"/>
        <v>137766386.00893867</v>
      </c>
      <c r="M344" s="15">
        <f t="shared" si="110"/>
        <v>0.66614890076317934</v>
      </c>
      <c r="N344" s="13">
        <f t="shared" si="101"/>
        <v>19452.508060049688</v>
      </c>
      <c r="O344" s="13">
        <f t="shared" si="111"/>
        <v>2985525.24274664</v>
      </c>
      <c r="P344" s="15">
        <f t="shared" si="102"/>
        <v>0.56400111458218016</v>
      </c>
      <c r="Q344" s="7">
        <f t="shared" si="112"/>
        <v>5293474.0119411973</v>
      </c>
      <c r="R344" s="7">
        <f t="shared" si="113"/>
        <v>2307948.7691945573</v>
      </c>
      <c r="S344" s="13">
        <f>IF(Calc!$AD$32="Sim",R344,Q344)</f>
        <v>2307948.7691945573</v>
      </c>
      <c r="T344" s="9">
        <f t="shared" si="114"/>
        <v>340</v>
      </c>
      <c r="U344" s="17">
        <f t="shared" ca="1" si="115"/>
        <v>55854</v>
      </c>
      <c r="V344" s="22"/>
      <c r="W344" s="22"/>
      <c r="X344" s="22"/>
    </row>
    <row r="345" spans="2:24" x14ac:dyDescent="0.2">
      <c r="B345" s="17">
        <f t="shared" ca="1" si="103"/>
        <v>55854</v>
      </c>
      <c r="C345" s="9">
        <f t="shared" si="116"/>
        <v>341</v>
      </c>
      <c r="D345" s="9"/>
      <c r="E345" s="13">
        <f t="shared" si="104"/>
        <v>4000.6379336437894</v>
      </c>
      <c r="F345" s="14">
        <f t="shared" si="105"/>
        <v>774511.87151151418</v>
      </c>
      <c r="G345" s="15">
        <f t="shared" si="106"/>
        <v>0.33291978173799297</v>
      </c>
      <c r="H345" s="13">
        <f t="shared" si="107"/>
        <v>52710.717027199971</v>
      </c>
      <c r="I345" s="13">
        <f t="shared" si="108"/>
        <v>4575673.4953905297</v>
      </c>
      <c r="J345" s="15">
        <f t="shared" si="100"/>
        <v>0.66708021826200703</v>
      </c>
      <c r="K345" s="13">
        <f t="shared" si="109"/>
        <v>1551910.0294888085</v>
      </c>
      <c r="L345" s="13">
        <f t="shared" si="117"/>
        <v>139318296.03842747</v>
      </c>
      <c r="M345" s="15">
        <f t="shared" si="110"/>
        <v>0.66708021826200692</v>
      </c>
      <c r="N345" s="13">
        <f t="shared" si="101"/>
        <v>19660.911480371306</v>
      </c>
      <c r="O345" s="13">
        <f t="shared" si="111"/>
        <v>3023763.4659017185</v>
      </c>
      <c r="P345" s="15">
        <f t="shared" si="102"/>
        <v>0.5651698508630536</v>
      </c>
      <c r="Q345" s="7">
        <f t="shared" si="112"/>
        <v>5350185.3669020412</v>
      </c>
      <c r="R345" s="7">
        <f t="shared" si="113"/>
        <v>2326421.9010003228</v>
      </c>
      <c r="S345" s="13">
        <f>IF(Calc!$AD$32="Sim",R345,Q345)</f>
        <v>2326421.9010003228</v>
      </c>
      <c r="T345" s="9">
        <f t="shared" si="114"/>
        <v>341</v>
      </c>
      <c r="U345" s="17">
        <f t="shared" ca="1" si="115"/>
        <v>55885</v>
      </c>
      <c r="V345" s="22"/>
      <c r="W345" s="22"/>
      <c r="X345" s="22"/>
    </row>
    <row r="346" spans="2:24" x14ac:dyDescent="0.2">
      <c r="B346" s="17">
        <f t="shared" ca="1" si="103"/>
        <v>55885</v>
      </c>
      <c r="C346" s="9">
        <f t="shared" si="116"/>
        <v>342</v>
      </c>
      <c r="D346" s="9"/>
      <c r="E346" s="13">
        <f t="shared" si="104"/>
        <v>4016.9370277990133</v>
      </c>
      <c r="F346" s="14">
        <f t="shared" si="105"/>
        <v>778528.80853931315</v>
      </c>
      <c r="G346" s="15">
        <f t="shared" si="106"/>
        <v>0.33199139464772526</v>
      </c>
      <c r="H346" s="13">
        <f t="shared" si="107"/>
        <v>53275.430517211782</v>
      </c>
      <c r="I346" s="13">
        <f t="shared" si="108"/>
        <v>4628948.9259077413</v>
      </c>
      <c r="J346" s="15">
        <f t="shared" si="100"/>
        <v>0.66800860535227469</v>
      </c>
      <c r="K346" s="13">
        <f t="shared" si="109"/>
        <v>1566498.2647238565</v>
      </c>
      <c r="L346" s="13">
        <f t="shared" si="117"/>
        <v>140884794.30315134</v>
      </c>
      <c r="M346" s="15">
        <f t="shared" si="110"/>
        <v>0.66800860535227469</v>
      </c>
      <c r="N346" s="13">
        <f t="shared" si="101"/>
        <v>19871.450011198995</v>
      </c>
      <c r="O346" s="13">
        <f t="shared" si="111"/>
        <v>3062450.661183882</v>
      </c>
      <c r="P346" s="15">
        <f t="shared" si="102"/>
        <v>0.56633624983331288</v>
      </c>
      <c r="Q346" s="7">
        <f t="shared" si="112"/>
        <v>5407477.7344470518</v>
      </c>
      <c r="R346" s="7">
        <f t="shared" si="113"/>
        <v>2345027.0732631697</v>
      </c>
      <c r="S346" s="13">
        <f>IF(Calc!$AD$32="Sim",R346,Q346)</f>
        <v>2345027.0732631697</v>
      </c>
      <c r="T346" s="9">
        <f t="shared" si="114"/>
        <v>342</v>
      </c>
      <c r="U346" s="17">
        <f t="shared" ca="1" si="115"/>
        <v>55916</v>
      </c>
      <c r="V346" s="22"/>
      <c r="W346" s="22"/>
      <c r="X346" s="22"/>
    </row>
    <row r="347" spans="2:24" x14ac:dyDescent="0.2">
      <c r="B347" s="17">
        <f t="shared" ca="1" si="103"/>
        <v>55916</v>
      </c>
      <c r="C347" s="9">
        <f t="shared" si="116"/>
        <v>343</v>
      </c>
      <c r="D347" s="9"/>
      <c r="E347" s="13">
        <f t="shared" si="104"/>
        <v>4033.3025264813868</v>
      </c>
      <c r="F347" s="14">
        <f t="shared" si="105"/>
        <v>782562.11106579448</v>
      </c>
      <c r="G347" s="15">
        <f t="shared" si="106"/>
        <v>0.33106592731772161</v>
      </c>
      <c r="H347" s="13">
        <f t="shared" si="107"/>
        <v>53845.929544253559</v>
      </c>
      <c r="I347" s="13">
        <f t="shared" si="108"/>
        <v>4682794.8554519946</v>
      </c>
      <c r="J347" s="15">
        <f t="shared" si="100"/>
        <v>0.66893407268227834</v>
      </c>
      <c r="K347" s="13">
        <f t="shared" si="109"/>
        <v>1581203.0682931046</v>
      </c>
      <c r="L347" s="13">
        <f t="shared" si="117"/>
        <v>142465997.37144443</v>
      </c>
      <c r="M347" s="15">
        <f t="shared" si="110"/>
        <v>0.66893407268227845</v>
      </c>
      <c r="N347" s="13">
        <f t="shared" si="101"/>
        <v>20084.145157302595</v>
      </c>
      <c r="O347" s="13">
        <f t="shared" si="111"/>
        <v>3101591.7871588874</v>
      </c>
      <c r="P347" s="15">
        <f t="shared" si="102"/>
        <v>0.56750031263466483</v>
      </c>
      <c r="Q347" s="7">
        <f t="shared" si="112"/>
        <v>5465356.9665177865</v>
      </c>
      <c r="R347" s="7">
        <f t="shared" si="113"/>
        <v>2363765.1793588991</v>
      </c>
      <c r="S347" s="13">
        <f>IF(Calc!$AD$32="Sim",R347,Q347)</f>
        <v>2363765.1793588991</v>
      </c>
      <c r="T347" s="9">
        <f t="shared" si="114"/>
        <v>343</v>
      </c>
      <c r="U347" s="17">
        <f t="shared" ca="1" si="115"/>
        <v>55944</v>
      </c>
      <c r="V347" s="22"/>
      <c r="W347" s="22"/>
      <c r="X347" s="22"/>
    </row>
    <row r="348" spans="2:24" x14ac:dyDescent="0.2">
      <c r="B348" s="17">
        <f t="shared" ca="1" si="103"/>
        <v>55944</v>
      </c>
      <c r="C348" s="9">
        <f t="shared" si="116"/>
        <v>344</v>
      </c>
      <c r="D348" s="9"/>
      <c r="E348" s="13">
        <f t="shared" si="104"/>
        <v>4049.7347002311735</v>
      </c>
      <c r="F348" s="14">
        <f t="shared" si="105"/>
        <v>786611.84576602571</v>
      </c>
      <c r="G348" s="15">
        <f t="shared" si="106"/>
        <v>0.33014336914721221</v>
      </c>
      <c r="H348" s="13">
        <f t="shared" si="107"/>
        <v>54422.272380083094</v>
      </c>
      <c r="I348" s="13">
        <f t="shared" si="108"/>
        <v>4737217.1278320774</v>
      </c>
      <c r="J348" s="15">
        <f t="shared" si="100"/>
        <v>0.66985663085278779</v>
      </c>
      <c r="K348" s="13">
        <f t="shared" si="109"/>
        <v>1596025.2727619326</v>
      </c>
      <c r="L348" s="13">
        <f t="shared" si="117"/>
        <v>144062022.64420637</v>
      </c>
      <c r="M348" s="15">
        <f t="shared" si="110"/>
        <v>0.66985663085278779</v>
      </c>
      <c r="N348" s="13">
        <f t="shared" si="101"/>
        <v>20299.018638583744</v>
      </c>
      <c r="O348" s="13">
        <f t="shared" si="111"/>
        <v>3141191.8550701421</v>
      </c>
      <c r="P348" s="15">
        <f t="shared" si="102"/>
        <v>0.56866204042230495</v>
      </c>
      <c r="Q348" s="7">
        <f t="shared" si="112"/>
        <v>5523828.9735981002</v>
      </c>
      <c r="R348" s="7">
        <f t="shared" si="113"/>
        <v>2382637.1185279582</v>
      </c>
      <c r="S348" s="13">
        <f>IF(Calc!$AD$32="Sim",R348,Q348)</f>
        <v>2382637.1185279582</v>
      </c>
      <c r="T348" s="9">
        <f t="shared" si="114"/>
        <v>344</v>
      </c>
      <c r="U348" s="17">
        <f t="shared" ca="1" si="115"/>
        <v>55975</v>
      </c>
      <c r="V348" s="22"/>
      <c r="W348" s="22"/>
      <c r="X348" s="22"/>
    </row>
    <row r="349" spans="2:24" x14ac:dyDescent="0.2">
      <c r="B349" s="17">
        <f t="shared" ca="1" si="103"/>
        <v>55975</v>
      </c>
      <c r="C349" s="9">
        <f t="shared" si="116"/>
        <v>345</v>
      </c>
      <c r="D349" s="9"/>
      <c r="E349" s="13">
        <f t="shared" si="104"/>
        <v>4066.2338206908512</v>
      </c>
      <c r="F349" s="14">
        <f t="shared" si="105"/>
        <v>790678.0795867166</v>
      </c>
      <c r="G349" s="15">
        <f t="shared" si="106"/>
        <v>0.32922370958264829</v>
      </c>
      <c r="H349" s="13">
        <f t="shared" si="107"/>
        <v>55004.517879403604</v>
      </c>
      <c r="I349" s="13">
        <f t="shared" si="108"/>
        <v>4792221.6457114806</v>
      </c>
      <c r="J349" s="15">
        <f t="shared" si="100"/>
        <v>0.67077629041735176</v>
      </c>
      <c r="K349" s="13">
        <f t="shared" si="109"/>
        <v>1610965.7163265448</v>
      </c>
      <c r="L349" s="13">
        <f t="shared" si="117"/>
        <v>145672988.36053291</v>
      </c>
      <c r="M349" s="15">
        <f t="shared" si="110"/>
        <v>0.67077629041735176</v>
      </c>
      <c r="N349" s="13">
        <f t="shared" si="101"/>
        <v>20516.092392222119</v>
      </c>
      <c r="O349" s="13">
        <f t="shared" si="111"/>
        <v>3181255.9293849329</v>
      </c>
      <c r="P349" s="15">
        <f t="shared" si="102"/>
        <v>0.56982143436491961</v>
      </c>
      <c r="Q349" s="7">
        <f t="shared" si="112"/>
        <v>5582899.7252981942</v>
      </c>
      <c r="R349" s="7">
        <f t="shared" si="113"/>
        <v>2401643.7959132614</v>
      </c>
      <c r="S349" s="13">
        <f>IF(Calc!$AD$32="Sim",R349,Q349)</f>
        <v>2401643.7959132614</v>
      </c>
      <c r="T349" s="9">
        <f t="shared" si="114"/>
        <v>345</v>
      </c>
      <c r="U349" s="17">
        <f t="shared" ca="1" si="115"/>
        <v>56005</v>
      </c>
      <c r="V349" s="22"/>
      <c r="W349" s="22"/>
      <c r="X349" s="22"/>
    </row>
    <row r="350" spans="2:24" x14ac:dyDescent="0.2">
      <c r="B350" s="17">
        <f t="shared" ca="1" si="103"/>
        <v>56005</v>
      </c>
      <c r="C350" s="9">
        <f t="shared" si="116"/>
        <v>346</v>
      </c>
      <c r="D350" s="9"/>
      <c r="E350" s="13">
        <f t="shared" si="104"/>
        <v>4082.8001606096032</v>
      </c>
      <c r="F350" s="14">
        <f t="shared" si="105"/>
        <v>794760.87974732625</v>
      </c>
      <c r="G350" s="15">
        <f t="shared" si="106"/>
        <v>0.32830693811740025</v>
      </c>
      <c r="H350" s="13">
        <f t="shared" si="107"/>
        <v>55592.725485679504</v>
      </c>
      <c r="I350" s="13">
        <f t="shared" si="108"/>
        <v>4847814.3711971603</v>
      </c>
      <c r="J350" s="15">
        <f t="shared" si="100"/>
        <v>0.67169306188259981</v>
      </c>
      <c r="K350" s="13">
        <f t="shared" si="109"/>
        <v>1626025.2428509279</v>
      </c>
      <c r="L350" s="13">
        <f t="shared" si="117"/>
        <v>147299013.60338384</v>
      </c>
      <c r="M350" s="15">
        <f t="shared" si="110"/>
        <v>0.67169306188259981</v>
      </c>
      <c r="N350" s="13">
        <f t="shared" si="101"/>
        <v>20735.388574843113</v>
      </c>
      <c r="O350" s="13">
        <f t="shared" si="111"/>
        <v>3221789.128346229</v>
      </c>
      <c r="P350" s="15">
        <f t="shared" si="102"/>
        <v>0.57097849564468806</v>
      </c>
      <c r="Q350" s="7">
        <f t="shared" si="112"/>
        <v>5642575.2509444831</v>
      </c>
      <c r="R350" s="7">
        <f t="shared" si="113"/>
        <v>2420786.1225982541</v>
      </c>
      <c r="S350" s="13">
        <f>IF(Calc!$AD$32="Sim",R350,Q350)</f>
        <v>2420786.1225982541</v>
      </c>
      <c r="T350" s="9">
        <f t="shared" si="114"/>
        <v>346</v>
      </c>
      <c r="U350" s="17">
        <f t="shared" ca="1" si="115"/>
        <v>56036</v>
      </c>
      <c r="V350" s="22"/>
      <c r="W350" s="22"/>
      <c r="X350" s="22"/>
    </row>
    <row r="351" spans="2:24" x14ac:dyDescent="0.2">
      <c r="B351" s="17">
        <f t="shared" ca="1" si="103"/>
        <v>56036</v>
      </c>
      <c r="C351" s="9">
        <f t="shared" si="116"/>
        <v>347</v>
      </c>
      <c r="D351" s="9"/>
      <c r="E351" s="13">
        <f t="shared" si="104"/>
        <v>4099.4339938478261</v>
      </c>
      <c r="F351" s="14">
        <f t="shared" si="105"/>
        <v>798860.31374117406</v>
      </c>
      <c r="G351" s="15">
        <f t="shared" si="106"/>
        <v>0.32739304429145899</v>
      </c>
      <c r="H351" s="13">
        <f t="shared" si="107"/>
        <v>56186.95523701013</v>
      </c>
      <c r="I351" s="13">
        <f t="shared" si="108"/>
        <v>4904001.3264341708</v>
      </c>
      <c r="J351" s="15">
        <f t="shared" si="100"/>
        <v>0.67260695570854101</v>
      </c>
      <c r="K351" s="13">
        <f t="shared" si="109"/>
        <v>1641204.7019040426</v>
      </c>
      <c r="L351" s="13">
        <f t="shared" si="117"/>
        <v>148940218.30528787</v>
      </c>
      <c r="M351" s="15">
        <f t="shared" si="110"/>
        <v>0.67260695570854101</v>
      </c>
      <c r="N351" s="13">
        <f t="shared" si="101"/>
        <v>20956.929564707065</v>
      </c>
      <c r="O351" s="13">
        <f t="shared" si="111"/>
        <v>3262796.6245301249</v>
      </c>
      <c r="P351" s="15">
        <f t="shared" si="102"/>
        <v>0.57213322545728218</v>
      </c>
      <c r="Q351" s="7">
        <f t="shared" si="112"/>
        <v>5702861.6401753416</v>
      </c>
      <c r="R351" s="7">
        <f t="shared" si="113"/>
        <v>2440065.0156452167</v>
      </c>
      <c r="S351" s="13">
        <f>IF(Calc!$AD$32="Sim",R351,Q351)</f>
        <v>2440065.0156452167</v>
      </c>
      <c r="T351" s="9">
        <f t="shared" si="114"/>
        <v>347</v>
      </c>
      <c r="U351" s="17">
        <f t="shared" ca="1" si="115"/>
        <v>56066</v>
      </c>
      <c r="V351" s="22"/>
      <c r="W351" s="22"/>
      <c r="X351" s="22"/>
    </row>
    <row r="352" spans="2:24" x14ac:dyDescent="0.2">
      <c r="B352" s="17">
        <f t="shared" ca="1" si="103"/>
        <v>56066</v>
      </c>
      <c r="C352" s="9">
        <f t="shared" si="116"/>
        <v>348</v>
      </c>
      <c r="D352" s="9">
        <v>29</v>
      </c>
      <c r="E352" s="13">
        <f t="shared" si="104"/>
        <v>4116.1355953816583</v>
      </c>
      <c r="F352" s="14">
        <f t="shared" si="105"/>
        <v>802976.44933655567</v>
      </c>
      <c r="G352" s="15">
        <f t="shared" si="106"/>
        <v>0.32648201769114088</v>
      </c>
      <c r="H352" s="13">
        <f t="shared" si="107"/>
        <v>56787.267772061969</v>
      </c>
      <c r="I352" s="13">
        <f t="shared" si="108"/>
        <v>4960788.5942062326</v>
      </c>
      <c r="J352" s="15">
        <f t="shared" si="100"/>
        <v>0.67351798230885906</v>
      </c>
      <c r="K352" s="13">
        <f t="shared" si="109"/>
        <v>1656504.9487972581</v>
      </c>
      <c r="L352" s="13">
        <f t="shared" si="117"/>
        <v>150596723.25408512</v>
      </c>
      <c r="M352" s="15">
        <f t="shared" si="110"/>
        <v>0.67351798230885906</v>
      </c>
      <c r="N352" s="13">
        <f t="shared" si="101"/>
        <v>21180.737963920343</v>
      </c>
      <c r="O352" s="13">
        <f t="shared" si="111"/>
        <v>3304283.6454089708</v>
      </c>
      <c r="P352" s="15">
        <f t="shared" si="102"/>
        <v>0.57328562501186608</v>
      </c>
      <c r="Q352" s="7">
        <f t="shared" si="112"/>
        <v>5763765.0435427846</v>
      </c>
      <c r="R352" s="7">
        <f t="shared" si="113"/>
        <v>2459481.3981338139</v>
      </c>
      <c r="S352" s="13">
        <f>IF(Calc!$AD$32="Sim",R352,Q352)</f>
        <v>2459481.3981338139</v>
      </c>
      <c r="T352" s="9">
        <f t="shared" si="114"/>
        <v>348</v>
      </c>
      <c r="U352" s="17">
        <f t="shared" ca="1" si="115"/>
        <v>56097</v>
      </c>
      <c r="V352" s="22"/>
      <c r="W352" s="22"/>
      <c r="X352" s="22"/>
    </row>
    <row r="353" spans="2:24" x14ac:dyDescent="0.2">
      <c r="B353" s="17">
        <f t="shared" ca="1" si="103"/>
        <v>56097</v>
      </c>
      <c r="C353" s="9">
        <f t="shared" si="116"/>
        <v>349</v>
      </c>
      <c r="D353" s="9"/>
      <c r="E353" s="13">
        <f t="shared" si="104"/>
        <v>4132.9052413075242</v>
      </c>
      <c r="F353" s="14">
        <f t="shared" si="105"/>
        <v>807109.35457786324</v>
      </c>
      <c r="G353" s="15">
        <f t="shared" si="106"/>
        <v>0.32557384794879479</v>
      </c>
      <c r="H353" s="13">
        <f t="shared" si="107"/>
        <v>57393.72433605999</v>
      </c>
      <c r="I353" s="13">
        <f t="shared" si="108"/>
        <v>5018182.3185422923</v>
      </c>
      <c r="J353" s="15">
        <f t="shared" si="100"/>
        <v>0.67442615205120515</v>
      </c>
      <c r="K353" s="13">
        <f t="shared" si="109"/>
        <v>1671926.8446220271</v>
      </c>
      <c r="L353" s="13">
        <f t="shared" si="117"/>
        <v>152268650.09870714</v>
      </c>
      <c r="M353" s="15">
        <f t="shared" si="110"/>
        <v>0.67442615205120526</v>
      </c>
      <c r="N353" s="13">
        <f t="shared" si="101"/>
        <v>21406.836600668448</v>
      </c>
      <c r="O353" s="13">
        <f t="shared" si="111"/>
        <v>3346255.473920262</v>
      </c>
      <c r="P353" s="15">
        <f t="shared" si="102"/>
        <v>0.57443569553109353</v>
      </c>
      <c r="Q353" s="7">
        <f t="shared" si="112"/>
        <v>5825291.6731201522</v>
      </c>
      <c r="R353" s="7">
        <f t="shared" si="113"/>
        <v>2479036.1991998903</v>
      </c>
      <c r="S353" s="13">
        <f>IF(Calc!$AD$32="Sim",R353,Q353)</f>
        <v>2479036.1991998903</v>
      </c>
      <c r="T353" s="9">
        <f t="shared" si="114"/>
        <v>349</v>
      </c>
      <c r="U353" s="17">
        <f t="shared" ca="1" si="115"/>
        <v>56128</v>
      </c>
      <c r="V353" s="22"/>
      <c r="W353" s="22"/>
      <c r="X353" s="22"/>
    </row>
    <row r="354" spans="2:24" x14ac:dyDescent="0.2">
      <c r="B354" s="17">
        <f t="shared" ca="1" si="103"/>
        <v>56128</v>
      </c>
      <c r="C354" s="9">
        <f t="shared" si="116"/>
        <v>350</v>
      </c>
      <c r="D354" s="9"/>
      <c r="E354" s="13">
        <f t="shared" si="104"/>
        <v>4149.7432088467003</v>
      </c>
      <c r="F354" s="14">
        <f t="shared" si="105"/>
        <v>811259.0977867099</v>
      </c>
      <c r="G354" s="15">
        <f t="shared" si="106"/>
        <v>0.32466852474251318</v>
      </c>
      <c r="H354" s="13">
        <f t="shared" si="107"/>
        <v>58006.386786838826</v>
      </c>
      <c r="I354" s="13">
        <f t="shared" si="108"/>
        <v>5076188.7053291313</v>
      </c>
      <c r="J354" s="15">
        <f t="shared" si="100"/>
        <v>0.67533147525748682</v>
      </c>
      <c r="K354" s="13">
        <f t="shared" si="109"/>
        <v>1687471.2562878036</v>
      </c>
      <c r="L354" s="13">
        <f t="shared" si="117"/>
        <v>153956121.35499495</v>
      </c>
      <c r="M354" s="15">
        <f t="shared" si="110"/>
        <v>0.67533147525748682</v>
      </c>
      <c r="N354" s="13">
        <f t="shared" si="101"/>
        <v>21635.24853147137</v>
      </c>
      <c r="O354" s="13">
        <f t="shared" si="111"/>
        <v>3388717.4490413247</v>
      </c>
      <c r="P354" s="15">
        <f t="shared" si="102"/>
        <v>0.57558343825110425</v>
      </c>
      <c r="Q354" s="7">
        <f t="shared" si="112"/>
        <v>5887447.8031158382</v>
      </c>
      <c r="R354" s="7">
        <f t="shared" si="113"/>
        <v>2498730.3540745135</v>
      </c>
      <c r="S354" s="13">
        <f>IF(Calc!$AD$32="Sim",R354,Q354)</f>
        <v>2498730.3540745135</v>
      </c>
      <c r="T354" s="9">
        <f t="shared" si="114"/>
        <v>350</v>
      </c>
      <c r="U354" s="17">
        <f t="shared" ca="1" si="115"/>
        <v>56158</v>
      </c>
      <c r="V354" s="22"/>
      <c r="W354" s="22"/>
      <c r="X354" s="22"/>
    </row>
    <row r="355" spans="2:24" x14ac:dyDescent="0.2">
      <c r="B355" s="17">
        <f t="shared" ca="1" si="103"/>
        <v>56158</v>
      </c>
      <c r="C355" s="9">
        <f t="shared" si="116"/>
        <v>351</v>
      </c>
      <c r="D355" s="9"/>
      <c r="E355" s="13">
        <f t="shared" si="104"/>
        <v>4166.6497763498955</v>
      </c>
      <c r="F355" s="14">
        <f t="shared" si="105"/>
        <v>815425.74756305979</v>
      </c>
      <c r="G355" s="15">
        <f t="shared" si="106"/>
        <v>0.32376603779584567</v>
      </c>
      <c r="H355" s="13">
        <f t="shared" si="107"/>
        <v>58625.31760095404</v>
      </c>
      <c r="I355" s="13">
        <f t="shared" si="108"/>
        <v>5134814.0229300857</v>
      </c>
      <c r="J355" s="15">
        <f t="shared" si="100"/>
        <v>0.67623396220415433</v>
      </c>
      <c r="K355" s="13">
        <f t="shared" si="109"/>
        <v>1703139.0565602053</v>
      </c>
      <c r="L355" s="13">
        <f t="shared" si="117"/>
        <v>155659260.41155517</v>
      </c>
      <c r="M355" s="15">
        <f t="shared" si="110"/>
        <v>0.67623396220415422</v>
      </c>
      <c r="N355" s="13">
        <f t="shared" si="101"/>
        <v>21865.997043461412</v>
      </c>
      <c r="O355" s="13">
        <f t="shared" si="111"/>
        <v>3431674.9663698771</v>
      </c>
      <c r="P355" s="15">
        <f t="shared" si="102"/>
        <v>0.57672885442151989</v>
      </c>
      <c r="Q355" s="7">
        <f t="shared" si="112"/>
        <v>5950239.7704931423</v>
      </c>
      <c r="R355" s="7">
        <f t="shared" si="113"/>
        <v>2518564.8041232652</v>
      </c>
      <c r="S355" s="13">
        <f>IF(Calc!$AD$32="Sim",R355,Q355)</f>
        <v>2518564.8041232652</v>
      </c>
      <c r="T355" s="9">
        <f t="shared" si="114"/>
        <v>351</v>
      </c>
      <c r="U355" s="17">
        <f t="shared" ca="1" si="115"/>
        <v>56189</v>
      </c>
      <c r="V355" s="22"/>
      <c r="W355" s="22"/>
      <c r="X355" s="22"/>
    </row>
    <row r="356" spans="2:24" x14ac:dyDescent="0.2">
      <c r="B356" s="17">
        <f t="shared" ca="1" si="103"/>
        <v>56189</v>
      </c>
      <c r="C356" s="9">
        <f t="shared" si="116"/>
        <v>352</v>
      </c>
      <c r="D356" s="9"/>
      <c r="E356" s="13">
        <f t="shared" si="104"/>
        <v>4183.6252233018558</v>
      </c>
      <c r="F356" s="14">
        <f t="shared" si="105"/>
        <v>819609.37278636161</v>
      </c>
      <c r="G356" s="15">
        <f t="shared" si="106"/>
        <v>0.32286637687751568</v>
      </c>
      <c r="H356" s="13">
        <f t="shared" si="107"/>
        <v>59250.579879854413</v>
      </c>
      <c r="I356" s="13">
        <f t="shared" si="108"/>
        <v>5194064.6028099405</v>
      </c>
      <c r="J356" s="15">
        <f t="shared" si="100"/>
        <v>0.67713362312248426</v>
      </c>
      <c r="K356" s="13">
        <f t="shared" si="109"/>
        <v>1718931.1240994227</v>
      </c>
      <c r="L356" s="13">
        <f t="shared" si="117"/>
        <v>157378191.5356546</v>
      </c>
      <c r="M356" s="15">
        <f t="shared" si="110"/>
        <v>0.67713362312248426</v>
      </c>
      <c r="N356" s="13">
        <f t="shared" si="101"/>
        <v>22099.105656683732</v>
      </c>
      <c r="O356" s="13">
        <f t="shared" si="111"/>
        <v>3475133.478710515</v>
      </c>
      <c r="P356" s="15">
        <f t="shared" si="102"/>
        <v>0.57787194530543706</v>
      </c>
      <c r="Q356" s="7">
        <f t="shared" si="112"/>
        <v>6013673.9755962994</v>
      </c>
      <c r="R356" s="7">
        <f t="shared" si="113"/>
        <v>2538540.4968857844</v>
      </c>
      <c r="S356" s="13">
        <f>IF(Calc!$AD$32="Sim",R356,Q356)</f>
        <v>2538540.4968857844</v>
      </c>
      <c r="T356" s="9">
        <f t="shared" si="114"/>
        <v>352</v>
      </c>
      <c r="U356" s="17">
        <f t="shared" ca="1" si="115"/>
        <v>56219</v>
      </c>
      <c r="V356" s="22"/>
      <c r="W356" s="22"/>
      <c r="X356" s="22"/>
    </row>
    <row r="357" spans="2:24" x14ac:dyDescent="0.2">
      <c r="B357" s="17">
        <f t="shared" ca="1" si="103"/>
        <v>56219</v>
      </c>
      <c r="C357" s="9">
        <f t="shared" si="116"/>
        <v>353</v>
      </c>
      <c r="D357" s="9"/>
      <c r="E357" s="13">
        <f t="shared" si="104"/>
        <v>4200.6698303259809</v>
      </c>
      <c r="F357" s="14">
        <f t="shared" si="105"/>
        <v>823810.0426166876</v>
      </c>
      <c r="G357" s="15">
        <f t="shared" si="106"/>
        <v>0.32196953180113996</v>
      </c>
      <c r="H357" s="13">
        <f t="shared" si="107"/>
        <v>59882.237356115773</v>
      </c>
      <c r="I357" s="13">
        <f t="shared" si="108"/>
        <v>5253946.8401660565</v>
      </c>
      <c r="J357" s="15">
        <f t="shared" si="100"/>
        <v>0.67803046819886004</v>
      </c>
      <c r="K357" s="13">
        <f t="shared" si="109"/>
        <v>1734848.3434988735</v>
      </c>
      <c r="L357" s="13">
        <f t="shared" si="117"/>
        <v>159113039.87915349</v>
      </c>
      <c r="M357" s="15">
        <f t="shared" si="110"/>
        <v>0.67803046819886004</v>
      </c>
      <c r="N357" s="13">
        <f t="shared" si="101"/>
        <v>22334.598126419794</v>
      </c>
      <c r="O357" s="13">
        <f t="shared" si="111"/>
        <v>3519098.4966671802</v>
      </c>
      <c r="P357" s="15">
        <f t="shared" si="102"/>
        <v>0.5790127121794213</v>
      </c>
      <c r="Q357" s="7">
        <f t="shared" si="112"/>
        <v>6077756.8827827414</v>
      </c>
      <c r="R357" s="7">
        <f t="shared" si="113"/>
        <v>2558658.3861155612</v>
      </c>
      <c r="S357" s="13">
        <f>IF(Calc!$AD$32="Sim",R357,Q357)</f>
        <v>2558658.3861155612</v>
      </c>
      <c r="T357" s="9">
        <f t="shared" si="114"/>
        <v>353</v>
      </c>
      <c r="U357" s="17">
        <f t="shared" ca="1" si="115"/>
        <v>56250</v>
      </c>
      <c r="V357" s="22"/>
      <c r="W357" s="22"/>
      <c r="X357" s="22"/>
    </row>
    <row r="358" spans="2:24" x14ac:dyDescent="0.2">
      <c r="B358" s="17">
        <f t="shared" ca="1" si="103"/>
        <v>56250</v>
      </c>
      <c r="C358" s="9">
        <f t="shared" si="116"/>
        <v>354</v>
      </c>
      <c r="D358" s="9"/>
      <c r="E358" s="13">
        <f t="shared" si="104"/>
        <v>4217.7838791889662</v>
      </c>
      <c r="F358" s="14">
        <f t="shared" si="105"/>
        <v>828027.82649587654</v>
      </c>
      <c r="G358" s="15">
        <f t="shared" si="106"/>
        <v>0.32107549242495093</v>
      </c>
      <c r="H358" s="13">
        <f t="shared" si="107"/>
        <v>60520.35439973684</v>
      </c>
      <c r="I358" s="13">
        <f t="shared" si="108"/>
        <v>5314467.1945657935</v>
      </c>
      <c r="J358" s="15">
        <f t="shared" si="100"/>
        <v>0.67892450757504907</v>
      </c>
      <c r="K358" s="13">
        <f t="shared" si="109"/>
        <v>1750891.6053241091</v>
      </c>
      <c r="L358" s="13">
        <f t="shared" si="117"/>
        <v>160863931.48447761</v>
      </c>
      <c r="M358" s="15">
        <f t="shared" si="110"/>
        <v>0.67892450757504907</v>
      </c>
      <c r="N358" s="13">
        <f t="shared" si="101"/>
        <v>22572.498445533969</v>
      </c>
      <c r="O358" s="13">
        <f t="shared" si="111"/>
        <v>3563575.5892416816</v>
      </c>
      <c r="P358" s="15">
        <f t="shared" si="102"/>
        <v>0.58015115633349823</v>
      </c>
      <c r="Q358" s="7">
        <f t="shared" si="112"/>
        <v>6142495.0210616672</v>
      </c>
      <c r="R358" s="7">
        <f t="shared" si="113"/>
        <v>2578919.4318199856</v>
      </c>
      <c r="S358" s="13">
        <f>IF(Calc!$AD$32="Sim",R358,Q358)</f>
        <v>2578919.4318199856</v>
      </c>
      <c r="T358" s="9">
        <f t="shared" si="114"/>
        <v>354</v>
      </c>
      <c r="U358" s="17">
        <f t="shared" ca="1" si="115"/>
        <v>56281</v>
      </c>
      <c r="V358" s="22"/>
      <c r="W358" s="22"/>
      <c r="X358" s="22"/>
    </row>
    <row r="359" spans="2:24" x14ac:dyDescent="0.2">
      <c r="B359" s="17">
        <f t="shared" ca="1" si="103"/>
        <v>56281</v>
      </c>
      <c r="C359" s="9">
        <f t="shared" si="116"/>
        <v>355</v>
      </c>
      <c r="D359" s="9"/>
      <c r="E359" s="13">
        <f t="shared" si="104"/>
        <v>4234.9676528054588</v>
      </c>
      <c r="F359" s="14">
        <f t="shared" si="105"/>
        <v>832262.79414868203</v>
      </c>
      <c r="G359" s="15">
        <f t="shared" si="106"/>
        <v>0.32018424865152217</v>
      </c>
      <c r="H359" s="13">
        <f t="shared" si="107"/>
        <v>61164.996024497894</v>
      </c>
      <c r="I359" s="13">
        <f t="shared" si="108"/>
        <v>5375632.1905902913</v>
      </c>
      <c r="J359" s="15">
        <f t="shared" si="100"/>
        <v>0.67981575134847783</v>
      </c>
      <c r="K359" s="13">
        <f t="shared" si="109"/>
        <v>1767061.8061519684</v>
      </c>
      <c r="L359" s="13">
        <f t="shared" si="117"/>
        <v>162630993.29062957</v>
      </c>
      <c r="M359" s="15">
        <f t="shared" si="110"/>
        <v>0.67981575134847771</v>
      </c>
      <c r="N359" s="13">
        <f t="shared" si="101"/>
        <v>22812.830846843553</v>
      </c>
      <c r="O359" s="13">
        <f t="shared" si="111"/>
        <v>3608570.3844383196</v>
      </c>
      <c r="P359" s="15">
        <f t="shared" si="102"/>
        <v>0.58128727907114441</v>
      </c>
      <c r="Q359" s="7">
        <f t="shared" si="112"/>
        <v>6207894.9847389702</v>
      </c>
      <c r="R359" s="7">
        <f t="shared" si="113"/>
        <v>2599324.6003006506</v>
      </c>
      <c r="S359" s="13">
        <f>IF(Calc!$AD$32="Sim",R359,Q359)</f>
        <v>2599324.6003006506</v>
      </c>
      <c r="T359" s="9">
        <f t="shared" si="114"/>
        <v>355</v>
      </c>
      <c r="U359" s="17">
        <f t="shared" ca="1" si="115"/>
        <v>56309</v>
      </c>
      <c r="V359" s="22"/>
      <c r="W359" s="22"/>
      <c r="X359" s="22"/>
    </row>
    <row r="360" spans="2:24" x14ac:dyDescent="0.2">
      <c r="B360" s="17">
        <f t="shared" ca="1" si="103"/>
        <v>56309</v>
      </c>
      <c r="C360" s="9">
        <f t="shared" si="116"/>
        <v>356</v>
      </c>
      <c r="D360" s="9"/>
      <c r="E360" s="13">
        <f t="shared" si="104"/>
        <v>4252.2214352427345</v>
      </c>
      <c r="F360" s="14">
        <f t="shared" si="105"/>
        <v>836515.01558392472</v>
      </c>
      <c r="G360" s="15">
        <f t="shared" si="106"/>
        <v>0.31929579042749612</v>
      </c>
      <c r="H360" s="13">
        <f t="shared" si="107"/>
        <v>61816.22789438277</v>
      </c>
      <c r="I360" s="13">
        <f t="shared" si="108"/>
        <v>5437448.4184846738</v>
      </c>
      <c r="J360" s="15">
        <f t="shared" si="100"/>
        <v>0.68070420957250388</v>
      </c>
      <c r="K360" s="13">
        <f t="shared" si="109"/>
        <v>1783359.8486099888</v>
      </c>
      <c r="L360" s="13">
        <f t="shared" si="117"/>
        <v>164414353.13923955</v>
      </c>
      <c r="M360" s="15">
        <f t="shared" si="110"/>
        <v>0.68070420957250388</v>
      </c>
      <c r="N360" s="13">
        <f t="shared" si="101"/>
        <v>23055.619805512342</v>
      </c>
      <c r="O360" s="13">
        <f t="shared" si="111"/>
        <v>3654088.5698746815</v>
      </c>
      <c r="P360" s="15">
        <f t="shared" si="102"/>
        <v>0.58242108170927698</v>
      </c>
      <c r="Q360" s="7">
        <f t="shared" si="112"/>
        <v>6273963.4340685951</v>
      </c>
      <c r="R360" s="7">
        <f t="shared" si="113"/>
        <v>2619874.8641939135</v>
      </c>
      <c r="S360" s="13">
        <f>IF(Calc!$AD$32="Sim",R360,Q360)</f>
        <v>2619874.8641939135</v>
      </c>
      <c r="T360" s="9">
        <f t="shared" si="114"/>
        <v>356</v>
      </c>
      <c r="U360" s="17">
        <f t="shared" ca="1" si="115"/>
        <v>56340</v>
      </c>
      <c r="V360" s="22"/>
      <c r="W360" s="22"/>
      <c r="X360" s="22"/>
    </row>
    <row r="361" spans="2:24" x14ac:dyDescent="0.2">
      <c r="B361" s="17">
        <f t="shared" ca="1" si="103"/>
        <v>56340</v>
      </c>
      <c r="C361" s="9">
        <f t="shared" si="116"/>
        <v>357</v>
      </c>
      <c r="D361" s="9"/>
      <c r="E361" s="13">
        <f t="shared" si="104"/>
        <v>4269.545511725396</v>
      </c>
      <c r="F361" s="14">
        <f t="shared" si="105"/>
        <v>840784.56109565008</v>
      </c>
      <c r="G361" s="15">
        <f t="shared" si="106"/>
        <v>0.31841010774331491</v>
      </c>
      <c r="H361" s="13">
        <f t="shared" si="107"/>
        <v>62474.116330064855</v>
      </c>
      <c r="I361" s="13">
        <f t="shared" si="108"/>
        <v>5499922.5348147387</v>
      </c>
      <c r="J361" s="15">
        <f t="shared" si="100"/>
        <v>0.68158989225668509</v>
      </c>
      <c r="K361" s="13">
        <f t="shared" si="109"/>
        <v>1799786.6414160656</v>
      </c>
      <c r="L361" s="13">
        <f t="shared" si="117"/>
        <v>166214139.78065562</v>
      </c>
      <c r="M361" s="15">
        <f t="shared" si="110"/>
        <v>0.68158989225668509</v>
      </c>
      <c r="N361" s="13">
        <f t="shared" si="101"/>
        <v>23300.890041468134</v>
      </c>
      <c r="O361" s="13">
        <f t="shared" si="111"/>
        <v>3700135.8933986695</v>
      </c>
      <c r="P361" s="15">
        <f t="shared" si="102"/>
        <v>0.58355256557824198</v>
      </c>
      <c r="Q361" s="7">
        <f t="shared" si="112"/>
        <v>6340707.0959103853</v>
      </c>
      <c r="R361" s="7">
        <f t="shared" si="113"/>
        <v>2640571.2025117157</v>
      </c>
      <c r="S361" s="13">
        <f>IF(Calc!$AD$32="Sim",R361,Q361)</f>
        <v>2640571.2025117157</v>
      </c>
      <c r="T361" s="9">
        <f t="shared" si="114"/>
        <v>357</v>
      </c>
      <c r="U361" s="17">
        <f t="shared" ca="1" si="115"/>
        <v>56370</v>
      </c>
      <c r="V361" s="22"/>
      <c r="W361" s="22"/>
      <c r="X361" s="22"/>
    </row>
    <row r="362" spans="2:24" x14ac:dyDescent="0.2">
      <c r="B362" s="17">
        <f t="shared" ca="1" si="103"/>
        <v>56370</v>
      </c>
      <c r="C362" s="9">
        <f t="shared" si="116"/>
        <v>358</v>
      </c>
      <c r="D362" s="9"/>
      <c r="E362" s="13">
        <f t="shared" si="104"/>
        <v>4286.9401686400852</v>
      </c>
      <c r="F362" s="14">
        <f t="shared" si="105"/>
        <v>845071.50126429019</v>
      </c>
      <c r="G362" s="15">
        <f t="shared" si="106"/>
        <v>0.31752719063295393</v>
      </c>
      <c r="H362" s="13">
        <f t="shared" si="107"/>
        <v>63138.728315457709</v>
      </c>
      <c r="I362" s="13">
        <f t="shared" si="108"/>
        <v>5563061.2631301964</v>
      </c>
      <c r="J362" s="15">
        <f t="shared" si="100"/>
        <v>0.68247280936704602</v>
      </c>
      <c r="K362" s="13">
        <f t="shared" si="109"/>
        <v>1816343.0994183708</v>
      </c>
      <c r="L362" s="13">
        <f t="shared" si="117"/>
        <v>168030482.88007399</v>
      </c>
      <c r="M362" s="15">
        <f t="shared" si="110"/>
        <v>0.68247280936704613</v>
      </c>
      <c r="N362" s="13">
        <f t="shared" si="101"/>
        <v>23548.666521844232</v>
      </c>
      <c r="O362" s="13">
        <f t="shared" si="111"/>
        <v>3746718.1637118217</v>
      </c>
      <c r="P362" s="15">
        <f t="shared" si="102"/>
        <v>0.58468173202180163</v>
      </c>
      <c r="Q362" s="7">
        <f t="shared" si="112"/>
        <v>6408132.7643944826</v>
      </c>
      <c r="R362" s="7">
        <f t="shared" si="113"/>
        <v>2661414.6006826609</v>
      </c>
      <c r="S362" s="13">
        <f>IF(Calc!$AD$32="Sim",R362,Q362)</f>
        <v>2661414.6006826609</v>
      </c>
      <c r="T362" s="9">
        <f t="shared" si="114"/>
        <v>358</v>
      </c>
      <c r="U362" s="17">
        <f t="shared" ca="1" si="115"/>
        <v>56401</v>
      </c>
      <c r="V362" s="22"/>
      <c r="W362" s="22"/>
      <c r="X362" s="22"/>
    </row>
    <row r="363" spans="2:24" x14ac:dyDescent="0.2">
      <c r="B363" s="17">
        <f t="shared" ca="1" si="103"/>
        <v>56401</v>
      </c>
      <c r="C363" s="9">
        <f t="shared" si="116"/>
        <v>359</v>
      </c>
      <c r="D363" s="9"/>
      <c r="E363" s="13">
        <f t="shared" si="104"/>
        <v>4304.4056935402195</v>
      </c>
      <c r="F363" s="14">
        <f t="shared" si="105"/>
        <v>849375.90695783042</v>
      </c>
      <c r="G363" s="15">
        <f t="shared" si="106"/>
        <v>0.3166470291736575</v>
      </c>
      <c r="H363" s="13">
        <f t="shared" si="107"/>
        <v>63810.131504330973</v>
      </c>
      <c r="I363" s="13">
        <f t="shared" si="108"/>
        <v>5626871.3946345272</v>
      </c>
      <c r="J363" s="15">
        <f t="shared" si="100"/>
        <v>0.6833529708263425</v>
      </c>
      <c r="K363" s="13">
        <f t="shared" si="109"/>
        <v>1833030.1436355277</v>
      </c>
      <c r="L363" s="13">
        <f t="shared" si="117"/>
        <v>169863513.02370954</v>
      </c>
      <c r="M363" s="15">
        <f t="shared" si="110"/>
        <v>0.6833529708263425</v>
      </c>
      <c r="N363" s="13">
        <f t="shared" si="101"/>
        <v>23798.974463445375</v>
      </c>
      <c r="O363" s="13">
        <f t="shared" si="111"/>
        <v>3793841.2509989957</v>
      </c>
      <c r="P363" s="15">
        <f t="shared" si="102"/>
        <v>0.58580858239712086</v>
      </c>
      <c r="Q363" s="7">
        <f t="shared" si="112"/>
        <v>6476247.3015923537</v>
      </c>
      <c r="R363" s="7">
        <f t="shared" si="113"/>
        <v>2682406.050593358</v>
      </c>
      <c r="S363" s="13">
        <f>IF(Calc!$AD$32="Sim",R363,Q363)</f>
        <v>2682406.050593358</v>
      </c>
      <c r="T363" s="9">
        <f t="shared" si="114"/>
        <v>359</v>
      </c>
      <c r="U363" s="17">
        <f t="shared" ca="1" si="115"/>
        <v>56431</v>
      </c>
      <c r="V363" s="22"/>
      <c r="W363" s="22"/>
      <c r="X363" s="22"/>
    </row>
    <row r="364" spans="2:24" x14ac:dyDescent="0.2">
      <c r="B364" s="17">
        <f t="shared" ca="1" si="103"/>
        <v>56431</v>
      </c>
      <c r="C364" s="9">
        <f>C363+1</f>
        <v>360</v>
      </c>
      <c r="D364" s="9">
        <v>30</v>
      </c>
      <c r="E364" s="13">
        <f t="shared" si="104"/>
        <v>4321.9423751507429</v>
      </c>
      <c r="F364" s="14">
        <f t="shared" si="105"/>
        <v>853697.84933298116</v>
      </c>
      <c r="G364" s="15">
        <f t="shared" si="106"/>
        <v>0.31576961348567806</v>
      </c>
      <c r="H364" s="13">
        <f t="shared" si="107"/>
        <v>64488.394226992197</v>
      </c>
      <c r="I364" s="13">
        <f t="shared" si="108"/>
        <v>5691359.7888615197</v>
      </c>
      <c r="J364" s="15">
        <f t="shared" si="100"/>
        <v>0.684230386514322</v>
      </c>
      <c r="K364" s="13">
        <f t="shared" si="109"/>
        <v>1849848.7012970438</v>
      </c>
      <c r="L364" s="13">
        <f t="shared" si="117"/>
        <v>171713361.72500658</v>
      </c>
      <c r="M364" s="15">
        <f t="shared" si="110"/>
        <v>0.68423038651432189</v>
      </c>
      <c r="N364" s="13">
        <f t="shared" si="101"/>
        <v>24051.839335238154</v>
      </c>
      <c r="O364" s="13">
        <f t="shared" si="111"/>
        <v>3841511.0875644716</v>
      </c>
      <c r="P364" s="15">
        <f t="shared" si="102"/>
        <v>0.58693311807475257</v>
      </c>
      <c r="Q364" s="7">
        <f t="shared" si="112"/>
        <v>6545057.6381944967</v>
      </c>
      <c r="R364" s="7">
        <f t="shared" si="113"/>
        <v>2703546.5506300251</v>
      </c>
      <c r="S364" s="13">
        <f>IF(Calc!$AD$32="Sim",R364,Q364)</f>
        <v>2703546.5506300251</v>
      </c>
      <c r="T364" s="9">
        <f t="shared" si="114"/>
        <v>360</v>
      </c>
      <c r="U364" s="17">
        <f t="shared" ca="1" si="115"/>
        <v>56462</v>
      </c>
      <c r="V364" s="22"/>
      <c r="W364" s="22"/>
      <c r="X364" s="22"/>
    </row>
    <row r="365" spans="2:24" x14ac:dyDescent="0.2">
      <c r="B365" s="17">
        <f t="shared" ca="1" si="103"/>
        <v>56462</v>
      </c>
      <c r="C365" s="9">
        <f t="shared" si="116"/>
        <v>361</v>
      </c>
      <c r="D365" s="9"/>
      <c r="E365" s="13">
        <f t="shared" si="104"/>
        <v>4339.5505033729023</v>
      </c>
      <c r="F365" s="14">
        <f t="shared" ref="F365:F428" si="118">F364+E365</f>
        <v>858037.39983635407</v>
      </c>
      <c r="G365" s="15">
        <f t="shared" ref="G365:G428" si="119">IF(F365&lt;=0,0,F365/S365)</f>
        <v>0.31489493373201705</v>
      </c>
      <c r="H365" s="13">
        <f t="shared" ref="H365:H428" si="120">Q364*Taxa</f>
        <v>65173.585497035259</v>
      </c>
      <c r="I365" s="13">
        <f t="shared" ref="I365:I428" si="121">I364+H365</f>
        <v>5756533.3743585553</v>
      </c>
      <c r="J365" s="15">
        <f t="shared" ref="J365:J428" si="122">1-G365</f>
        <v>0.68510506626798295</v>
      </c>
      <c r="K365" s="13">
        <f t="shared" ref="K365:K428" si="123">R365-F365</f>
        <v>1866799.7058840068</v>
      </c>
      <c r="L365" s="13">
        <f t="shared" ref="L365:L428" si="124">L364+K365</f>
        <v>173580161.43089059</v>
      </c>
      <c r="M365" s="15">
        <f t="shared" ref="M365:M428" si="125">K365/R365</f>
        <v>0.68510506626798306</v>
      </c>
      <c r="N365" s="13">
        <f t="shared" ref="N365:N428" si="126">Q365*Inflação</f>
        <v>24307.286860866301</v>
      </c>
      <c r="O365" s="13">
        <f t="shared" ref="O365:O428" si="127">Q365-R365</f>
        <v>3889733.6684745448</v>
      </c>
      <c r="P365" s="15">
        <f t="shared" ref="P365:P428" si="128">O365/Q365</f>
        <v>0.58805534043862207</v>
      </c>
      <c r="Q365" s="7">
        <f t="shared" ref="Q365:Q428" si="129">Q364+E365+H365</f>
        <v>6614570.7741949055</v>
      </c>
      <c r="R365" s="7">
        <f t="shared" ref="R365:R428" si="130">(R364+E365)*(1+((1+Taxa)/(1+Inflação)-1))</f>
        <v>2724837.1057203608</v>
      </c>
      <c r="S365" s="13">
        <f>IF(Calc!$AD$32="Sim",R365,Q365)</f>
        <v>2724837.1057203608</v>
      </c>
      <c r="T365" s="9">
        <f t="shared" ref="T365:T428" si="131">C365</f>
        <v>361</v>
      </c>
      <c r="U365" s="17">
        <f t="shared" ca="1" si="115"/>
        <v>56493</v>
      </c>
    </row>
    <row r="366" spans="2:24" x14ac:dyDescent="0.2">
      <c r="B366" s="17">
        <f t="shared" ca="1" si="103"/>
        <v>56493</v>
      </c>
      <c r="C366" s="9">
        <f t="shared" si="116"/>
        <v>362</v>
      </c>
      <c r="D366" s="9"/>
      <c r="E366" s="13">
        <f t="shared" si="104"/>
        <v>4357.2303692890373</v>
      </c>
      <c r="F366" s="14">
        <f t="shared" si="118"/>
        <v>862394.63020564313</v>
      </c>
      <c r="G366" s="15">
        <f t="shared" si="119"/>
        <v>0.3140229801181687</v>
      </c>
      <c r="H366" s="13">
        <f t="shared" si="120"/>
        <v>65865.775018156026</v>
      </c>
      <c r="I366" s="13">
        <f t="shared" si="121"/>
        <v>5822399.1493767109</v>
      </c>
      <c r="J366" s="15">
        <f t="shared" si="122"/>
        <v>0.68597701988183135</v>
      </c>
      <c r="K366" s="13">
        <f t="shared" si="123"/>
        <v>1883884.0971700379</v>
      </c>
      <c r="L366" s="13">
        <f t="shared" si="124"/>
        <v>175464045.52806062</v>
      </c>
      <c r="M366" s="15">
        <f t="shared" si="125"/>
        <v>0.68597701988183135</v>
      </c>
      <c r="N366" s="13">
        <f t="shared" si="126"/>
        <v>24565.343021191013</v>
      </c>
      <c r="O366" s="13">
        <f t="shared" si="127"/>
        <v>3938515.0522066695</v>
      </c>
      <c r="P366" s="15">
        <f t="shared" si="128"/>
        <v>0.58917525088600986</v>
      </c>
      <c r="Q366" s="7">
        <f t="shared" si="129"/>
        <v>6684793.7795823505</v>
      </c>
      <c r="R366" s="7">
        <f t="shared" si="130"/>
        <v>2746278.727375681</v>
      </c>
      <c r="S366" s="13">
        <f>IF(Calc!$AD$32="Sim",R366,Q366)</f>
        <v>2746278.727375681</v>
      </c>
      <c r="T366" s="9">
        <f t="shared" si="131"/>
        <v>362</v>
      </c>
      <c r="U366" s="17">
        <f t="shared" ca="1" si="115"/>
        <v>56523</v>
      </c>
    </row>
    <row r="367" spans="2:24" x14ac:dyDescent="0.2">
      <c r="B367" s="17">
        <f t="shared" ca="1" si="103"/>
        <v>56523</v>
      </c>
      <c r="C367" s="9">
        <f t="shared" si="116"/>
        <v>363</v>
      </c>
      <c r="D367" s="9"/>
      <c r="E367" s="13">
        <f t="shared" si="104"/>
        <v>4374.9822651673931</v>
      </c>
      <c r="F367" s="14">
        <f t="shared" si="118"/>
        <v>866769.61247081053</v>
      </c>
      <c r="G367" s="15">
        <f t="shared" si="119"/>
        <v>0.31315374289186654</v>
      </c>
      <c r="H367" s="13">
        <f t="shared" si="120"/>
        <v>66565.033191035909</v>
      </c>
      <c r="I367" s="13">
        <f t="shared" si="121"/>
        <v>5888964.1825677464</v>
      </c>
      <c r="J367" s="15">
        <f t="shared" si="122"/>
        <v>0.68684625710813352</v>
      </c>
      <c r="K367" s="13">
        <f t="shared" si="123"/>
        <v>1901102.8212625145</v>
      </c>
      <c r="L367" s="13">
        <f t="shared" si="124"/>
        <v>177365148.34932312</v>
      </c>
      <c r="M367" s="15">
        <f t="shared" si="125"/>
        <v>0.68684625710813352</v>
      </c>
      <c r="N367" s="13">
        <f t="shared" si="126"/>
        <v>24826.034056856599</v>
      </c>
      <c r="O367" s="13">
        <f t="shared" si="127"/>
        <v>3987861.361305228</v>
      </c>
      <c r="P367" s="15">
        <f t="shared" si="128"/>
        <v>0.5902928508275348</v>
      </c>
      <c r="Q367" s="7">
        <f t="shared" si="129"/>
        <v>6755733.795038553</v>
      </c>
      <c r="R367" s="7">
        <f t="shared" si="130"/>
        <v>2767872.433733325</v>
      </c>
      <c r="S367" s="13">
        <f>IF(Calc!$AD$32="Sim",R367,Q367)</f>
        <v>2767872.433733325</v>
      </c>
      <c r="T367" s="9">
        <f t="shared" si="131"/>
        <v>363</v>
      </c>
      <c r="U367" s="17">
        <f t="shared" ca="1" si="115"/>
        <v>56554</v>
      </c>
    </row>
    <row r="368" spans="2:24" x14ac:dyDescent="0.2">
      <c r="B368" s="17">
        <f t="shared" ca="1" si="103"/>
        <v>56554</v>
      </c>
      <c r="C368" s="9">
        <f t="shared" si="116"/>
        <v>364</v>
      </c>
      <c r="D368" s="9"/>
      <c r="E368" s="13">
        <f t="shared" si="104"/>
        <v>4392.8064844669516</v>
      </c>
      <c r="F368" s="14">
        <f t="shared" si="118"/>
        <v>871162.41895527754</v>
      </c>
      <c r="G368" s="15">
        <f t="shared" si="119"/>
        <v>0.3122872123428318</v>
      </c>
      <c r="H368" s="13">
        <f t="shared" si="120"/>
        <v>67271.431120294059</v>
      </c>
      <c r="I368" s="13">
        <f t="shared" si="121"/>
        <v>5956235.6136880405</v>
      </c>
      <c r="J368" s="15">
        <f t="shared" si="122"/>
        <v>0.68771278765716826</v>
      </c>
      <c r="K368" s="13">
        <f t="shared" si="123"/>
        <v>1918456.8306440539</v>
      </c>
      <c r="L368" s="13">
        <f t="shared" si="124"/>
        <v>179283605.17996716</v>
      </c>
      <c r="M368" s="15">
        <f t="shared" si="125"/>
        <v>0.68771278765716815</v>
      </c>
      <c r="N368" s="13">
        <f t="shared" si="126"/>
        <v>25089.386470881716</v>
      </c>
      <c r="O368" s="13">
        <f t="shared" si="127"/>
        <v>4037778.7830439829</v>
      </c>
      <c r="P368" s="15">
        <f t="shared" si="128"/>
        <v>0.59140814168713485</v>
      </c>
      <c r="Q368" s="7">
        <f t="shared" si="129"/>
        <v>6827398.0326433145</v>
      </c>
      <c r="R368" s="7">
        <f t="shared" si="130"/>
        <v>2789619.2495993315</v>
      </c>
      <c r="S368" s="13">
        <f>IF(Calc!$AD$32="Sim",R368,Q368)</f>
        <v>2789619.2495993315</v>
      </c>
      <c r="T368" s="9">
        <f t="shared" si="131"/>
        <v>364</v>
      </c>
      <c r="U368" s="17">
        <f t="shared" ca="1" si="115"/>
        <v>56584</v>
      </c>
    </row>
    <row r="369" spans="2:21" x14ac:dyDescent="0.2">
      <c r="B369" s="17">
        <f t="shared" ca="1" si="103"/>
        <v>56584</v>
      </c>
      <c r="C369" s="9">
        <f t="shared" si="116"/>
        <v>365</v>
      </c>
      <c r="D369" s="9"/>
      <c r="E369" s="13">
        <f t="shared" si="104"/>
        <v>4410.703321842283</v>
      </c>
      <c r="F369" s="14">
        <f t="shared" si="118"/>
        <v>875573.12227711978</v>
      </c>
      <c r="G369" s="15">
        <f t="shared" si="119"/>
        <v>0.31142337880252474</v>
      </c>
      <c r="H369" s="13">
        <f t="shared" si="120"/>
        <v>67985.040621508815</v>
      </c>
      <c r="I369" s="13">
        <f t="shared" si="121"/>
        <v>6024220.6543095494</v>
      </c>
      <c r="J369" s="15">
        <f t="shared" si="122"/>
        <v>0.68857662119747531</v>
      </c>
      <c r="K369" s="13">
        <f t="shared" si="123"/>
        <v>1935947.0842142673</v>
      </c>
      <c r="L369" s="13">
        <f t="shared" si="124"/>
        <v>181219552.26418144</v>
      </c>
      <c r="M369" s="15">
        <f t="shared" si="125"/>
        <v>0.68857662119747531</v>
      </c>
      <c r="N369" s="13">
        <f t="shared" si="126"/>
        <v>25355.427031276366</v>
      </c>
      <c r="O369" s="13">
        <f t="shared" si="127"/>
        <v>4088273.5700952788</v>
      </c>
      <c r="P369" s="15">
        <f t="shared" si="128"/>
        <v>0.59252112490204767</v>
      </c>
      <c r="Q369" s="7">
        <f t="shared" si="129"/>
        <v>6899793.7765866658</v>
      </c>
      <c r="R369" s="7">
        <f t="shared" si="130"/>
        <v>2811520.206491387</v>
      </c>
      <c r="S369" s="13">
        <f>IF(Calc!$AD$32="Sim",R369,Q369)</f>
        <v>2811520.206491387</v>
      </c>
      <c r="T369" s="9">
        <f t="shared" si="131"/>
        <v>365</v>
      </c>
      <c r="U369" s="17">
        <f t="shared" ca="1" si="115"/>
        <v>56615</v>
      </c>
    </row>
    <row r="370" spans="2:21" x14ac:dyDescent="0.2">
      <c r="B370" s="17">
        <f t="shared" ca="1" si="103"/>
        <v>56615</v>
      </c>
      <c r="C370" s="9">
        <f t="shared" si="116"/>
        <v>366</v>
      </c>
      <c r="D370" s="9"/>
      <c r="E370" s="13">
        <f t="shared" si="104"/>
        <v>4428.6730731484176</v>
      </c>
      <c r="F370" s="14">
        <f t="shared" si="118"/>
        <v>880001.79535026825</v>
      </c>
      <c r="G370" s="15">
        <f t="shared" si="119"/>
        <v>0.31056223264389826</v>
      </c>
      <c r="H370" s="13">
        <f t="shared" si="120"/>
        <v>68705.934228309052</v>
      </c>
      <c r="I370" s="13">
        <f t="shared" si="121"/>
        <v>6092926.5885378588</v>
      </c>
      <c r="J370" s="15">
        <f t="shared" si="122"/>
        <v>0.68943776735610174</v>
      </c>
      <c r="K370" s="13">
        <f t="shared" si="123"/>
        <v>1953574.5473317786</v>
      </c>
      <c r="L370" s="13">
        <f t="shared" si="124"/>
        <v>183173126.81151322</v>
      </c>
      <c r="M370" s="15">
        <f t="shared" si="125"/>
        <v>0.68943776735610174</v>
      </c>
      <c r="N370" s="13">
        <f t="shared" si="126"/>
        <v>25624.182773685017</v>
      </c>
      <c r="O370" s="13">
        <f t="shared" si="127"/>
        <v>4139352.0412060767</v>
      </c>
      <c r="P370" s="15">
        <f t="shared" si="128"/>
        <v>0.5936318019227903</v>
      </c>
      <c r="Q370" s="7">
        <f t="shared" si="129"/>
        <v>6972928.3838881236</v>
      </c>
      <c r="R370" s="7">
        <f t="shared" si="130"/>
        <v>2833576.3426820468</v>
      </c>
      <c r="S370" s="13">
        <f>IF(Calc!$AD$32="Sim",R370,Q370)</f>
        <v>2833576.3426820468</v>
      </c>
      <c r="T370" s="9">
        <f t="shared" si="131"/>
        <v>366</v>
      </c>
      <c r="U370" s="17">
        <f t="shared" ca="1" si="115"/>
        <v>56646</v>
      </c>
    </row>
    <row r="371" spans="2:21" x14ac:dyDescent="0.2">
      <c r="B371" s="17">
        <f t="shared" ca="1" si="103"/>
        <v>56646</v>
      </c>
      <c r="C371" s="9">
        <f t="shared" si="116"/>
        <v>367</v>
      </c>
      <c r="D371" s="9"/>
      <c r="E371" s="13">
        <f t="shared" si="104"/>
        <v>4446.7160354457346</v>
      </c>
      <c r="F371" s="14">
        <f t="shared" si="118"/>
        <v>884448.51138571394</v>
      </c>
      <c r="G371" s="15">
        <f t="shared" si="119"/>
        <v>0.30970376428115343</v>
      </c>
      <c r="H371" s="13">
        <f t="shared" si="120"/>
        <v>69434.185199536325</v>
      </c>
      <c r="I371" s="13">
        <f t="shared" si="121"/>
        <v>6162360.7737373952</v>
      </c>
      <c r="J371" s="15">
        <f t="shared" si="122"/>
        <v>0.69029623571884657</v>
      </c>
      <c r="K371" s="13">
        <f t="shared" si="123"/>
        <v>1971340.1918565209</v>
      </c>
      <c r="L371" s="13">
        <f t="shared" si="124"/>
        <v>185144467.00336975</v>
      </c>
      <c r="M371" s="15">
        <f t="shared" si="125"/>
        <v>0.69029623571884657</v>
      </c>
      <c r="N371" s="13">
        <f t="shared" si="126"/>
        <v>25895.681004056078</v>
      </c>
      <c r="O371" s="13">
        <f t="shared" si="127"/>
        <v>4191020.5818808712</v>
      </c>
      <c r="P371" s="15">
        <f t="shared" si="128"/>
        <v>0.59474017421313752</v>
      </c>
      <c r="Q371" s="7">
        <f t="shared" si="129"/>
        <v>7046809.2851231061</v>
      </c>
      <c r="R371" s="7">
        <f t="shared" si="130"/>
        <v>2855788.7032422349</v>
      </c>
      <c r="S371" s="13">
        <f>IF(Calc!$AD$32="Sim",R371,Q371)</f>
        <v>2855788.7032422349</v>
      </c>
      <c r="T371" s="9">
        <f t="shared" si="131"/>
        <v>367</v>
      </c>
      <c r="U371" s="17">
        <f t="shared" ca="1" si="115"/>
        <v>56674</v>
      </c>
    </row>
    <row r="372" spans="2:21" x14ac:dyDescent="0.2">
      <c r="B372" s="17">
        <f t="shared" ca="1" si="103"/>
        <v>56674</v>
      </c>
      <c r="C372" s="9">
        <f t="shared" si="116"/>
        <v>368</v>
      </c>
      <c r="D372" s="9"/>
      <c r="E372" s="13">
        <f t="shared" si="104"/>
        <v>4464.832507004875</v>
      </c>
      <c r="F372" s="14">
        <f t="shared" si="118"/>
        <v>888913.34389271878</v>
      </c>
      <c r="G372" s="15">
        <f t="shared" si="119"/>
        <v>0.30884796416949795</v>
      </c>
      <c r="H372" s="13">
        <f t="shared" si="120"/>
        <v>70169.86752647828</v>
      </c>
      <c r="I372" s="13">
        <f t="shared" si="121"/>
        <v>6232530.6412638733</v>
      </c>
      <c r="J372" s="15">
        <f t="shared" si="122"/>
        <v>0.69115203583050211</v>
      </c>
      <c r="K372" s="13">
        <f t="shared" si="123"/>
        <v>1989244.9961922974</v>
      </c>
      <c r="L372" s="13">
        <f t="shared" si="124"/>
        <v>187133711.99956205</v>
      </c>
      <c r="M372" s="15">
        <f t="shared" si="125"/>
        <v>0.69115203583050211</v>
      </c>
      <c r="N372" s="13">
        <f t="shared" si="126"/>
        <v>26169.949301337907</v>
      </c>
      <c r="O372" s="13">
        <f t="shared" si="127"/>
        <v>4243285.6450715736</v>
      </c>
      <c r="P372" s="15">
        <f t="shared" si="128"/>
        <v>0.59584624325009983</v>
      </c>
      <c r="Q372" s="7">
        <f t="shared" si="129"/>
        <v>7121443.9851565892</v>
      </c>
      <c r="R372" s="7">
        <f t="shared" si="130"/>
        <v>2878158.3400850161</v>
      </c>
      <c r="S372" s="13">
        <f>IF(Calc!$AD$32="Sim",R372,Q372)</f>
        <v>2878158.3400850161</v>
      </c>
      <c r="T372" s="9">
        <f t="shared" si="131"/>
        <v>368</v>
      </c>
      <c r="U372" s="17">
        <f t="shared" ca="1" si="115"/>
        <v>56705</v>
      </c>
    </row>
    <row r="373" spans="2:21" x14ac:dyDescent="0.2">
      <c r="B373" s="17">
        <f t="shared" ca="1" si="103"/>
        <v>56705</v>
      </c>
      <c r="C373" s="9">
        <f t="shared" si="116"/>
        <v>369</v>
      </c>
      <c r="D373" s="9"/>
      <c r="E373" s="13">
        <f t="shared" si="104"/>
        <v>4483.0227873116701</v>
      </c>
      <c r="F373" s="14">
        <f t="shared" si="118"/>
        <v>893396.36668003048</v>
      </c>
      <c r="G373" s="15">
        <f t="shared" si="119"/>
        <v>0.30799482280490659</v>
      </c>
      <c r="H373" s="13">
        <f t="shared" si="120"/>
        <v>70913.055940174148</v>
      </c>
      <c r="I373" s="13">
        <f t="shared" si="121"/>
        <v>6303443.6972040478</v>
      </c>
      <c r="J373" s="15">
        <f t="shared" si="122"/>
        <v>0.69200517719509347</v>
      </c>
      <c r="K373" s="13">
        <f t="shared" si="123"/>
        <v>2007289.9453296207</v>
      </c>
      <c r="L373" s="13">
        <f t="shared" si="124"/>
        <v>189141001.94489166</v>
      </c>
      <c r="M373" s="15">
        <f t="shared" si="125"/>
        <v>0.69200517719509347</v>
      </c>
      <c r="N373" s="13">
        <f t="shared" si="126"/>
        <v>26447.015520201752</v>
      </c>
      <c r="O373" s="13">
        <f t="shared" si="127"/>
        <v>4296153.7518744245</v>
      </c>
      <c r="P373" s="15">
        <f t="shared" si="128"/>
        <v>0.59695001052390007</v>
      </c>
      <c r="Q373" s="7">
        <f t="shared" si="129"/>
        <v>7196840.0638840757</v>
      </c>
      <c r="R373" s="7">
        <f t="shared" si="130"/>
        <v>2900686.3120096512</v>
      </c>
      <c r="S373" s="13">
        <f>IF(Calc!$AD$32="Sim",R373,Q373)</f>
        <v>2900686.3120096512</v>
      </c>
      <c r="T373" s="9">
        <f t="shared" si="131"/>
        <v>369</v>
      </c>
      <c r="U373" s="17">
        <f t="shared" ca="1" si="115"/>
        <v>56735</v>
      </c>
    </row>
    <row r="374" spans="2:21" x14ac:dyDescent="0.2">
      <c r="B374" s="17">
        <f t="shared" ca="1" si="103"/>
        <v>56735</v>
      </c>
      <c r="C374" s="9">
        <f t="shared" si="116"/>
        <v>370</v>
      </c>
      <c r="D374" s="9"/>
      <c r="E374" s="13">
        <f t="shared" si="104"/>
        <v>4501.287177072094</v>
      </c>
      <c r="F374" s="14">
        <f t="shared" si="118"/>
        <v>897897.65385710262</v>
      </c>
      <c r="G374" s="15">
        <f t="shared" si="119"/>
        <v>0.30714433072388364</v>
      </c>
      <c r="H374" s="13">
        <f t="shared" si="120"/>
        <v>71663.825918793096</v>
      </c>
      <c r="I374" s="13">
        <f t="shared" si="121"/>
        <v>6375107.5231228406</v>
      </c>
      <c r="J374" s="15">
        <f t="shared" si="122"/>
        <v>0.6928556692761163</v>
      </c>
      <c r="K374" s="13">
        <f t="shared" si="123"/>
        <v>2025476.0308888284</v>
      </c>
      <c r="L374" s="13">
        <f t="shared" si="124"/>
        <v>191166477.97578049</v>
      </c>
      <c r="M374" s="15">
        <f t="shared" si="125"/>
        <v>0.6928556692761163</v>
      </c>
      <c r="N374" s="13">
        <f t="shared" si="126"/>
        <v>26726.907793791772</v>
      </c>
      <c r="O374" s="13">
        <f t="shared" si="127"/>
        <v>4349631.4922340093</v>
      </c>
      <c r="P374" s="15">
        <f t="shared" si="128"/>
        <v>0.59805147753794952</v>
      </c>
      <c r="Q374" s="7">
        <f t="shared" si="129"/>
        <v>7273005.1769799404</v>
      </c>
      <c r="R374" s="7">
        <f t="shared" si="130"/>
        <v>2923373.6847459311</v>
      </c>
      <c r="S374" s="13">
        <f>IF(Calc!$AD$32="Sim",R374,Q374)</f>
        <v>2923373.6847459311</v>
      </c>
      <c r="T374" s="9">
        <f t="shared" si="131"/>
        <v>370</v>
      </c>
      <c r="U374" s="17">
        <f t="shared" ca="1" si="115"/>
        <v>56766</v>
      </c>
    </row>
    <row r="375" spans="2:21" x14ac:dyDescent="0.2">
      <c r="B375" s="17">
        <f t="shared" ca="1" si="103"/>
        <v>56766</v>
      </c>
      <c r="C375" s="9">
        <f t="shared" si="116"/>
        <v>371</v>
      </c>
      <c r="D375" s="9"/>
      <c r="E375" s="13">
        <f t="shared" si="104"/>
        <v>4519.6259782172347</v>
      </c>
      <c r="F375" s="14">
        <f t="shared" si="118"/>
        <v>902417.27983531985</v>
      </c>
      <c r="G375" s="15">
        <f t="shared" si="119"/>
        <v>0.30629647850322811</v>
      </c>
      <c r="H375" s="13">
        <f t="shared" si="120"/>
        <v>72422.253695085994</v>
      </c>
      <c r="I375" s="13">
        <f t="shared" si="121"/>
        <v>6447529.7768179262</v>
      </c>
      <c r="J375" s="15">
        <f t="shared" si="122"/>
        <v>0.69370352149677195</v>
      </c>
      <c r="K375" s="13">
        <f t="shared" si="123"/>
        <v>2043804.2511634741</v>
      </c>
      <c r="L375" s="13">
        <f t="shared" si="124"/>
        <v>193210282.22694397</v>
      </c>
      <c r="M375" s="15">
        <f t="shared" si="125"/>
        <v>0.69370352149677195</v>
      </c>
      <c r="N375" s="13">
        <f t="shared" si="126"/>
        <v>27009.654536502505</v>
      </c>
      <c r="O375" s="13">
        <f t="shared" si="127"/>
        <v>4403725.5256544501</v>
      </c>
      <c r="P375" s="15">
        <f t="shared" si="128"/>
        <v>0.59915064580882316</v>
      </c>
      <c r="Q375" s="7">
        <f t="shared" si="129"/>
        <v>7349947.0566532435</v>
      </c>
      <c r="R375" s="7">
        <f t="shared" si="130"/>
        <v>2946221.5309987939</v>
      </c>
      <c r="S375" s="13">
        <f>IF(Calc!$AD$32="Sim",R375,Q375)</f>
        <v>2946221.5309987939</v>
      </c>
      <c r="T375" s="9">
        <f t="shared" si="131"/>
        <v>371</v>
      </c>
      <c r="U375" s="17">
        <f t="shared" ca="1" si="115"/>
        <v>56796</v>
      </c>
    </row>
    <row r="376" spans="2:21" x14ac:dyDescent="0.2">
      <c r="B376" s="17">
        <f t="shared" ca="1" si="103"/>
        <v>56796</v>
      </c>
      <c r="C376" s="9">
        <f>C375+1</f>
        <v>372</v>
      </c>
      <c r="D376" s="9">
        <v>31</v>
      </c>
      <c r="E376" s="13">
        <f t="shared" si="104"/>
        <v>4538.0394939082844</v>
      </c>
      <c r="F376" s="14">
        <f t="shared" si="118"/>
        <v>906955.31932922814</v>
      </c>
      <c r="G376" s="15">
        <f t="shared" si="119"/>
        <v>0.30545125675980078</v>
      </c>
      <c r="H376" s="13">
        <f t="shared" si="120"/>
        <v>73188.416263911582</v>
      </c>
      <c r="I376" s="13">
        <f t="shared" si="121"/>
        <v>6520718.1930818381</v>
      </c>
      <c r="J376" s="15">
        <f t="shared" si="122"/>
        <v>0.69454874324019922</v>
      </c>
      <c r="K376" s="13">
        <f t="shared" si="123"/>
        <v>2062275.6111639962</v>
      </c>
      <c r="L376" s="13">
        <f t="shared" si="124"/>
        <v>195272557.83810797</v>
      </c>
      <c r="M376" s="15">
        <f t="shared" si="125"/>
        <v>0.69454874324019911</v>
      </c>
      <c r="N376" s="13">
        <f t="shared" si="126"/>
        <v>27295.284446783982</v>
      </c>
      <c r="O376" s="13">
        <f t="shared" si="127"/>
        <v>4458442.5819178391</v>
      </c>
      <c r="P376" s="15">
        <f t="shared" si="128"/>
        <v>0.60024751686623401</v>
      </c>
      <c r="Q376" s="7">
        <f t="shared" si="129"/>
        <v>7427673.5124110635</v>
      </c>
      <c r="R376" s="7">
        <f t="shared" si="130"/>
        <v>2969230.9304932244</v>
      </c>
      <c r="S376" s="13">
        <f>IF(Calc!$AD$32="Sim",R376,Q376)</f>
        <v>2969230.9304932244</v>
      </c>
      <c r="T376" s="9">
        <f t="shared" si="131"/>
        <v>372</v>
      </c>
      <c r="U376" s="17">
        <f t="shared" ca="1" si="115"/>
        <v>56827</v>
      </c>
    </row>
    <row r="377" spans="2:21" x14ac:dyDescent="0.2">
      <c r="B377" s="17">
        <f t="shared" ca="1" si="103"/>
        <v>56827</v>
      </c>
      <c r="C377" s="9">
        <f t="shared" si="116"/>
        <v>373</v>
      </c>
      <c r="D377" s="9"/>
      <c r="E377" s="13">
        <f t="shared" si="104"/>
        <v>4556.528028541552</v>
      </c>
      <c r="F377" s="14">
        <f t="shared" si="118"/>
        <v>911511.84735776973</v>
      </c>
      <c r="G377" s="15">
        <f t="shared" si="119"/>
        <v>0.30460865615029326</v>
      </c>
      <c r="H377" s="13">
        <f t="shared" si="120"/>
        <v>73962.391389837474</v>
      </c>
      <c r="I377" s="13">
        <f t="shared" si="121"/>
        <v>6594680.5844716756</v>
      </c>
      <c r="J377" s="15">
        <f t="shared" si="122"/>
        <v>0.6953913438497068</v>
      </c>
      <c r="K377" s="13">
        <f t="shared" si="123"/>
        <v>2080891.122661676</v>
      </c>
      <c r="L377" s="13">
        <f t="shared" si="124"/>
        <v>197353448.96076965</v>
      </c>
      <c r="M377" s="15">
        <f t="shared" si="125"/>
        <v>0.69539134384970669</v>
      </c>
      <c r="N377" s="13">
        <f t="shared" si="126"/>
        <v>27583.826509974784</v>
      </c>
      <c r="O377" s="13">
        <f t="shared" si="127"/>
        <v>4513789.4618099965</v>
      </c>
      <c r="P377" s="15">
        <f t="shared" si="128"/>
        <v>0.60134209225300606</v>
      </c>
      <c r="Q377" s="7">
        <f t="shared" si="129"/>
        <v>7506192.4318294423</v>
      </c>
      <c r="R377" s="7">
        <f t="shared" si="130"/>
        <v>2992402.9700194458</v>
      </c>
      <c r="S377" s="13">
        <f>IF(Calc!$AD$32="Sim",R377,Q377)</f>
        <v>2992402.9700194458</v>
      </c>
      <c r="T377" s="9">
        <f t="shared" si="131"/>
        <v>373</v>
      </c>
      <c r="U377" s="17">
        <f t="shared" ca="1" si="115"/>
        <v>56858</v>
      </c>
    </row>
    <row r="378" spans="2:21" x14ac:dyDescent="0.2">
      <c r="B378" s="17">
        <f t="shared" ca="1" si="103"/>
        <v>56858</v>
      </c>
      <c r="C378" s="9">
        <f t="shared" si="116"/>
        <v>374</v>
      </c>
      <c r="D378" s="9"/>
      <c r="E378" s="13">
        <f t="shared" si="104"/>
        <v>4575.0918877534932</v>
      </c>
      <c r="F378" s="14">
        <f t="shared" si="118"/>
        <v>916086.93924552319</v>
      </c>
      <c r="G378" s="15">
        <f t="shared" si="119"/>
        <v>0.30376866737099961</v>
      </c>
      <c r="H378" s="13">
        <f t="shared" si="120"/>
        <v>74744.25761481699</v>
      </c>
      <c r="I378" s="13">
        <f t="shared" si="121"/>
        <v>6669424.8420864921</v>
      </c>
      <c r="J378" s="15">
        <f t="shared" si="122"/>
        <v>0.69623133262900039</v>
      </c>
      <c r="K378" s="13">
        <f t="shared" si="123"/>
        <v>2099651.8042328665</v>
      </c>
      <c r="L378" s="13">
        <f t="shared" si="124"/>
        <v>199453100.76500252</v>
      </c>
      <c r="M378" s="15">
        <f t="shared" si="125"/>
        <v>0.6962313326290005</v>
      </c>
      <c r="N378" s="13">
        <f t="shared" si="126"/>
        <v>27875.310001163365</v>
      </c>
      <c r="O378" s="13">
        <f t="shared" si="127"/>
        <v>4569773.0378536228</v>
      </c>
      <c r="P378" s="15">
        <f t="shared" si="128"/>
        <v>0.60243437352504814</v>
      </c>
      <c r="Q378" s="7">
        <f t="shared" si="129"/>
        <v>7585511.7813320123</v>
      </c>
      <c r="R378" s="7">
        <f t="shared" si="130"/>
        <v>3015738.7434783895</v>
      </c>
      <c r="S378" s="13">
        <f>IF(Calc!$AD$32="Sim",R378,Q378)</f>
        <v>3015738.7434783895</v>
      </c>
      <c r="T378" s="9">
        <f t="shared" si="131"/>
        <v>374</v>
      </c>
      <c r="U378" s="17">
        <f t="shared" ca="1" si="115"/>
        <v>56888</v>
      </c>
    </row>
    <row r="379" spans="2:21" x14ac:dyDescent="0.2">
      <c r="B379" s="17">
        <f t="shared" ca="1" si="103"/>
        <v>56888</v>
      </c>
      <c r="C379" s="9">
        <f t="shared" si="116"/>
        <v>375</v>
      </c>
      <c r="D379" s="9"/>
      <c r="E379" s="13">
        <f t="shared" si="104"/>
        <v>4593.7313784257667</v>
      </c>
      <c r="F379" s="14">
        <f t="shared" si="118"/>
        <v>920680.67062394891</v>
      </c>
      <c r="G379" s="15">
        <f t="shared" si="119"/>
        <v>0.30293128115758944</v>
      </c>
      <c r="H379" s="13">
        <f t="shared" si="120"/>
        <v>75534.094265942505</v>
      </c>
      <c r="I379" s="13">
        <f t="shared" si="121"/>
        <v>6744958.9363524346</v>
      </c>
      <c r="J379" s="15">
        <f t="shared" si="122"/>
        <v>0.69706871884241051</v>
      </c>
      <c r="K379" s="13">
        <f t="shared" si="123"/>
        <v>2118558.6813035165</v>
      </c>
      <c r="L379" s="13">
        <f t="shared" si="124"/>
        <v>201571659.44630605</v>
      </c>
      <c r="M379" s="15">
        <f t="shared" si="125"/>
        <v>0.69706871884241062</v>
      </c>
      <c r="N379" s="13">
        <f t="shared" si="126"/>
        <v>28169.764488077853</v>
      </c>
      <c r="O379" s="13">
        <f t="shared" si="127"/>
        <v>4626400.2550489157</v>
      </c>
      <c r="P379" s="15">
        <f t="shared" si="128"/>
        <v>0.60352436225132478</v>
      </c>
      <c r="Q379" s="7">
        <f t="shared" si="129"/>
        <v>7665639.6069763806</v>
      </c>
      <c r="R379" s="7">
        <f t="shared" si="130"/>
        <v>3039239.3519274653</v>
      </c>
      <c r="S379" s="13">
        <f>IF(Calc!$AD$32="Sim",R379,Q379)</f>
        <v>3039239.3519274653</v>
      </c>
      <c r="T379" s="9">
        <f t="shared" si="131"/>
        <v>375</v>
      </c>
      <c r="U379" s="17">
        <f t="shared" ca="1" si="115"/>
        <v>56919</v>
      </c>
    </row>
    <row r="380" spans="2:21" x14ac:dyDescent="0.2">
      <c r="B380" s="17">
        <f t="shared" ca="1" si="103"/>
        <v>56919</v>
      </c>
      <c r="C380" s="9">
        <f t="shared" si="116"/>
        <v>376</v>
      </c>
      <c r="D380" s="9"/>
      <c r="E380" s="13">
        <f t="shared" si="104"/>
        <v>4612.4468086903025</v>
      </c>
      <c r="F380" s="14">
        <f t="shared" si="118"/>
        <v>925293.11743263924</v>
      </c>
      <c r="G380" s="15">
        <f t="shared" si="119"/>
        <v>0.30209648828488389</v>
      </c>
      <c r="H380" s="13">
        <f t="shared" si="120"/>
        <v>76331.981463275937</v>
      </c>
      <c r="I380" s="13">
        <f t="shared" si="121"/>
        <v>6821290.9178157104</v>
      </c>
      <c r="J380" s="15">
        <f t="shared" si="122"/>
        <v>0.69790351171511611</v>
      </c>
      <c r="K380" s="13">
        <f t="shared" si="123"/>
        <v>2137612.7861939752</v>
      </c>
      <c r="L380" s="13">
        <f t="shared" si="124"/>
        <v>203709272.23250002</v>
      </c>
      <c r="M380" s="15">
        <f t="shared" si="125"/>
        <v>0.69790351171511622</v>
      </c>
      <c r="N380" s="13">
        <f t="shared" si="126"/>
        <v>28467.219834004663</v>
      </c>
      <c r="O380" s="13">
        <f t="shared" si="127"/>
        <v>4683678.1316217324</v>
      </c>
      <c r="P380" s="15">
        <f t="shared" si="128"/>
        <v>0.60461206001382761</v>
      </c>
      <c r="Q380" s="7">
        <f t="shared" si="129"/>
        <v>7746584.0352483466</v>
      </c>
      <c r="R380" s="7">
        <f t="shared" si="130"/>
        <v>3062905.9036266143</v>
      </c>
      <c r="S380" s="13">
        <f>IF(Calc!$AD$32="Sim",R380,Q380)</f>
        <v>3062905.9036266143</v>
      </c>
      <c r="T380" s="9">
        <f t="shared" si="131"/>
        <v>376</v>
      </c>
      <c r="U380" s="17">
        <f t="shared" ca="1" si="115"/>
        <v>56949</v>
      </c>
    </row>
    <row r="381" spans="2:21" x14ac:dyDescent="0.2">
      <c r="B381" s="17">
        <f t="shared" ca="1" si="103"/>
        <v>56949</v>
      </c>
      <c r="C381" s="9">
        <f t="shared" si="116"/>
        <v>377</v>
      </c>
      <c r="D381" s="9"/>
      <c r="E381" s="13">
        <f t="shared" si="104"/>
        <v>4631.2384879344008</v>
      </c>
      <c r="F381" s="14">
        <f t="shared" si="118"/>
        <v>929924.35592057358</v>
      </c>
      <c r="G381" s="15">
        <f t="shared" si="119"/>
        <v>0.30126427956663276</v>
      </c>
      <c r="H381" s="13">
        <f t="shared" si="120"/>
        <v>77138.000127757376</v>
      </c>
      <c r="I381" s="13">
        <f t="shared" si="121"/>
        <v>6898428.9179434674</v>
      </c>
      <c r="J381" s="15">
        <f t="shared" si="122"/>
        <v>0.69873572043336729</v>
      </c>
      <c r="K381" s="13">
        <f t="shared" si="123"/>
        <v>2156815.1581640877</v>
      </c>
      <c r="L381" s="13">
        <f t="shared" si="124"/>
        <v>205866087.3906641</v>
      </c>
      <c r="M381" s="15">
        <f t="shared" si="125"/>
        <v>0.69873572043336718</v>
      </c>
      <c r="N381" s="13">
        <f t="shared" si="126"/>
        <v>28767.706200736171</v>
      </c>
      <c r="O381" s="13">
        <f t="shared" si="127"/>
        <v>4741613.7597793769</v>
      </c>
      <c r="P381" s="15">
        <f t="shared" si="128"/>
        <v>0.60569746840754657</v>
      </c>
      <c r="Q381" s="7">
        <f t="shared" si="129"/>
        <v>7828353.2738640383</v>
      </c>
      <c r="R381" s="7">
        <f t="shared" si="130"/>
        <v>3086739.5140846614</v>
      </c>
      <c r="S381" s="13">
        <f>IF(Calc!$AD$32="Sim",R381,Q381)</f>
        <v>3086739.5140846614</v>
      </c>
      <c r="T381" s="9">
        <f t="shared" si="131"/>
        <v>377</v>
      </c>
      <c r="U381" s="17">
        <f t="shared" ca="1" si="115"/>
        <v>56980</v>
      </c>
    </row>
    <row r="382" spans="2:21" x14ac:dyDescent="0.2">
      <c r="B382" s="17">
        <f t="shared" ca="1" si="103"/>
        <v>56980</v>
      </c>
      <c r="C382" s="9">
        <f t="shared" si="116"/>
        <v>378</v>
      </c>
      <c r="D382" s="9"/>
      <c r="E382" s="13">
        <f t="shared" si="104"/>
        <v>4650.1067268058423</v>
      </c>
      <c r="F382" s="14">
        <f t="shared" si="118"/>
        <v>934574.46264737938</v>
      </c>
      <c r="G382" s="15">
        <f t="shared" si="119"/>
        <v>0.30043464585529422</v>
      </c>
      <c r="H382" s="13">
        <f t="shared" si="120"/>
        <v>77952.2319891925</v>
      </c>
      <c r="I382" s="13">
        <f t="shared" si="121"/>
        <v>6976381.1499326602</v>
      </c>
      <c r="J382" s="15">
        <f t="shared" si="122"/>
        <v>0.69956535414470578</v>
      </c>
      <c r="K382" s="13">
        <f t="shared" si="123"/>
        <v>2176166.8434585803</v>
      </c>
      <c r="L382" s="13">
        <f t="shared" si="124"/>
        <v>208042254.23412269</v>
      </c>
      <c r="M382" s="15">
        <f t="shared" si="125"/>
        <v>0.69956535414470578</v>
      </c>
      <c r="N382" s="13">
        <f t="shared" si="126"/>
        <v>29071.254051547789</v>
      </c>
      <c r="O382" s="13">
        <f t="shared" si="127"/>
        <v>4800214.3064740766</v>
      </c>
      <c r="P382" s="15">
        <f t="shared" si="128"/>
        <v>0.60678058904043841</v>
      </c>
      <c r="Q382" s="7">
        <f t="shared" si="129"/>
        <v>7910955.6125800367</v>
      </c>
      <c r="R382" s="7">
        <f t="shared" si="130"/>
        <v>3110741.3061059597</v>
      </c>
      <c r="S382" s="13">
        <f>IF(Calc!$AD$32="Sim",R382,Q382)</f>
        <v>3110741.3061059597</v>
      </c>
      <c r="T382" s="9">
        <f t="shared" si="131"/>
        <v>378</v>
      </c>
      <c r="U382" s="17">
        <f t="shared" ca="1" si="115"/>
        <v>57011</v>
      </c>
    </row>
    <row r="383" spans="2:21" x14ac:dyDescent="0.2">
      <c r="B383" s="17">
        <f t="shared" ca="1" si="103"/>
        <v>57011</v>
      </c>
      <c r="C383" s="9">
        <f t="shared" si="116"/>
        <v>379</v>
      </c>
      <c r="D383" s="9"/>
      <c r="E383" s="13">
        <f t="shared" si="104"/>
        <v>4669.051837218025</v>
      </c>
      <c r="F383" s="14">
        <f t="shared" si="118"/>
        <v>939243.51448459737</v>
      </c>
      <c r="G383" s="15">
        <f t="shared" si="119"/>
        <v>0.29960757804181631</v>
      </c>
      <c r="H383" s="13">
        <f t="shared" si="120"/>
        <v>78774.75959431949</v>
      </c>
      <c r="I383" s="13">
        <f t="shared" si="121"/>
        <v>7055155.9095269796</v>
      </c>
      <c r="J383" s="15">
        <f t="shared" si="122"/>
        <v>0.70039242195818363</v>
      </c>
      <c r="K383" s="13">
        <f t="shared" si="123"/>
        <v>2195668.8953527361</v>
      </c>
      <c r="L383" s="13">
        <f t="shared" si="124"/>
        <v>210237923.12947541</v>
      </c>
      <c r="M383" s="15">
        <f t="shared" si="125"/>
        <v>0.70039242195818363</v>
      </c>
      <c r="N383" s="13">
        <f t="shared" si="126"/>
        <v>29377.894154204685</v>
      </c>
      <c r="O383" s="13">
        <f t="shared" si="127"/>
        <v>4859487.0141742406</v>
      </c>
      <c r="P383" s="15">
        <f t="shared" si="128"/>
        <v>0.60786142353339656</v>
      </c>
      <c r="Q383" s="7">
        <f t="shared" si="129"/>
        <v>7994399.4240115741</v>
      </c>
      <c r="R383" s="7">
        <f t="shared" si="130"/>
        <v>3134912.4098373335</v>
      </c>
      <c r="S383" s="13">
        <f>IF(Calc!$AD$32="Sim",R383,Q383)</f>
        <v>3134912.4098373335</v>
      </c>
      <c r="T383" s="9">
        <f t="shared" si="131"/>
        <v>379</v>
      </c>
      <c r="U383" s="17">
        <f t="shared" ca="1" si="115"/>
        <v>57040</v>
      </c>
    </row>
    <row r="384" spans="2:21" x14ac:dyDescent="0.2">
      <c r="B384" s="17">
        <f t="shared" ca="1" si="103"/>
        <v>57040</v>
      </c>
      <c r="C384" s="9">
        <f t="shared" si="116"/>
        <v>380</v>
      </c>
      <c r="D384" s="9"/>
      <c r="E384" s="13">
        <f t="shared" si="104"/>
        <v>4688.0741323551219</v>
      </c>
      <c r="F384" s="14">
        <f t="shared" si="118"/>
        <v>943931.58861695253</v>
      </c>
      <c r="G384" s="15">
        <f t="shared" si="119"/>
        <v>0.29878306705542057</v>
      </c>
      <c r="H384" s="13">
        <f t="shared" si="120"/>
        <v>79605.666314956397</v>
      </c>
      <c r="I384" s="13">
        <f t="shared" si="121"/>
        <v>7134761.5758419363</v>
      </c>
      <c r="J384" s="15">
        <f t="shared" si="122"/>
        <v>0.70121693294457943</v>
      </c>
      <c r="K384" s="13">
        <f t="shared" si="123"/>
        <v>2215322.374198366</v>
      </c>
      <c r="L384" s="13">
        <f t="shared" si="124"/>
        <v>212453245.50367379</v>
      </c>
      <c r="M384" s="15">
        <f t="shared" si="125"/>
        <v>0.70121693294457932</v>
      </c>
      <c r="N384" s="13">
        <f t="shared" si="126"/>
        <v>29687.657583998447</v>
      </c>
      <c r="O384" s="13">
        <f t="shared" si="127"/>
        <v>4919439.2016435675</v>
      </c>
      <c r="P384" s="15">
        <f t="shared" si="128"/>
        <v>0.60893997352021889</v>
      </c>
      <c r="Q384" s="7">
        <f t="shared" si="129"/>
        <v>8078693.1644588858</v>
      </c>
      <c r="R384" s="7">
        <f t="shared" si="130"/>
        <v>3159253.9628153187</v>
      </c>
      <c r="S384" s="13">
        <f>IF(Calc!$AD$32="Sim",R384,Q384)</f>
        <v>3159253.9628153187</v>
      </c>
      <c r="T384" s="9">
        <f t="shared" si="131"/>
        <v>380</v>
      </c>
      <c r="U384" s="17">
        <f t="shared" ca="1" si="115"/>
        <v>57071</v>
      </c>
    </row>
    <row r="385" spans="2:21" x14ac:dyDescent="0.2">
      <c r="B385" s="17">
        <f t="shared" ca="1" si="103"/>
        <v>57071</v>
      </c>
      <c r="C385" s="9">
        <f t="shared" si="116"/>
        <v>381</v>
      </c>
      <c r="D385" s="9"/>
      <c r="E385" s="13">
        <f t="shared" si="104"/>
        <v>4707.1739266772565</v>
      </c>
      <c r="F385" s="14">
        <f t="shared" si="118"/>
        <v>948638.76254362974</v>
      </c>
      <c r="G385" s="15">
        <f t="shared" si="119"/>
        <v>0.29796110386338709</v>
      </c>
      <c r="H385" s="13">
        <f t="shared" si="120"/>
        <v>80445.036356229757</v>
      </c>
      <c r="I385" s="13">
        <f t="shared" si="121"/>
        <v>7215206.6121981656</v>
      </c>
      <c r="J385" s="15">
        <f t="shared" si="122"/>
        <v>0.70203889613661286</v>
      </c>
      <c r="K385" s="13">
        <f t="shared" si="123"/>
        <v>2235128.3474700768</v>
      </c>
      <c r="L385" s="13">
        <f t="shared" si="124"/>
        <v>214688373.85114387</v>
      </c>
      <c r="M385" s="15">
        <f t="shared" si="125"/>
        <v>0.70203889613661286</v>
      </c>
      <c r="N385" s="13">
        <f t="shared" si="126"/>
        <v>30000.575726814051</v>
      </c>
      <c r="O385" s="13">
        <f t="shared" si="127"/>
        <v>4980078.2647280861</v>
      </c>
      <c r="P385" s="15">
        <f t="shared" si="128"/>
        <v>0.61001624064757554</v>
      </c>
      <c r="Q385" s="7">
        <f t="shared" si="129"/>
        <v>8163845.3747417927</v>
      </c>
      <c r="R385" s="7">
        <f t="shared" si="130"/>
        <v>3183767.1100137066</v>
      </c>
      <c r="S385" s="13">
        <f>IF(Calc!$AD$32="Sim",R385,Q385)</f>
        <v>3183767.1100137066</v>
      </c>
      <c r="T385" s="9">
        <f t="shared" si="131"/>
        <v>381</v>
      </c>
      <c r="U385" s="17">
        <f t="shared" ca="1" si="115"/>
        <v>57101</v>
      </c>
    </row>
    <row r="386" spans="2:21" x14ac:dyDescent="0.2">
      <c r="B386" s="17">
        <f t="shared" ca="1" si="103"/>
        <v>57101</v>
      </c>
      <c r="C386" s="9">
        <f t="shared" si="116"/>
        <v>382</v>
      </c>
      <c r="D386" s="9"/>
      <c r="E386" s="13">
        <f t="shared" si="104"/>
        <v>4726.3515359257017</v>
      </c>
      <c r="F386" s="14">
        <f t="shared" si="118"/>
        <v>953365.1140795555</v>
      </c>
      <c r="G386" s="15">
        <f t="shared" si="119"/>
        <v>0.29714167947084197</v>
      </c>
      <c r="H386" s="13">
        <f t="shared" si="120"/>
        <v>81292.954764884969</v>
      </c>
      <c r="I386" s="13">
        <f t="shared" si="121"/>
        <v>7296499.5669630505</v>
      </c>
      <c r="J386" s="15">
        <f t="shared" si="122"/>
        <v>0.70285832052915809</v>
      </c>
      <c r="K386" s="13">
        <f t="shared" si="123"/>
        <v>2255087.8898118343</v>
      </c>
      <c r="L386" s="13">
        <f t="shared" si="124"/>
        <v>216943461.74095571</v>
      </c>
      <c r="M386" s="15">
        <f t="shared" si="125"/>
        <v>0.70285832052915798</v>
      </c>
      <c r="N386" s="13">
        <f t="shared" si="126"/>
        <v>30316.680282227324</v>
      </c>
      <c r="O386" s="13">
        <f t="shared" si="127"/>
        <v>5041411.6771512134</v>
      </c>
      <c r="P386" s="15">
        <f t="shared" si="128"/>
        <v>0.61109022657497558</v>
      </c>
      <c r="Q386" s="7">
        <f t="shared" si="129"/>
        <v>8249864.6810426032</v>
      </c>
      <c r="R386" s="7">
        <f t="shared" si="130"/>
        <v>3208453.0038913898</v>
      </c>
      <c r="S386" s="13">
        <f>IF(Calc!$AD$32="Sim",R386,Q386)</f>
        <v>3208453.0038913898</v>
      </c>
      <c r="T386" s="9">
        <f t="shared" si="131"/>
        <v>382</v>
      </c>
      <c r="U386" s="17">
        <f t="shared" ca="1" si="115"/>
        <v>57132</v>
      </c>
    </row>
    <row r="387" spans="2:21" x14ac:dyDescent="0.2">
      <c r="B387" s="17">
        <f t="shared" ca="1" si="103"/>
        <v>57132</v>
      </c>
      <c r="C387" s="9">
        <f t="shared" si="116"/>
        <v>383</v>
      </c>
      <c r="D387" s="9"/>
      <c r="E387" s="13">
        <f t="shared" si="104"/>
        <v>4745.6072771280997</v>
      </c>
      <c r="F387" s="14">
        <f t="shared" si="118"/>
        <v>958110.72135668364</v>
      </c>
      <c r="G387" s="15">
        <f t="shared" si="119"/>
        <v>0.29632478492054659</v>
      </c>
      <c r="H387" s="13">
        <f t="shared" si="120"/>
        <v>82149.507437679771</v>
      </c>
      <c r="I387" s="13">
        <f t="shared" si="121"/>
        <v>7378649.0744007304</v>
      </c>
      <c r="J387" s="15">
        <f t="shared" si="122"/>
        <v>0.70367521507945341</v>
      </c>
      <c r="K387" s="13">
        <f t="shared" si="123"/>
        <v>2275202.083083827</v>
      </c>
      <c r="L387" s="13">
        <f t="shared" si="124"/>
        <v>219218663.82403955</v>
      </c>
      <c r="M387" s="15">
        <f t="shared" si="125"/>
        <v>0.70367521507945341</v>
      </c>
      <c r="N387" s="13">
        <f t="shared" si="126"/>
        <v>30636.003266633339</v>
      </c>
      <c r="O387" s="13">
        <f t="shared" si="127"/>
        <v>5103446.9913169006</v>
      </c>
      <c r="P387" s="15">
        <f t="shared" si="128"/>
        <v>0.61216193297473342</v>
      </c>
      <c r="Q387" s="7">
        <f t="shared" si="129"/>
        <v>8336759.795757411</v>
      </c>
      <c r="R387" s="7">
        <f t="shared" si="130"/>
        <v>3233312.8044405105</v>
      </c>
      <c r="S387" s="13">
        <f>IF(Calc!$AD$32="Sim",R387,Q387)</f>
        <v>3233312.8044405105</v>
      </c>
      <c r="T387" s="9">
        <f t="shared" si="131"/>
        <v>383</v>
      </c>
      <c r="U387" s="17">
        <f t="shared" ca="1" si="115"/>
        <v>57162</v>
      </c>
    </row>
    <row r="388" spans="2:21" x14ac:dyDescent="0.2">
      <c r="B388" s="17">
        <f t="shared" ca="1" si="103"/>
        <v>57162</v>
      </c>
      <c r="C388" s="9">
        <f>C387+1</f>
        <v>384</v>
      </c>
      <c r="D388" s="9">
        <v>32</v>
      </c>
      <c r="E388" s="13">
        <f t="shared" si="104"/>
        <v>4764.9414686037017</v>
      </c>
      <c r="F388" s="14">
        <f t="shared" si="118"/>
        <v>962875.66282528732</v>
      </c>
      <c r="G388" s="15">
        <f t="shared" si="119"/>
        <v>0.29551041129268829</v>
      </c>
      <c r="H388" s="13">
        <f t="shared" si="120"/>
        <v>83014.781129861105</v>
      </c>
      <c r="I388" s="13">
        <f t="shared" si="121"/>
        <v>7461663.8555305917</v>
      </c>
      <c r="J388" s="15">
        <f t="shared" si="122"/>
        <v>0.70448958870731171</v>
      </c>
      <c r="K388" s="13">
        <f t="shared" si="123"/>
        <v>2295472.0164096318</v>
      </c>
      <c r="L388" s="13">
        <f t="shared" si="124"/>
        <v>221514135.84044918</v>
      </c>
      <c r="M388" s="15">
        <f t="shared" si="125"/>
        <v>0.70448958870731171</v>
      </c>
      <c r="N388" s="13">
        <f t="shared" si="126"/>
        <v>30958.577016405918</v>
      </c>
      <c r="O388" s="13">
        <f t="shared" si="127"/>
        <v>5166191.8391209571</v>
      </c>
      <c r="P388" s="15">
        <f t="shared" si="128"/>
        <v>0.61323136153193392</v>
      </c>
      <c r="Q388" s="7">
        <f t="shared" si="129"/>
        <v>8424539.5183558762</v>
      </c>
      <c r="R388" s="7">
        <f t="shared" si="130"/>
        <v>3258347.6792349191</v>
      </c>
      <c r="S388" s="13">
        <f>IF(Calc!$AD$32="Sim",R388,Q388)</f>
        <v>3258347.6792349191</v>
      </c>
      <c r="T388" s="9">
        <f t="shared" si="131"/>
        <v>384</v>
      </c>
      <c r="U388" s="17">
        <f t="shared" ca="1" si="115"/>
        <v>57193</v>
      </c>
    </row>
    <row r="389" spans="2:21" x14ac:dyDescent="0.2">
      <c r="B389" s="17">
        <f t="shared" ca="1" si="103"/>
        <v>57193</v>
      </c>
      <c r="C389" s="9">
        <f t="shared" si="116"/>
        <v>385</v>
      </c>
      <c r="D389" s="9"/>
      <c r="E389" s="13">
        <f t="shared" si="104"/>
        <v>4784.3544299686328</v>
      </c>
      <c r="F389" s="14">
        <f t="shared" si="118"/>
        <v>967660.01725525595</v>
      </c>
      <c r="G389" s="15">
        <f t="shared" si="119"/>
        <v>0.29469854970467341</v>
      </c>
      <c r="H389" s="13">
        <f t="shared" si="120"/>
        <v>83888.863463726593</v>
      </c>
      <c r="I389" s="13">
        <f t="shared" si="121"/>
        <v>7545552.7189943185</v>
      </c>
      <c r="J389" s="15">
        <f t="shared" si="122"/>
        <v>0.70530145029532654</v>
      </c>
      <c r="K389" s="13">
        <f t="shared" si="123"/>
        <v>2315898.7862236826</v>
      </c>
      <c r="L389" s="13">
        <f t="shared" si="124"/>
        <v>223830034.62667286</v>
      </c>
      <c r="M389" s="15">
        <f t="shared" si="125"/>
        <v>0.70530145029532654</v>
      </c>
      <c r="N389" s="13">
        <f t="shared" si="126"/>
        <v>31284.434191088651</v>
      </c>
      <c r="O389" s="13">
        <f t="shared" si="127"/>
        <v>5229653.9327706313</v>
      </c>
      <c r="P389" s="15">
        <f t="shared" si="128"/>
        <v>0.61429851394439783</v>
      </c>
      <c r="Q389" s="7">
        <f t="shared" si="129"/>
        <v>8513212.7362495698</v>
      </c>
      <c r="R389" s="7">
        <f t="shared" si="130"/>
        <v>3283558.8034789385</v>
      </c>
      <c r="S389" s="13">
        <f>IF(Calc!$AD$32="Sim",R389,Q389)</f>
        <v>3283558.8034789385</v>
      </c>
      <c r="T389" s="9">
        <f t="shared" si="131"/>
        <v>385</v>
      </c>
      <c r="U389" s="17">
        <f t="shared" ca="1" si="115"/>
        <v>57224</v>
      </c>
    </row>
    <row r="390" spans="2:21" x14ac:dyDescent="0.2">
      <c r="B390" s="17">
        <f t="shared" ref="B390:B453" ca="1" si="132">DATE(YEAR(B389),MONTH(B389)+1,1)</f>
        <v>57224</v>
      </c>
      <c r="C390" s="9">
        <f t="shared" si="116"/>
        <v>386</v>
      </c>
      <c r="D390" s="9"/>
      <c r="E390" s="13">
        <f t="shared" ref="E390:E453" si="133">IF($AE$33,IF($AE$34,$E389*(1+Inflação)*(1+Crescimento_Salário),$E389*(1+Inflação)),IF($AE$34,$E389*(1+Crescimento_Salário),$E389))</f>
        <v>4803.8464821411717</v>
      </c>
      <c r="F390" s="14">
        <f t="shared" si="118"/>
        <v>972463.86373739713</v>
      </c>
      <c r="G390" s="15">
        <f t="shared" si="119"/>
        <v>0.29388919131092189</v>
      </c>
      <c r="H390" s="13">
        <f t="shared" si="120"/>
        <v>84771.842937271169</v>
      </c>
      <c r="I390" s="13">
        <f t="shared" si="121"/>
        <v>7630324.5619315896</v>
      </c>
      <c r="J390" s="15">
        <f t="shared" si="122"/>
        <v>0.70611080868907816</v>
      </c>
      <c r="K390" s="13">
        <f t="shared" si="123"/>
        <v>2336483.4963190435</v>
      </c>
      <c r="L390" s="13">
        <f t="shared" si="124"/>
        <v>226166518.12299192</v>
      </c>
      <c r="M390" s="15">
        <f t="shared" si="125"/>
        <v>0.70611080868907816</v>
      </c>
      <c r="N390" s="13">
        <f t="shared" si="126"/>
        <v>31613.607776617719</v>
      </c>
      <c r="O390" s="13">
        <f t="shared" si="127"/>
        <v>5293841.0656125424</v>
      </c>
      <c r="P390" s="15">
        <f t="shared" si="128"/>
        <v>0.61536339192264566</v>
      </c>
      <c r="Q390" s="7">
        <f t="shared" si="129"/>
        <v>8602788.4256689828</v>
      </c>
      <c r="R390" s="7">
        <f t="shared" si="130"/>
        <v>3308947.3600564403</v>
      </c>
      <c r="S390" s="13">
        <f>IF(Calc!$AD$32="Sim",R390,Q390)</f>
        <v>3308947.3600564403</v>
      </c>
      <c r="T390" s="9">
        <f t="shared" si="131"/>
        <v>386</v>
      </c>
      <c r="U390" s="17">
        <f t="shared" ref="U390:U453" ca="1" si="134">DATE(YEAR(U389),MONTH(U389)+1,1)</f>
        <v>57254</v>
      </c>
    </row>
    <row r="391" spans="2:21" x14ac:dyDescent="0.2">
      <c r="B391" s="17">
        <f t="shared" ca="1" si="132"/>
        <v>57254</v>
      </c>
      <c r="C391" s="9">
        <f t="shared" ref="C391:C454" si="135">C390+1</f>
        <v>387</v>
      </c>
      <c r="D391" s="9"/>
      <c r="E391" s="13">
        <f t="shared" si="133"/>
        <v>4823.4179473470585</v>
      </c>
      <c r="F391" s="14">
        <f t="shared" si="118"/>
        <v>977287.28168474417</v>
      </c>
      <c r="G391" s="15">
        <f t="shared" si="119"/>
        <v>0.29308232730266337</v>
      </c>
      <c r="H391" s="13">
        <f t="shared" si="120"/>
        <v>85663.808932920118</v>
      </c>
      <c r="I391" s="13">
        <f t="shared" si="121"/>
        <v>7715988.3708645096</v>
      </c>
      <c r="J391" s="15">
        <f t="shared" si="122"/>
        <v>0.70691767269733663</v>
      </c>
      <c r="K391" s="13">
        <f t="shared" si="123"/>
        <v>2357227.2578954906</v>
      </c>
      <c r="L391" s="13">
        <f t="shared" si="124"/>
        <v>228523745.38088742</v>
      </c>
      <c r="M391" s="15">
        <f t="shared" si="125"/>
        <v>0.70691767269733663</v>
      </c>
      <c r="N391" s="13">
        <f t="shared" si="126"/>
        <v>31946.131088576789</v>
      </c>
      <c r="O391" s="13">
        <f t="shared" si="127"/>
        <v>5358761.1129690148</v>
      </c>
      <c r="P391" s="15">
        <f t="shared" si="128"/>
        <v>0.61642599718986146</v>
      </c>
      <c r="Q391" s="7">
        <f t="shared" si="129"/>
        <v>8693275.6525492501</v>
      </c>
      <c r="R391" s="7">
        <f t="shared" si="130"/>
        <v>3334514.5395802348</v>
      </c>
      <c r="S391" s="13">
        <f>IF(Calc!$AD$32="Sim",R391,Q391)</f>
        <v>3334514.5395802348</v>
      </c>
      <c r="T391" s="9">
        <f t="shared" si="131"/>
        <v>387</v>
      </c>
      <c r="U391" s="17">
        <f t="shared" ca="1" si="134"/>
        <v>57285</v>
      </c>
    </row>
    <row r="392" spans="2:21" x14ac:dyDescent="0.2">
      <c r="B392" s="17">
        <f t="shared" ca="1" si="132"/>
        <v>57285</v>
      </c>
      <c r="C392" s="9">
        <f t="shared" si="135"/>
        <v>388</v>
      </c>
      <c r="D392" s="9"/>
      <c r="E392" s="13">
        <f t="shared" si="133"/>
        <v>4843.0691491248217</v>
      </c>
      <c r="F392" s="14">
        <f t="shared" si="118"/>
        <v>982130.35083386896</v>
      </c>
      <c r="G392" s="15">
        <f t="shared" si="119"/>
        <v>0.29227794890773562</v>
      </c>
      <c r="H392" s="13">
        <f t="shared" si="120"/>
        <v>86564.851726348832</v>
      </c>
      <c r="I392" s="13">
        <f t="shared" si="121"/>
        <v>7802553.2225908581</v>
      </c>
      <c r="J392" s="15">
        <f t="shared" si="122"/>
        <v>0.70772205109226438</v>
      </c>
      <c r="K392" s="13">
        <f t="shared" si="123"/>
        <v>2378131.189607902</v>
      </c>
      <c r="L392" s="13">
        <f t="shared" si="124"/>
        <v>230901876.57049531</v>
      </c>
      <c r="M392" s="15">
        <f t="shared" si="125"/>
        <v>0.70772205109226438</v>
      </c>
      <c r="N392" s="13">
        <f t="shared" si="126"/>
        <v>32282.037775484372</v>
      </c>
      <c r="O392" s="13">
        <f t="shared" si="127"/>
        <v>5424422.0329829538</v>
      </c>
      <c r="P392" s="15">
        <f t="shared" si="128"/>
        <v>0.61748633148185583</v>
      </c>
      <c r="Q392" s="7">
        <f t="shared" si="129"/>
        <v>8784683.5734247249</v>
      </c>
      <c r="R392" s="7">
        <f t="shared" si="130"/>
        <v>3360261.540441771</v>
      </c>
      <c r="S392" s="13">
        <f>IF(Calc!$AD$32="Sim",R392,Q392)</f>
        <v>3360261.540441771</v>
      </c>
      <c r="T392" s="9">
        <f t="shared" si="131"/>
        <v>388</v>
      </c>
      <c r="U392" s="17">
        <f t="shared" ca="1" si="134"/>
        <v>57315</v>
      </c>
    </row>
    <row r="393" spans="2:21" x14ac:dyDescent="0.2">
      <c r="B393" s="17">
        <f t="shared" ca="1" si="132"/>
        <v>57315</v>
      </c>
      <c r="C393" s="9">
        <f t="shared" si="135"/>
        <v>389</v>
      </c>
      <c r="D393" s="9"/>
      <c r="E393" s="13">
        <f t="shared" si="133"/>
        <v>4862.8004123311248</v>
      </c>
      <c r="F393" s="14">
        <f t="shared" si="118"/>
        <v>986993.15124620008</v>
      </c>
      <c r="G393" s="15">
        <f t="shared" si="119"/>
        <v>0.29147604739038413</v>
      </c>
      <c r="H393" s="13">
        <f t="shared" si="120"/>
        <v>87475.062495390652</v>
      </c>
      <c r="I393" s="13">
        <f t="shared" si="121"/>
        <v>7890028.285086249</v>
      </c>
      <c r="J393" s="15">
        <f t="shared" si="122"/>
        <v>0.70852395260961587</v>
      </c>
      <c r="K393" s="13">
        <f t="shared" si="123"/>
        <v>2399196.4176149601</v>
      </c>
      <c r="L393" s="13">
        <f t="shared" si="124"/>
        <v>233301072.98811027</v>
      </c>
      <c r="M393" s="15">
        <f t="shared" si="125"/>
        <v>0.70852395260961576</v>
      </c>
      <c r="N393" s="13">
        <f t="shared" si="126"/>
        <v>32621.361822113911</v>
      </c>
      <c r="O393" s="13">
        <f t="shared" si="127"/>
        <v>5490831.8674712852</v>
      </c>
      <c r="P393" s="15">
        <f t="shared" si="128"/>
        <v>0.61854439654702809</v>
      </c>
      <c r="Q393" s="7">
        <f t="shared" si="129"/>
        <v>8877021.4363324456</v>
      </c>
      <c r="R393" s="7">
        <f t="shared" si="130"/>
        <v>3386189.5688611604</v>
      </c>
      <c r="S393" s="13">
        <f>IF(Calc!$AD$32="Sim",R393,Q393)</f>
        <v>3386189.5688611604</v>
      </c>
      <c r="T393" s="9">
        <f t="shared" si="131"/>
        <v>389</v>
      </c>
      <c r="U393" s="17">
        <f t="shared" ca="1" si="134"/>
        <v>57346</v>
      </c>
    </row>
    <row r="394" spans="2:21" x14ac:dyDescent="0.2">
      <c r="B394" s="17">
        <f t="shared" ca="1" si="132"/>
        <v>57346</v>
      </c>
      <c r="C394" s="9">
        <f t="shared" si="135"/>
        <v>390</v>
      </c>
      <c r="D394" s="9"/>
      <c r="E394" s="13">
        <f t="shared" si="133"/>
        <v>4882.6120631461381</v>
      </c>
      <c r="F394" s="14">
        <f t="shared" si="118"/>
        <v>991875.76330934628</v>
      </c>
      <c r="G394" s="15">
        <f t="shared" si="119"/>
        <v>0.29067661405106388</v>
      </c>
      <c r="H394" s="13">
        <f t="shared" si="120"/>
        <v>88394.533329033293</v>
      </c>
      <c r="I394" s="13">
        <f t="shared" si="121"/>
        <v>7978422.8184152823</v>
      </c>
      <c r="J394" s="15">
        <f t="shared" si="122"/>
        <v>0.70932338594893607</v>
      </c>
      <c r="K394" s="13">
        <f t="shared" si="123"/>
        <v>2420424.0756281652</v>
      </c>
      <c r="L394" s="13">
        <f t="shared" si="124"/>
        <v>235721497.06373844</v>
      </c>
      <c r="M394" s="15">
        <f t="shared" si="125"/>
        <v>0.70932338594893618</v>
      </c>
      <c r="N394" s="13">
        <f t="shared" si="126"/>
        <v>32964.137552847009</v>
      </c>
      <c r="O394" s="13">
        <f t="shared" si="127"/>
        <v>5557998.7427871134</v>
      </c>
      <c r="P394" s="15">
        <f t="shared" si="128"/>
        <v>0.61960019414632861</v>
      </c>
      <c r="Q394" s="7">
        <f t="shared" si="129"/>
        <v>8970298.5817246251</v>
      </c>
      <c r="R394" s="7">
        <f t="shared" si="130"/>
        <v>3412299.8389375112</v>
      </c>
      <c r="S394" s="13">
        <f>IF(Calc!$AD$32="Sim",R394,Q394)</f>
        <v>3412299.8389375112</v>
      </c>
      <c r="T394" s="9">
        <f t="shared" si="131"/>
        <v>390</v>
      </c>
      <c r="U394" s="17">
        <f t="shared" ca="1" si="134"/>
        <v>57377</v>
      </c>
    </row>
    <row r="395" spans="2:21" x14ac:dyDescent="0.2">
      <c r="B395" s="17">
        <f t="shared" ca="1" si="132"/>
        <v>57377</v>
      </c>
      <c r="C395" s="9">
        <f t="shared" si="135"/>
        <v>391</v>
      </c>
      <c r="D395" s="9"/>
      <c r="E395" s="13">
        <f t="shared" si="133"/>
        <v>4902.5044290789301</v>
      </c>
      <c r="F395" s="14">
        <f t="shared" si="118"/>
        <v>996778.26773842517</v>
      </c>
      <c r="G395" s="15">
        <f t="shared" si="119"/>
        <v>0.28987964022624196</v>
      </c>
      <c r="H395" s="13">
        <f t="shared" si="120"/>
        <v>89323.357236505195</v>
      </c>
      <c r="I395" s="13">
        <f t="shared" si="121"/>
        <v>8067746.1756517878</v>
      </c>
      <c r="J395" s="15">
        <f t="shared" si="122"/>
        <v>0.71012035977375798</v>
      </c>
      <c r="K395" s="13">
        <f t="shared" si="123"/>
        <v>2441815.3049611649</v>
      </c>
      <c r="L395" s="13">
        <f t="shared" si="124"/>
        <v>238163312.36869961</v>
      </c>
      <c r="M395" s="15">
        <f t="shared" si="125"/>
        <v>0.71012035977375809</v>
      </c>
      <c r="N395" s="13">
        <f t="shared" si="126"/>
        <v>33310.399635059963</v>
      </c>
      <c r="O395" s="13">
        <f t="shared" si="127"/>
        <v>5625930.8706906196</v>
      </c>
      <c r="P395" s="15">
        <f t="shared" si="128"/>
        <v>0.62065372605321956</v>
      </c>
      <c r="Q395" s="7">
        <f t="shared" si="129"/>
        <v>9064524.4433902092</v>
      </c>
      <c r="R395" s="7">
        <f t="shared" si="130"/>
        <v>3438593.5726995901</v>
      </c>
      <c r="S395" s="13">
        <f>IF(Calc!$AD$32="Sim",R395,Q395)</f>
        <v>3438593.5726995901</v>
      </c>
      <c r="T395" s="9">
        <f t="shared" si="131"/>
        <v>391</v>
      </c>
      <c r="U395" s="17">
        <f t="shared" ca="1" si="134"/>
        <v>57405</v>
      </c>
    </row>
    <row r="396" spans="2:21" x14ac:dyDescent="0.2">
      <c r="B396" s="17">
        <f t="shared" ca="1" si="132"/>
        <v>57405</v>
      </c>
      <c r="C396" s="9">
        <f t="shared" si="135"/>
        <v>392</v>
      </c>
      <c r="D396" s="9"/>
      <c r="E396" s="13">
        <f t="shared" si="133"/>
        <v>4922.4778389728817</v>
      </c>
      <c r="F396" s="14">
        <f t="shared" si="118"/>
        <v>1001700.7455773981</v>
      </c>
      <c r="G396" s="15">
        <f t="shared" si="119"/>
        <v>0.2890851172882033</v>
      </c>
      <c r="H396" s="13">
        <f t="shared" si="120"/>
        <v>90261.628156452018</v>
      </c>
      <c r="I396" s="13">
        <f t="shared" si="121"/>
        <v>8158007.8038082402</v>
      </c>
      <c r="J396" s="15">
        <f t="shared" si="122"/>
        <v>0.7109148827117967</v>
      </c>
      <c r="K396" s="13">
        <f t="shared" si="123"/>
        <v>2463371.2545794034</v>
      </c>
      <c r="L396" s="13">
        <f t="shared" si="124"/>
        <v>240626683.62327901</v>
      </c>
      <c r="M396" s="15">
        <f t="shared" si="125"/>
        <v>0.7109148827117967</v>
      </c>
      <c r="N396" s="13">
        <f t="shared" si="126"/>
        <v>33660.183082544121</v>
      </c>
      <c r="O396" s="13">
        <f t="shared" si="127"/>
        <v>5694636.5492288321</v>
      </c>
      <c r="P396" s="15">
        <f t="shared" si="128"/>
        <v>0.62170499405363577</v>
      </c>
      <c r="Q396" s="7">
        <f t="shared" si="129"/>
        <v>9159708.5493856333</v>
      </c>
      <c r="R396" s="7">
        <f t="shared" si="130"/>
        <v>3465072.0001568017</v>
      </c>
      <c r="S396" s="13">
        <f>IF(Calc!$AD$32="Sim",R396,Q396)</f>
        <v>3465072.0001568017</v>
      </c>
      <c r="T396" s="9">
        <f t="shared" si="131"/>
        <v>392</v>
      </c>
      <c r="U396" s="17">
        <f t="shared" ca="1" si="134"/>
        <v>57436</v>
      </c>
    </row>
    <row r="397" spans="2:21" x14ac:dyDescent="0.2">
      <c r="B397" s="17">
        <f t="shared" ca="1" si="132"/>
        <v>57436</v>
      </c>
      <c r="C397" s="9">
        <f t="shared" si="135"/>
        <v>393</v>
      </c>
      <c r="D397" s="9"/>
      <c r="E397" s="13">
        <f t="shared" si="133"/>
        <v>4942.5326230111232</v>
      </c>
      <c r="F397" s="14">
        <f t="shared" si="118"/>
        <v>1006643.2782004093</v>
      </c>
      <c r="G397" s="15">
        <f t="shared" si="119"/>
        <v>0.28829303664485634</v>
      </c>
      <c r="H397" s="13">
        <f t="shared" si="120"/>
        <v>91209.4409662049</v>
      </c>
      <c r="I397" s="13">
        <f t="shared" si="121"/>
        <v>8249217.244774445</v>
      </c>
      <c r="J397" s="15">
        <f t="shared" si="122"/>
        <v>0.71170696335514361</v>
      </c>
      <c r="K397" s="13">
        <f t="shared" si="123"/>
        <v>2485093.0811500847</v>
      </c>
      <c r="L397" s="13">
        <f t="shared" si="124"/>
        <v>243111776.70442909</v>
      </c>
      <c r="M397" s="15">
        <f t="shared" si="125"/>
        <v>0.71170696335514361</v>
      </c>
      <c r="N397" s="13">
        <f t="shared" si="126"/>
        <v>34013.523258960333</v>
      </c>
      <c r="O397" s="13">
        <f t="shared" si="127"/>
        <v>5764124.1636243565</v>
      </c>
      <c r="P397" s="15">
        <f t="shared" si="128"/>
        <v>0.62275399994594516</v>
      </c>
      <c r="Q397" s="7">
        <f t="shared" si="129"/>
        <v>9255860.5229748506</v>
      </c>
      <c r="R397" s="7">
        <f t="shared" si="130"/>
        <v>3491736.3593504941</v>
      </c>
      <c r="S397" s="13">
        <f>IF(Calc!$AD$32="Sim",R397,Q397)</f>
        <v>3491736.3593504941</v>
      </c>
      <c r="T397" s="9">
        <f t="shared" si="131"/>
        <v>393</v>
      </c>
      <c r="U397" s="17">
        <f t="shared" ca="1" si="134"/>
        <v>57466</v>
      </c>
    </row>
    <row r="398" spans="2:21" x14ac:dyDescent="0.2">
      <c r="B398" s="17">
        <f t="shared" ca="1" si="132"/>
        <v>57466</v>
      </c>
      <c r="C398" s="9">
        <f t="shared" si="135"/>
        <v>394</v>
      </c>
      <c r="D398" s="9"/>
      <c r="E398" s="13">
        <f t="shared" si="133"/>
        <v>4962.669112721991</v>
      </c>
      <c r="F398" s="14">
        <f t="shared" si="118"/>
        <v>1011605.9473131313</v>
      </c>
      <c r="G398" s="15">
        <f t="shared" si="119"/>
        <v>0.28750338973954165</v>
      </c>
      <c r="H398" s="13">
        <f t="shared" si="120"/>
        <v>92166.891491140865</v>
      </c>
      <c r="I398" s="13">
        <f t="shared" si="121"/>
        <v>8341384.1362655861</v>
      </c>
      <c r="J398" s="15">
        <f t="shared" si="122"/>
        <v>0.71249661026045841</v>
      </c>
      <c r="K398" s="13">
        <f t="shared" si="123"/>
        <v>2506981.9490924622</v>
      </c>
      <c r="L398" s="13">
        <f t="shared" si="124"/>
        <v>245618758.65352154</v>
      </c>
      <c r="M398" s="15">
        <f t="shared" si="125"/>
        <v>0.71249661026045841</v>
      </c>
      <c r="N398" s="13">
        <f t="shared" si="126"/>
        <v>34370.455881327711</v>
      </c>
      <c r="O398" s="13">
        <f t="shared" si="127"/>
        <v>5834402.1871731197</v>
      </c>
      <c r="P398" s="15">
        <f t="shared" si="128"/>
        <v>0.62380074554090792</v>
      </c>
      <c r="Q398" s="7">
        <f t="shared" si="129"/>
        <v>9352990.0835787132</v>
      </c>
      <c r="R398" s="7">
        <f t="shared" si="130"/>
        <v>3518587.8964055935</v>
      </c>
      <c r="S398" s="13">
        <f>IF(Calc!$AD$32="Sim",R398,Q398)</f>
        <v>3518587.8964055935</v>
      </c>
      <c r="T398" s="9">
        <f t="shared" si="131"/>
        <v>394</v>
      </c>
      <c r="U398" s="17">
        <f t="shared" ca="1" si="134"/>
        <v>57497</v>
      </c>
    </row>
    <row r="399" spans="2:21" x14ac:dyDescent="0.2">
      <c r="B399" s="17">
        <f t="shared" ca="1" si="132"/>
        <v>57497</v>
      </c>
      <c r="C399" s="9">
        <f t="shared" si="135"/>
        <v>395</v>
      </c>
      <c r="D399" s="9"/>
      <c r="E399" s="13">
        <f t="shared" si="133"/>
        <v>4982.8876409845088</v>
      </c>
      <c r="F399" s="14">
        <f t="shared" si="118"/>
        <v>1016588.8349541158</v>
      </c>
      <c r="G399" s="15">
        <f t="shared" si="119"/>
        <v>0.28671616805084121</v>
      </c>
      <c r="H399" s="13">
        <f t="shared" si="120"/>
        <v>93134.07651413657</v>
      </c>
      <c r="I399" s="13">
        <f t="shared" si="121"/>
        <v>8434518.2127797231</v>
      </c>
      <c r="J399" s="15">
        <f t="shared" si="122"/>
        <v>0.71328383194915879</v>
      </c>
      <c r="K399" s="13">
        <f t="shared" si="123"/>
        <v>2529039.0306284484</v>
      </c>
      <c r="L399" s="13">
        <f t="shared" si="124"/>
        <v>248147797.68414998</v>
      </c>
      <c r="M399" s="15">
        <f t="shared" si="125"/>
        <v>0.7132838319491589</v>
      </c>
      <c r="N399" s="13">
        <f t="shared" si="126"/>
        <v>34731.017023547269</v>
      </c>
      <c r="O399" s="13">
        <f t="shared" si="127"/>
        <v>5905479.1821512701</v>
      </c>
      <c r="P399" s="15">
        <f t="shared" si="128"/>
        <v>0.6248452326616355</v>
      </c>
      <c r="Q399" s="7">
        <f t="shared" si="129"/>
        <v>9451107.047733834</v>
      </c>
      <c r="R399" s="7">
        <f t="shared" si="130"/>
        <v>3545627.8655825639</v>
      </c>
      <c r="S399" s="13">
        <f>IF(Calc!$AD$32="Sim",R399,Q399)</f>
        <v>3545627.8655825639</v>
      </c>
      <c r="T399" s="9">
        <f t="shared" si="131"/>
        <v>395</v>
      </c>
      <c r="U399" s="17">
        <f t="shared" ca="1" si="134"/>
        <v>57527</v>
      </c>
    </row>
    <row r="400" spans="2:21" x14ac:dyDescent="0.2">
      <c r="B400" s="17">
        <f t="shared" ca="1" si="132"/>
        <v>57527</v>
      </c>
      <c r="C400" s="9">
        <f>C399+1</f>
        <v>396</v>
      </c>
      <c r="D400" s="9">
        <v>33</v>
      </c>
      <c r="E400" s="13">
        <f t="shared" si="133"/>
        <v>5003.1885420338913</v>
      </c>
      <c r="F400" s="14">
        <f t="shared" si="118"/>
        <v>1021592.0234961497</v>
      </c>
      <c r="G400" s="15">
        <f t="shared" si="119"/>
        <v>0.28593136309239003</v>
      </c>
      <c r="H400" s="13">
        <f t="shared" si="120"/>
        <v>94111.093785116216</v>
      </c>
      <c r="I400" s="13">
        <f t="shared" si="121"/>
        <v>8528629.3065648396</v>
      </c>
      <c r="J400" s="15">
        <f t="shared" si="122"/>
        <v>0.71406863690760991</v>
      </c>
      <c r="K400" s="13">
        <f t="shared" si="123"/>
        <v>2551265.5058335494</v>
      </c>
      <c r="L400" s="13">
        <f t="shared" si="124"/>
        <v>250699063.18998352</v>
      </c>
      <c r="M400" s="15">
        <f t="shared" si="125"/>
        <v>0.71406863690761002</v>
      </c>
      <c r="N400" s="13">
        <f t="shared" si="126"/>
        <v>35095.243119960636</v>
      </c>
      <c r="O400" s="13">
        <f t="shared" si="127"/>
        <v>5977363.8007312864</v>
      </c>
      <c r="P400" s="15">
        <f t="shared" si="128"/>
        <v>0.62588746314354959</v>
      </c>
      <c r="Q400" s="7">
        <f t="shared" si="129"/>
        <v>9550221.3300609849</v>
      </c>
      <c r="R400" s="7">
        <f t="shared" si="130"/>
        <v>3572857.529329699</v>
      </c>
      <c r="S400" s="13">
        <f>IF(Calc!$AD$32="Sim",R400,Q400)</f>
        <v>3572857.529329699</v>
      </c>
      <c r="T400" s="9">
        <f t="shared" si="131"/>
        <v>396</v>
      </c>
      <c r="U400" s="17">
        <f t="shared" ca="1" si="134"/>
        <v>57558</v>
      </c>
    </row>
    <row r="401" spans="2:21" x14ac:dyDescent="0.2">
      <c r="B401" s="17">
        <f t="shared" ca="1" si="132"/>
        <v>57558</v>
      </c>
      <c r="C401" s="9">
        <f t="shared" si="135"/>
        <v>397</v>
      </c>
      <c r="D401" s="9"/>
      <c r="E401" s="13">
        <f t="shared" si="133"/>
        <v>5023.5721514670686</v>
      </c>
      <c r="F401" s="14">
        <f t="shared" si="118"/>
        <v>1026615.5956476168</v>
      </c>
      <c r="G401" s="15">
        <f t="shared" si="119"/>
        <v>0.28514896641268872</v>
      </c>
      <c r="H401" s="13">
        <f t="shared" si="120"/>
        <v>95098.042030694662</v>
      </c>
      <c r="I401" s="13">
        <f t="shared" si="121"/>
        <v>8623727.3485955335</v>
      </c>
      <c r="J401" s="15">
        <f t="shared" si="122"/>
        <v>0.71485103358731128</v>
      </c>
      <c r="K401" s="13">
        <f t="shared" si="123"/>
        <v>2573662.5626881304</v>
      </c>
      <c r="L401" s="13">
        <f t="shared" si="124"/>
        <v>253272725.75267166</v>
      </c>
      <c r="M401" s="15">
        <f t="shared" si="125"/>
        <v>0.71485103358731128</v>
      </c>
      <c r="N401" s="13">
        <f t="shared" si="126"/>
        <v>35463.170968944156</v>
      </c>
      <c r="O401" s="13">
        <f t="shared" si="127"/>
        <v>6050064.7859073989</v>
      </c>
      <c r="P401" s="15">
        <f t="shared" si="128"/>
        <v>0.62692743883433988</v>
      </c>
      <c r="Q401" s="7">
        <f t="shared" si="129"/>
        <v>9650342.9442431461</v>
      </c>
      <c r="R401" s="7">
        <f t="shared" si="130"/>
        <v>3600278.1583357472</v>
      </c>
      <c r="S401" s="13">
        <f>IF(Calc!$AD$32="Sim",R401,Q401)</f>
        <v>3600278.1583357472</v>
      </c>
      <c r="T401" s="9">
        <f t="shared" si="131"/>
        <v>397</v>
      </c>
      <c r="U401" s="17">
        <f t="shared" ca="1" si="134"/>
        <v>57589</v>
      </c>
    </row>
    <row r="402" spans="2:21" x14ac:dyDescent="0.2">
      <c r="B402" s="17">
        <f t="shared" ca="1" si="132"/>
        <v>57589</v>
      </c>
      <c r="C402" s="9">
        <f t="shared" si="135"/>
        <v>398</v>
      </c>
      <c r="D402" s="9"/>
      <c r="E402" s="13">
        <f t="shared" si="133"/>
        <v>5044.0388062482343</v>
      </c>
      <c r="F402" s="14">
        <f t="shared" si="118"/>
        <v>1031659.634453865</v>
      </c>
      <c r="G402" s="15">
        <f t="shared" si="119"/>
        <v>0.28436896959491775</v>
      </c>
      <c r="H402" s="13">
        <f t="shared" si="120"/>
        <v>96095.020963916453</v>
      </c>
      <c r="I402" s="13">
        <f t="shared" si="121"/>
        <v>8719822.3695594501</v>
      </c>
      <c r="J402" s="15">
        <f t="shared" si="122"/>
        <v>0.71563103040508225</v>
      </c>
      <c r="K402" s="13">
        <f t="shared" si="123"/>
        <v>2596231.3971290085</v>
      </c>
      <c r="L402" s="13">
        <f t="shared" si="124"/>
        <v>255868957.14980066</v>
      </c>
      <c r="M402" s="15">
        <f t="shared" si="125"/>
        <v>0.71563103040508225</v>
      </c>
      <c r="N402" s="13">
        <f t="shared" si="126"/>
        <v>35834.837736538902</v>
      </c>
      <c r="O402" s="13">
        <f t="shared" si="127"/>
        <v>6123590.9724304378</v>
      </c>
      <c r="P402" s="15">
        <f t="shared" si="128"/>
        <v>0.62796516159392168</v>
      </c>
      <c r="Q402" s="7">
        <f t="shared" si="129"/>
        <v>9751482.0040133111</v>
      </c>
      <c r="R402" s="7">
        <f t="shared" si="130"/>
        <v>3627891.0315828733</v>
      </c>
      <c r="S402" s="13">
        <f>IF(Calc!$AD$32="Sim",R402,Q402)</f>
        <v>3627891.0315828733</v>
      </c>
      <c r="T402" s="9">
        <f t="shared" si="131"/>
        <v>398</v>
      </c>
      <c r="U402" s="17">
        <f t="shared" ca="1" si="134"/>
        <v>57619</v>
      </c>
    </row>
    <row r="403" spans="2:21" x14ac:dyDescent="0.2">
      <c r="B403" s="17">
        <f t="shared" ca="1" si="132"/>
        <v>57619</v>
      </c>
      <c r="C403" s="9">
        <f t="shared" si="135"/>
        <v>399</v>
      </c>
      <c r="D403" s="9"/>
      <c r="E403" s="13">
        <f t="shared" si="133"/>
        <v>5064.5888447144152</v>
      </c>
      <c r="F403" s="14">
        <f t="shared" si="118"/>
        <v>1036724.2232985795</v>
      </c>
      <c r="G403" s="15">
        <f t="shared" si="119"/>
        <v>0.28359136425675363</v>
      </c>
      <c r="H403" s="13">
        <f t="shared" si="120"/>
        <v>97102.131294092076</v>
      </c>
      <c r="I403" s="13">
        <f t="shared" si="121"/>
        <v>8816924.5008535422</v>
      </c>
      <c r="J403" s="15">
        <f t="shared" si="122"/>
        <v>0.71640863574324642</v>
      </c>
      <c r="K403" s="13">
        <f t="shared" si="123"/>
        <v>2618973.2131013731</v>
      </c>
      <c r="L403" s="13">
        <f t="shared" si="124"/>
        <v>258487930.36290205</v>
      </c>
      <c r="M403" s="15">
        <f t="shared" si="125"/>
        <v>0.71640863574324631</v>
      </c>
      <c r="N403" s="13">
        <f t="shared" si="126"/>
        <v>36210.28096011679</v>
      </c>
      <c r="O403" s="13">
        <f t="shared" si="127"/>
        <v>6197951.2877521655</v>
      </c>
      <c r="P403" s="15">
        <f t="shared" si="128"/>
        <v>0.6290006332943926</v>
      </c>
      <c r="Q403" s="7">
        <f t="shared" si="129"/>
        <v>9853648.724152118</v>
      </c>
      <c r="R403" s="7">
        <f t="shared" si="130"/>
        <v>3655697.4363999525</v>
      </c>
      <c r="S403" s="13">
        <f>IF(Calc!$AD$32="Sim",R403,Q403)</f>
        <v>3655697.4363999525</v>
      </c>
      <c r="T403" s="9">
        <f t="shared" si="131"/>
        <v>399</v>
      </c>
      <c r="U403" s="17">
        <f t="shared" ca="1" si="134"/>
        <v>57650</v>
      </c>
    </row>
    <row r="404" spans="2:21" x14ac:dyDescent="0.2">
      <c r="B404" s="17">
        <f t="shared" ca="1" si="132"/>
        <v>57650</v>
      </c>
      <c r="C404" s="9">
        <f t="shared" si="135"/>
        <v>400</v>
      </c>
      <c r="D404" s="9"/>
      <c r="E404" s="13">
        <f t="shared" si="133"/>
        <v>5085.2226065810664</v>
      </c>
      <c r="F404" s="14">
        <f t="shared" si="118"/>
        <v>1041809.4459051605</v>
      </c>
      <c r="G404" s="15">
        <f t="shared" si="119"/>
        <v>0.28281614205018574</v>
      </c>
      <c r="H404" s="13">
        <f t="shared" si="120"/>
        <v>98119.474736732111</v>
      </c>
      <c r="I404" s="13">
        <f t="shared" si="121"/>
        <v>8915043.9755902737</v>
      </c>
      <c r="J404" s="15">
        <f t="shared" si="122"/>
        <v>0.71718385794981421</v>
      </c>
      <c r="K404" s="13">
        <f t="shared" si="123"/>
        <v>2641889.2226110497</v>
      </c>
      <c r="L404" s="13">
        <f t="shared" si="124"/>
        <v>261129819.58551309</v>
      </c>
      <c r="M404" s="15">
        <f t="shared" si="125"/>
        <v>0.71718385794981421</v>
      </c>
      <c r="N404" s="13">
        <f t="shared" si="126"/>
        <v>36589.538552083235</v>
      </c>
      <c r="O404" s="13">
        <f t="shared" si="127"/>
        <v>6273154.7529792199</v>
      </c>
      <c r="P404" s="15">
        <f t="shared" si="128"/>
        <v>0.63003385581998939</v>
      </c>
      <c r="Q404" s="7">
        <f t="shared" si="129"/>
        <v>9956853.4214954302</v>
      </c>
      <c r="R404" s="7">
        <f t="shared" si="130"/>
        <v>3683698.6685162103</v>
      </c>
      <c r="S404" s="13">
        <f>IF(Calc!$AD$32="Sim",R404,Q404)</f>
        <v>3683698.6685162103</v>
      </c>
      <c r="T404" s="9">
        <f t="shared" si="131"/>
        <v>400</v>
      </c>
      <c r="U404" s="17">
        <f t="shared" ca="1" si="134"/>
        <v>57680</v>
      </c>
    </row>
    <row r="405" spans="2:21" x14ac:dyDescent="0.2">
      <c r="B405" s="17">
        <f t="shared" ca="1" si="132"/>
        <v>57680</v>
      </c>
      <c r="C405" s="9">
        <f t="shared" si="135"/>
        <v>401</v>
      </c>
      <c r="D405" s="9"/>
      <c r="E405" s="13">
        <f t="shared" si="133"/>
        <v>5105.9404329476847</v>
      </c>
      <c r="F405" s="14">
        <f t="shared" si="118"/>
        <v>1046915.3863381082</v>
      </c>
      <c r="G405" s="15">
        <f t="shared" si="119"/>
        <v>0.28204329466133543</v>
      </c>
      <c r="H405" s="13">
        <f t="shared" si="120"/>
        <v>99147.154023580297</v>
      </c>
      <c r="I405" s="13">
        <f t="shared" si="121"/>
        <v>9014191.129613854</v>
      </c>
      <c r="J405" s="15">
        <f t="shared" si="122"/>
        <v>0.71795670533866462</v>
      </c>
      <c r="K405" s="13">
        <f t="shared" si="123"/>
        <v>2664980.6457770886</v>
      </c>
      <c r="L405" s="13">
        <f t="shared" si="124"/>
        <v>263794800.23129016</v>
      </c>
      <c r="M405" s="15">
        <f t="shared" si="125"/>
        <v>0.71795670533866462</v>
      </c>
      <c r="N405" s="13">
        <f t="shared" si="126"/>
        <v>36972.648803616714</v>
      </c>
      <c r="O405" s="13">
        <f t="shared" si="127"/>
        <v>6349210.4838367607</v>
      </c>
      <c r="P405" s="15">
        <f t="shared" si="128"/>
        <v>0.63106483106704425</v>
      </c>
      <c r="Q405" s="7">
        <f t="shared" si="129"/>
        <v>10061106.515951958</v>
      </c>
      <c r="R405" s="7">
        <f t="shared" si="130"/>
        <v>3711896.0321151968</v>
      </c>
      <c r="S405" s="13">
        <f>IF(Calc!$AD$32="Sim",R405,Q405)</f>
        <v>3711896.0321151968</v>
      </c>
      <c r="T405" s="9">
        <f t="shared" si="131"/>
        <v>401</v>
      </c>
      <c r="U405" s="17">
        <f t="shared" ca="1" si="134"/>
        <v>57711</v>
      </c>
    </row>
    <row r="406" spans="2:21" x14ac:dyDescent="0.2">
      <c r="B406" s="17">
        <f t="shared" ca="1" si="132"/>
        <v>57711</v>
      </c>
      <c r="C406" s="9">
        <f t="shared" si="135"/>
        <v>402</v>
      </c>
      <c r="D406" s="9"/>
      <c r="E406" s="13">
        <f t="shared" si="133"/>
        <v>5126.7426663034485</v>
      </c>
      <c r="F406" s="14">
        <f t="shared" si="118"/>
        <v>1052042.1290044116</v>
      </c>
      <c r="G406" s="15">
        <f t="shared" si="119"/>
        <v>0.28127281381027619</v>
      </c>
      <c r="H406" s="13">
        <f t="shared" si="120"/>
        <v>100185.27291274676</v>
      </c>
      <c r="I406" s="13">
        <f t="shared" si="121"/>
        <v>9114376.4025266003</v>
      </c>
      <c r="J406" s="15">
        <f t="shared" si="122"/>
        <v>0.71872718618972375</v>
      </c>
      <c r="K406" s="13">
        <f t="shared" si="123"/>
        <v>2688248.7108846996</v>
      </c>
      <c r="L406" s="13">
        <f t="shared" si="124"/>
        <v>266483048.94217485</v>
      </c>
      <c r="M406" s="15">
        <f t="shared" si="125"/>
        <v>0.71872718618972375</v>
      </c>
      <c r="N406" s="13">
        <f t="shared" si="126"/>
        <v>37359.65038844556</v>
      </c>
      <c r="O406" s="13">
        <f t="shared" si="127"/>
        <v>6426127.691641897</v>
      </c>
      <c r="P406" s="15">
        <f t="shared" si="128"/>
        <v>0.63209356094394009</v>
      </c>
      <c r="Q406" s="7">
        <f t="shared" si="129"/>
        <v>10166418.531531008</v>
      </c>
      <c r="R406" s="7">
        <f t="shared" si="130"/>
        <v>3740290.8398891115</v>
      </c>
      <c r="S406" s="13">
        <f>IF(Calc!$AD$32="Sim",R406,Q406)</f>
        <v>3740290.8398891115</v>
      </c>
      <c r="T406" s="9">
        <f t="shared" si="131"/>
        <v>402</v>
      </c>
      <c r="U406" s="17">
        <f t="shared" ca="1" si="134"/>
        <v>57742</v>
      </c>
    </row>
    <row r="407" spans="2:21" x14ac:dyDescent="0.2">
      <c r="B407" s="17">
        <f t="shared" ca="1" si="132"/>
        <v>57742</v>
      </c>
      <c r="C407" s="9">
        <f t="shared" si="135"/>
        <v>403</v>
      </c>
      <c r="D407" s="9"/>
      <c r="E407" s="13">
        <f t="shared" si="133"/>
        <v>5147.6296505328801</v>
      </c>
      <c r="F407" s="14">
        <f t="shared" si="118"/>
        <v>1057189.7586549446</v>
      </c>
      <c r="G407" s="15">
        <f t="shared" si="119"/>
        <v>0.28050469125085553</v>
      </c>
      <c r="H407" s="13">
        <f t="shared" si="120"/>
        <v>101233.93619894201</v>
      </c>
      <c r="I407" s="13">
        <f t="shared" si="121"/>
        <v>9215610.3387255426</v>
      </c>
      <c r="J407" s="15">
        <f t="shared" si="122"/>
        <v>0.71949530874914447</v>
      </c>
      <c r="K407" s="13">
        <f t="shared" si="123"/>
        <v>2711694.6544385217</v>
      </c>
      <c r="L407" s="13">
        <f t="shared" si="124"/>
        <v>269194743.59661335</v>
      </c>
      <c r="M407" s="15">
        <f t="shared" si="125"/>
        <v>0.71949530874914447</v>
      </c>
      <c r="N407" s="13">
        <f t="shared" si="126"/>
        <v>37750.582366662406</v>
      </c>
      <c r="O407" s="13">
        <f t="shared" si="127"/>
        <v>6503915.6842870172</v>
      </c>
      <c r="P407" s="15">
        <f t="shared" si="128"/>
        <v>0.63312004737106542</v>
      </c>
      <c r="Q407" s="7">
        <f t="shared" si="129"/>
        <v>10272800.097380484</v>
      </c>
      <c r="R407" s="7">
        <f t="shared" si="130"/>
        <v>3768884.4130934663</v>
      </c>
      <c r="S407" s="13">
        <f>IF(Calc!$AD$32="Sim",R407,Q407)</f>
        <v>3768884.4130934663</v>
      </c>
      <c r="T407" s="9">
        <f t="shared" si="131"/>
        <v>403</v>
      </c>
      <c r="U407" s="17">
        <f t="shared" ca="1" si="134"/>
        <v>57770</v>
      </c>
    </row>
    <row r="408" spans="2:21" x14ac:dyDescent="0.2">
      <c r="B408" s="17">
        <f t="shared" ca="1" si="132"/>
        <v>57770</v>
      </c>
      <c r="C408" s="9">
        <f t="shared" si="135"/>
        <v>404</v>
      </c>
      <c r="D408" s="9"/>
      <c r="E408" s="13">
        <f t="shared" si="133"/>
        <v>5168.6017309215295</v>
      </c>
      <c r="F408" s="14">
        <f t="shared" si="118"/>
        <v>1062358.3603858661</v>
      </c>
      <c r="G408" s="15">
        <f t="shared" si="119"/>
        <v>0.27973891877051754</v>
      </c>
      <c r="H408" s="13">
        <f t="shared" si="120"/>
        <v>102293.24972381296</v>
      </c>
      <c r="I408" s="13">
        <f t="shared" si="121"/>
        <v>9317903.5884493552</v>
      </c>
      <c r="J408" s="15">
        <f t="shared" si="122"/>
        <v>0.72026108122948251</v>
      </c>
      <c r="K408" s="13">
        <f t="shared" si="123"/>
        <v>2735319.721216239</v>
      </c>
      <c r="L408" s="13">
        <f t="shared" si="124"/>
        <v>271930063.31782961</v>
      </c>
      <c r="M408" s="15">
        <f t="shared" si="125"/>
        <v>0.72026108122948251</v>
      </c>
      <c r="N408" s="13">
        <f t="shared" si="126"/>
        <v>38145.484188576615</v>
      </c>
      <c r="O408" s="13">
        <f t="shared" si="127"/>
        <v>6582583.8672331134</v>
      </c>
      <c r="P408" s="15">
        <f t="shared" si="128"/>
        <v>0.63414429228076974</v>
      </c>
      <c r="Q408" s="7">
        <f t="shared" si="129"/>
        <v>10380261.948835218</v>
      </c>
      <c r="R408" s="7">
        <f t="shared" si="130"/>
        <v>3797678.0816021049</v>
      </c>
      <c r="S408" s="13">
        <f>IF(Calc!$AD$32="Sim",R408,Q408)</f>
        <v>3797678.0816021049</v>
      </c>
      <c r="T408" s="9">
        <f t="shared" si="131"/>
        <v>404</v>
      </c>
      <c r="U408" s="17">
        <f t="shared" ca="1" si="134"/>
        <v>57801</v>
      </c>
    </row>
    <row r="409" spans="2:21" x14ac:dyDescent="0.2">
      <c r="B409" s="17">
        <f t="shared" ca="1" si="132"/>
        <v>57801</v>
      </c>
      <c r="C409" s="9">
        <f t="shared" si="135"/>
        <v>405</v>
      </c>
      <c r="D409" s="9"/>
      <c r="E409" s="13">
        <f t="shared" si="133"/>
        <v>5189.6592541616828</v>
      </c>
      <c r="F409" s="14">
        <f t="shared" si="118"/>
        <v>1067548.0196400278</v>
      </c>
      <c r="G409" s="15">
        <f t="shared" si="119"/>
        <v>0.27897548819012791</v>
      </c>
      <c r="H409" s="13">
        <f t="shared" si="120"/>
        <v>103363.32038638192</v>
      </c>
      <c r="I409" s="13">
        <f t="shared" si="121"/>
        <v>9421266.908835737</v>
      </c>
      <c r="J409" s="15">
        <f t="shared" si="122"/>
        <v>0.72102451180987215</v>
      </c>
      <c r="K409" s="13">
        <f t="shared" si="123"/>
        <v>2759125.1643225374</v>
      </c>
      <c r="L409" s="13">
        <f t="shared" si="124"/>
        <v>274689188.48215216</v>
      </c>
      <c r="M409" s="15">
        <f t="shared" si="125"/>
        <v>0.72102451180987215</v>
      </c>
      <c r="N409" s="13">
        <f t="shared" si="126"/>
        <v>38544.395698605113</v>
      </c>
      <c r="O409" s="13">
        <f t="shared" si="127"/>
        <v>6662141.7445131969</v>
      </c>
      <c r="P409" s="15">
        <f t="shared" si="128"/>
        <v>0.63516629761731735</v>
      </c>
      <c r="Q409" s="7">
        <f t="shared" si="129"/>
        <v>10488814.928475762</v>
      </c>
      <c r="R409" s="7">
        <f t="shared" si="130"/>
        <v>3826673.1839625649</v>
      </c>
      <c r="S409" s="13">
        <f>IF(Calc!$AD$32="Sim",R409,Q409)</f>
        <v>3826673.1839625649</v>
      </c>
      <c r="T409" s="9">
        <f t="shared" si="131"/>
        <v>405</v>
      </c>
      <c r="U409" s="17">
        <f t="shared" ca="1" si="134"/>
        <v>57831</v>
      </c>
    </row>
    <row r="410" spans="2:21" x14ac:dyDescent="0.2">
      <c r="B410" s="17">
        <f t="shared" ca="1" si="132"/>
        <v>57831</v>
      </c>
      <c r="C410" s="9">
        <f t="shared" si="135"/>
        <v>406</v>
      </c>
      <c r="D410" s="9"/>
      <c r="E410" s="13">
        <f t="shared" si="133"/>
        <v>5210.8025683580936</v>
      </c>
      <c r="F410" s="14">
        <f t="shared" si="118"/>
        <v>1072758.8222083859</v>
      </c>
      <c r="G410" s="15">
        <f t="shared" si="119"/>
        <v>0.27821439136379966</v>
      </c>
      <c r="H410" s="13">
        <f t="shared" si="120"/>
        <v>104444.2561535897</v>
      </c>
      <c r="I410" s="13">
        <f t="shared" si="121"/>
        <v>9525711.1649893261</v>
      </c>
      <c r="J410" s="15">
        <f t="shared" si="122"/>
        <v>0.72178560863620034</v>
      </c>
      <c r="K410" s="13">
        <f t="shared" si="123"/>
        <v>2783112.2452434101</v>
      </c>
      <c r="L410" s="13">
        <f t="shared" si="124"/>
        <v>277472300.72739559</v>
      </c>
      <c r="M410" s="15">
        <f t="shared" si="125"/>
        <v>0.72178560863620034</v>
      </c>
      <c r="N410" s="13">
        <f t="shared" si="126"/>
        <v>38947.357139201973</v>
      </c>
      <c r="O410" s="13">
        <f t="shared" si="127"/>
        <v>6742598.9197459128</v>
      </c>
      <c r="P410" s="15">
        <f t="shared" si="128"/>
        <v>0.6361860653368413</v>
      </c>
      <c r="Q410" s="7">
        <f t="shared" si="129"/>
        <v>10598469.987197708</v>
      </c>
      <c r="R410" s="7">
        <f t="shared" si="130"/>
        <v>3855871.067451796</v>
      </c>
      <c r="S410" s="13">
        <f>IF(Calc!$AD$32="Sim",R410,Q410)</f>
        <v>3855871.067451796</v>
      </c>
      <c r="T410" s="9">
        <f t="shared" si="131"/>
        <v>406</v>
      </c>
      <c r="U410" s="17">
        <f t="shared" ca="1" si="134"/>
        <v>57862</v>
      </c>
    </row>
    <row r="411" spans="2:21" x14ac:dyDescent="0.2">
      <c r="B411" s="17">
        <f t="shared" ca="1" si="132"/>
        <v>57862</v>
      </c>
      <c r="C411" s="9">
        <f t="shared" si="135"/>
        <v>407</v>
      </c>
      <c r="D411" s="9"/>
      <c r="E411" s="13">
        <f t="shared" si="133"/>
        <v>5232.0320230337375</v>
      </c>
      <c r="F411" s="14">
        <f t="shared" si="118"/>
        <v>1077990.8542314197</v>
      </c>
      <c r="G411" s="15">
        <f t="shared" si="119"/>
        <v>0.27745562017872011</v>
      </c>
      <c r="H411" s="13">
        <f t="shared" si="120"/>
        <v>105536.16607094355</v>
      </c>
      <c r="I411" s="13">
        <f t="shared" si="121"/>
        <v>9631247.3310602698</v>
      </c>
      <c r="J411" s="15">
        <f t="shared" si="122"/>
        <v>0.72254437982127984</v>
      </c>
      <c r="K411" s="13">
        <f t="shared" si="123"/>
        <v>2807282.2339008134</v>
      </c>
      <c r="L411" s="13">
        <f t="shared" si="124"/>
        <v>280279582.96129638</v>
      </c>
      <c r="M411" s="15">
        <f t="shared" si="125"/>
        <v>0.72254437982127995</v>
      </c>
      <c r="N411" s="13">
        <f t="shared" si="126"/>
        <v>39354.409154827175</v>
      </c>
      <c r="O411" s="13">
        <f t="shared" si="127"/>
        <v>6823965.0971594527</v>
      </c>
      <c r="P411" s="15">
        <f t="shared" si="128"/>
        <v>0.63720359740729682</v>
      </c>
      <c r="Q411" s="7">
        <f t="shared" si="129"/>
        <v>10709238.185291685</v>
      </c>
      <c r="R411" s="7">
        <f t="shared" si="130"/>
        <v>3885273.0881322329</v>
      </c>
      <c r="S411" s="13">
        <f>IF(Calc!$AD$32="Sim",R411,Q411)</f>
        <v>3885273.0881322329</v>
      </c>
      <c r="T411" s="9">
        <f t="shared" si="131"/>
        <v>407</v>
      </c>
      <c r="U411" s="17">
        <f t="shared" ca="1" si="134"/>
        <v>57892</v>
      </c>
    </row>
    <row r="412" spans="2:21" x14ac:dyDescent="0.2">
      <c r="B412" s="17">
        <f t="shared" ca="1" si="132"/>
        <v>57892</v>
      </c>
      <c r="C412" s="9">
        <f>C411+1</f>
        <v>408</v>
      </c>
      <c r="D412" s="9">
        <v>34</v>
      </c>
      <c r="E412" s="13">
        <f t="shared" si="133"/>
        <v>5253.3479691355888</v>
      </c>
      <c r="F412" s="14">
        <f t="shared" si="118"/>
        <v>1083244.2022005552</v>
      </c>
      <c r="G412" s="15">
        <f t="shared" si="119"/>
        <v>0.27669916655497973</v>
      </c>
      <c r="H412" s="13">
        <f t="shared" si="120"/>
        <v>106639.16027327144</v>
      </c>
      <c r="I412" s="13">
        <f t="shared" si="121"/>
        <v>9737886.4913335405</v>
      </c>
      <c r="J412" s="15">
        <f t="shared" si="122"/>
        <v>0.72330083344502027</v>
      </c>
      <c r="K412" s="13">
        <f t="shared" si="123"/>
        <v>2831636.4087076681</v>
      </c>
      <c r="L412" s="13">
        <f t="shared" si="124"/>
        <v>283111219.37000406</v>
      </c>
      <c r="M412" s="15">
        <f t="shared" si="125"/>
        <v>0.72330083344502027</v>
      </c>
      <c r="N412" s="13">
        <f t="shared" si="126"/>
        <v>39765.592795954821</v>
      </c>
      <c r="O412" s="13">
        <f t="shared" si="127"/>
        <v>6906250.0826258678</v>
      </c>
      <c r="P412" s="15">
        <f t="shared" si="128"/>
        <v>0.63821889580841429</v>
      </c>
      <c r="Q412" s="7">
        <f t="shared" si="129"/>
        <v>10821130.693534091</v>
      </c>
      <c r="R412" s="7">
        <f t="shared" si="130"/>
        <v>3914880.6109082233</v>
      </c>
      <c r="S412" s="13">
        <f>IF(Calc!$AD$32="Sim",R412,Q412)</f>
        <v>3914880.6109082233</v>
      </c>
      <c r="T412" s="9">
        <f t="shared" si="131"/>
        <v>408</v>
      </c>
      <c r="U412" s="17">
        <f t="shared" ca="1" si="134"/>
        <v>57923</v>
      </c>
    </row>
    <row r="413" spans="2:21" x14ac:dyDescent="0.2">
      <c r="B413" s="17">
        <f t="shared" ca="1" si="132"/>
        <v>57923</v>
      </c>
      <c r="C413" s="9">
        <f t="shared" si="135"/>
        <v>409</v>
      </c>
      <c r="D413" s="9"/>
      <c r="E413" s="13">
        <f t="shared" si="133"/>
        <v>5274.7507590404248</v>
      </c>
      <c r="F413" s="14">
        <f t="shared" si="118"/>
        <v>1088518.9529595957</v>
      </c>
      <c r="G413" s="15">
        <f t="shared" si="119"/>
        <v>0.27594502244540214</v>
      </c>
      <c r="H413" s="13">
        <f t="shared" si="120"/>
        <v>107753.34999558316</v>
      </c>
      <c r="I413" s="13">
        <f t="shared" si="121"/>
        <v>9845639.8413291238</v>
      </c>
      <c r="J413" s="15">
        <f t="shared" si="122"/>
        <v>0.72405497755459791</v>
      </c>
      <c r="K413" s="13">
        <f t="shared" si="123"/>
        <v>2856176.0566232195</v>
      </c>
      <c r="L413" s="13">
        <f t="shared" si="124"/>
        <v>285967395.42662728</v>
      </c>
      <c r="M413" s="15">
        <f t="shared" si="125"/>
        <v>0.72405497755459791</v>
      </c>
      <c r="N413" s="13">
        <f t="shared" si="126"/>
        <v>40180.949523121439</v>
      </c>
      <c r="O413" s="13">
        <f t="shared" si="127"/>
        <v>6989463.7847058997</v>
      </c>
      <c r="P413" s="15">
        <f t="shared" si="128"/>
        <v>0.63923196253165226</v>
      </c>
      <c r="Q413" s="7">
        <f t="shared" si="129"/>
        <v>10934158.794288715</v>
      </c>
      <c r="R413" s="7">
        <f t="shared" si="130"/>
        <v>3944695.0095828152</v>
      </c>
      <c r="S413" s="13">
        <f>IF(Calc!$AD$32="Sim",R413,Q413)</f>
        <v>3944695.0095828152</v>
      </c>
      <c r="T413" s="9">
        <f t="shared" si="131"/>
        <v>409</v>
      </c>
      <c r="U413" s="17">
        <f t="shared" ca="1" si="134"/>
        <v>57954</v>
      </c>
    </row>
    <row r="414" spans="2:21" x14ac:dyDescent="0.2">
      <c r="B414" s="17">
        <f t="shared" ca="1" si="132"/>
        <v>57954</v>
      </c>
      <c r="C414" s="9">
        <f t="shared" si="135"/>
        <v>410</v>
      </c>
      <c r="D414" s="9"/>
      <c r="E414" s="13">
        <f t="shared" si="133"/>
        <v>5296.2407465606484</v>
      </c>
      <c r="F414" s="14">
        <f t="shared" si="118"/>
        <v>1093815.1937061565</v>
      </c>
      <c r="G414" s="15">
        <f t="shared" si="119"/>
        <v>0.275193179835375</v>
      </c>
      <c r="H414" s="13">
        <f t="shared" si="120"/>
        <v>108878.84758404002</v>
      </c>
      <c r="I414" s="13">
        <f t="shared" si="121"/>
        <v>9954518.6889131647</v>
      </c>
      <c r="J414" s="15">
        <f t="shared" si="122"/>
        <v>0.72480682016462494</v>
      </c>
      <c r="K414" s="13">
        <f t="shared" si="123"/>
        <v>2880902.4732087515</v>
      </c>
      <c r="L414" s="13">
        <f t="shared" si="124"/>
        <v>288848297.899836</v>
      </c>
      <c r="M414" s="15">
        <f t="shared" si="125"/>
        <v>0.72480682016462505</v>
      </c>
      <c r="N414" s="13">
        <f t="shared" si="126"/>
        <v>40600.521211014442</v>
      </c>
      <c r="O414" s="13">
        <f t="shared" si="127"/>
        <v>7073616.2157044094</v>
      </c>
      <c r="P414" s="15">
        <f t="shared" si="128"/>
        <v>0.64024279958014907</v>
      </c>
      <c r="Q414" s="7">
        <f t="shared" si="129"/>
        <v>11048333.882619318</v>
      </c>
      <c r="R414" s="7">
        <f t="shared" si="130"/>
        <v>3974717.6669149077</v>
      </c>
      <c r="S414" s="13">
        <f>IF(Calc!$AD$32="Sim",R414,Q414)</f>
        <v>3974717.6669149077</v>
      </c>
      <c r="T414" s="9">
        <f t="shared" si="131"/>
        <v>410</v>
      </c>
      <c r="U414" s="17">
        <f t="shared" ca="1" si="134"/>
        <v>57984</v>
      </c>
    </row>
    <row r="415" spans="2:21" x14ac:dyDescent="0.2">
      <c r="B415" s="17">
        <f t="shared" ca="1" si="132"/>
        <v>57984</v>
      </c>
      <c r="C415" s="9">
        <f t="shared" si="135"/>
        <v>411</v>
      </c>
      <c r="D415" s="9"/>
      <c r="E415" s="13">
        <f t="shared" si="133"/>
        <v>5317.8182869501388</v>
      </c>
      <c r="F415" s="14">
        <f t="shared" si="118"/>
        <v>1099133.0119931067</v>
      </c>
      <c r="G415" s="15">
        <f t="shared" si="119"/>
        <v>0.27444363074268285</v>
      </c>
      <c r="H415" s="13">
        <f t="shared" si="120"/>
        <v>110015.76650703346</v>
      </c>
      <c r="I415" s="13">
        <f t="shared" si="121"/>
        <v>10064534.455420198</v>
      </c>
      <c r="J415" s="15">
        <f t="shared" si="122"/>
        <v>0.72555636925731715</v>
      </c>
      <c r="K415" s="13">
        <f t="shared" si="123"/>
        <v>2905816.9626836572</v>
      </c>
      <c r="L415" s="13">
        <f t="shared" si="124"/>
        <v>291754114.86251968</v>
      </c>
      <c r="M415" s="15">
        <f t="shared" si="125"/>
        <v>0.72555636925731726</v>
      </c>
      <c r="N415" s="13">
        <f t="shared" si="126"/>
        <v>41024.350152601459</v>
      </c>
      <c r="O415" s="13">
        <f t="shared" si="127"/>
        <v>7158717.492736537</v>
      </c>
      <c r="P415" s="15">
        <f t="shared" si="128"/>
        <v>0.64125140896867483</v>
      </c>
      <c r="Q415" s="7">
        <f t="shared" si="129"/>
        <v>11163667.467413301</v>
      </c>
      <c r="R415" s="7">
        <f t="shared" si="130"/>
        <v>4004949.9746767636</v>
      </c>
      <c r="S415" s="13">
        <f>IF(Calc!$AD$32="Sim",R415,Q415)</f>
        <v>4004949.9746767636</v>
      </c>
      <c r="T415" s="9">
        <f t="shared" si="131"/>
        <v>411</v>
      </c>
      <c r="U415" s="17">
        <f t="shared" ca="1" si="134"/>
        <v>58015</v>
      </c>
    </row>
    <row r="416" spans="2:21" x14ac:dyDescent="0.2">
      <c r="B416" s="17">
        <f t="shared" ca="1" si="132"/>
        <v>58015</v>
      </c>
      <c r="C416" s="9">
        <f t="shared" si="135"/>
        <v>412</v>
      </c>
      <c r="D416" s="9"/>
      <c r="E416" s="13">
        <f t="shared" si="133"/>
        <v>5339.4837369101224</v>
      </c>
      <c r="F416" s="14">
        <f t="shared" si="118"/>
        <v>1104472.4957300168</v>
      </c>
      <c r="G416" s="15">
        <f t="shared" si="119"/>
        <v>0.27369636721734059</v>
      </c>
      <c r="H416" s="13">
        <f t="shared" si="120"/>
        <v>111164.22136637427</v>
      </c>
      <c r="I416" s="13">
        <f t="shared" si="121"/>
        <v>10175698.676786572</v>
      </c>
      <c r="J416" s="15">
        <f t="shared" si="122"/>
        <v>0.72630363278265941</v>
      </c>
      <c r="K416" s="13">
        <f t="shared" si="123"/>
        <v>2930920.8379818704</v>
      </c>
      <c r="L416" s="13">
        <f t="shared" si="124"/>
        <v>294685035.70050156</v>
      </c>
      <c r="M416" s="15">
        <f t="shared" si="125"/>
        <v>0.72630363278265941</v>
      </c>
      <c r="N416" s="13">
        <f t="shared" si="126"/>
        <v>41452.479063300721</v>
      </c>
      <c r="O416" s="13">
        <f t="shared" si="127"/>
        <v>7244777.8388046976</v>
      </c>
      <c r="P416" s="15">
        <f t="shared" si="128"/>
        <v>0.64225779272358341</v>
      </c>
      <c r="Q416" s="7">
        <f t="shared" si="129"/>
        <v>11280171.172516584</v>
      </c>
      <c r="R416" s="7">
        <f t="shared" si="130"/>
        <v>4035393.3337118872</v>
      </c>
      <c r="S416" s="13">
        <f>IF(Calc!$AD$32="Sim",R416,Q416)</f>
        <v>4035393.3337118872</v>
      </c>
      <c r="T416" s="9">
        <f t="shared" si="131"/>
        <v>412</v>
      </c>
      <c r="U416" s="17">
        <f t="shared" ca="1" si="134"/>
        <v>58045</v>
      </c>
    </row>
    <row r="417" spans="2:21" x14ac:dyDescent="0.2">
      <c r="B417" s="17">
        <f t="shared" ca="1" si="132"/>
        <v>58045</v>
      </c>
      <c r="C417" s="9">
        <f t="shared" si="135"/>
        <v>413</v>
      </c>
      <c r="D417" s="9"/>
      <c r="E417" s="13">
        <f t="shared" si="133"/>
        <v>5361.2374545950715</v>
      </c>
      <c r="F417" s="14">
        <f t="shared" si="118"/>
        <v>1109833.7331846119</v>
      </c>
      <c r="G417" s="15">
        <f t="shared" si="119"/>
        <v>0.27295138134142882</v>
      </c>
      <c r="H417" s="13">
        <f t="shared" si="120"/>
        <v>112324.32790859333</v>
      </c>
      <c r="I417" s="13">
        <f t="shared" si="121"/>
        <v>10288023.004695166</v>
      </c>
      <c r="J417" s="15">
        <f t="shared" si="122"/>
        <v>0.72704861865857118</v>
      </c>
      <c r="K417" s="13">
        <f t="shared" si="123"/>
        <v>2956215.4208086613</v>
      </c>
      <c r="L417" s="13">
        <f t="shared" si="124"/>
        <v>297641251.12131023</v>
      </c>
      <c r="M417" s="15">
        <f t="shared" si="125"/>
        <v>0.72704861865857118</v>
      </c>
      <c r="N417" s="13">
        <f t="shared" si="126"/>
        <v>41884.951085193097</v>
      </c>
      <c r="O417" s="13">
        <f t="shared" si="127"/>
        <v>7331807.5838865004</v>
      </c>
      <c r="P417" s="15">
        <f t="shared" si="128"/>
        <v>0.64326195288276289</v>
      </c>
      <c r="Q417" s="7">
        <f t="shared" si="129"/>
        <v>11397856.737879774</v>
      </c>
      <c r="R417" s="7">
        <f t="shared" si="130"/>
        <v>4066049.1539932732</v>
      </c>
      <c r="S417" s="13">
        <f>IF(Calc!$AD$32="Sim",R417,Q417)</f>
        <v>4066049.1539932732</v>
      </c>
      <c r="T417" s="9">
        <f t="shared" si="131"/>
        <v>413</v>
      </c>
      <c r="U417" s="17">
        <f t="shared" ca="1" si="134"/>
        <v>58076</v>
      </c>
    </row>
    <row r="418" spans="2:21" x14ac:dyDescent="0.2">
      <c r="B418" s="17">
        <f t="shared" ca="1" si="132"/>
        <v>58076</v>
      </c>
      <c r="C418" s="9">
        <f t="shared" si="135"/>
        <v>414</v>
      </c>
      <c r="D418" s="9"/>
      <c r="E418" s="13">
        <f t="shared" si="133"/>
        <v>5383.0797996186238</v>
      </c>
      <c r="F418" s="14">
        <f t="shared" si="118"/>
        <v>1115216.8129842305</v>
      </c>
      <c r="G418" s="15">
        <f t="shared" si="119"/>
        <v>0.27220866522893017</v>
      </c>
      <c r="H418" s="13">
        <f t="shared" si="120"/>
        <v>113496.20303635471</v>
      </c>
      <c r="I418" s="13">
        <f t="shared" si="121"/>
        <v>10401519.207731521</v>
      </c>
      <c r="J418" s="15">
        <f t="shared" si="122"/>
        <v>0.72779133477106983</v>
      </c>
      <c r="K418" s="13">
        <f t="shared" si="123"/>
        <v>2981702.0416977913</v>
      </c>
      <c r="L418" s="13">
        <f t="shared" si="124"/>
        <v>300622953.16300803</v>
      </c>
      <c r="M418" s="15">
        <f t="shared" si="125"/>
        <v>0.72779133477106983</v>
      </c>
      <c r="N418" s="13">
        <f t="shared" si="126"/>
        <v>42321.809791275926</v>
      </c>
      <c r="O418" s="13">
        <f t="shared" si="127"/>
        <v>7419817.1660337253</v>
      </c>
      <c r="P418" s="15">
        <f t="shared" si="128"/>
        <v>0.64426389149558672</v>
      </c>
      <c r="Q418" s="7">
        <f t="shared" si="129"/>
        <v>11516736.020715747</v>
      </c>
      <c r="R418" s="7">
        <f t="shared" si="130"/>
        <v>4096918.8546820218</v>
      </c>
      <c r="S418" s="13">
        <f>IF(Calc!$AD$32="Sim",R418,Q418)</f>
        <v>4096918.8546820218</v>
      </c>
      <c r="T418" s="9">
        <f t="shared" si="131"/>
        <v>414</v>
      </c>
      <c r="U418" s="17">
        <f t="shared" ca="1" si="134"/>
        <v>58107</v>
      </c>
    </row>
    <row r="419" spans="2:21" x14ac:dyDescent="0.2">
      <c r="B419" s="17">
        <f t="shared" ca="1" si="132"/>
        <v>58107</v>
      </c>
      <c r="C419" s="9">
        <f t="shared" si="135"/>
        <v>415</v>
      </c>
      <c r="D419" s="9"/>
      <c r="E419" s="13">
        <f t="shared" si="133"/>
        <v>5405.0111330595273</v>
      </c>
      <c r="F419" s="14">
        <f t="shared" si="118"/>
        <v>1120621.8241172901</v>
      </c>
      <c r="G419" s="15">
        <f t="shared" si="119"/>
        <v>0.27146821102556673</v>
      </c>
      <c r="H419" s="13">
        <f t="shared" si="120"/>
        <v>114679.96481998262</v>
      </c>
      <c r="I419" s="13">
        <f t="shared" si="121"/>
        <v>10516199.172551503</v>
      </c>
      <c r="J419" s="15">
        <f t="shared" si="122"/>
        <v>0.72853178897443327</v>
      </c>
      <c r="K419" s="13">
        <f t="shared" si="123"/>
        <v>3007382.0400690418</v>
      </c>
      <c r="L419" s="13">
        <f t="shared" si="124"/>
        <v>303630335.20307708</v>
      </c>
      <c r="M419" s="15">
        <f t="shared" si="125"/>
        <v>0.72853178897443327</v>
      </c>
      <c r="N419" s="13">
        <f t="shared" si="126"/>
        <v>42763.099189759399</v>
      </c>
      <c r="O419" s="13">
        <f t="shared" si="127"/>
        <v>7508817.1324824579</v>
      </c>
      <c r="P419" s="15">
        <f t="shared" si="128"/>
        <v>0.64526361062286397</v>
      </c>
      <c r="Q419" s="7">
        <f t="shared" si="129"/>
        <v>11636820.99666879</v>
      </c>
      <c r="R419" s="7">
        <f t="shared" si="130"/>
        <v>4128003.8641863321</v>
      </c>
      <c r="S419" s="13">
        <f>IF(Calc!$AD$32="Sim",R419,Q419)</f>
        <v>4128003.8641863321</v>
      </c>
      <c r="T419" s="9">
        <f t="shared" si="131"/>
        <v>415</v>
      </c>
      <c r="U419" s="17">
        <f t="shared" ca="1" si="134"/>
        <v>58135</v>
      </c>
    </row>
    <row r="420" spans="2:21" x14ac:dyDescent="0.2">
      <c r="B420" s="17">
        <f t="shared" ca="1" si="132"/>
        <v>58135</v>
      </c>
      <c r="C420" s="9">
        <f t="shared" si="135"/>
        <v>416</v>
      </c>
      <c r="D420" s="9"/>
      <c r="E420" s="13">
        <f t="shared" si="133"/>
        <v>5427.0318174676095</v>
      </c>
      <c r="F420" s="14">
        <f t="shared" si="118"/>
        <v>1126048.8559347577</v>
      </c>
      <c r="G420" s="15">
        <f t="shared" si="119"/>
        <v>0.2707300109086388</v>
      </c>
      <c r="H420" s="13">
        <f t="shared" si="120"/>
        <v>115875.73250910323</v>
      </c>
      <c r="I420" s="13">
        <f t="shared" si="121"/>
        <v>10632074.905060606</v>
      </c>
      <c r="J420" s="15">
        <f t="shared" si="122"/>
        <v>0.7292699890913612</v>
      </c>
      <c r="K420" s="13">
        <f t="shared" si="123"/>
        <v>3033256.7642861083</v>
      </c>
      <c r="L420" s="13">
        <f t="shared" si="124"/>
        <v>306663591.96736318</v>
      </c>
      <c r="M420" s="15">
        <f t="shared" si="125"/>
        <v>0.7292699890913612</v>
      </c>
      <c r="N420" s="13">
        <f t="shared" si="126"/>
        <v>43208.863728405653</v>
      </c>
      <c r="O420" s="13">
        <f t="shared" si="127"/>
        <v>7598818.140774494</v>
      </c>
      <c r="P420" s="15">
        <f t="shared" si="128"/>
        <v>0.64626111233678929</v>
      </c>
      <c r="Q420" s="7">
        <f t="shared" si="129"/>
        <v>11758123.76099536</v>
      </c>
      <c r="R420" s="7">
        <f t="shared" si="130"/>
        <v>4159305.6202208661</v>
      </c>
      <c r="S420" s="13">
        <f>IF(Calc!$AD$32="Sim",R420,Q420)</f>
        <v>4159305.6202208661</v>
      </c>
      <c r="T420" s="9">
        <f t="shared" si="131"/>
        <v>416</v>
      </c>
      <c r="U420" s="17">
        <f t="shared" ca="1" si="134"/>
        <v>58166</v>
      </c>
    </row>
    <row r="421" spans="2:21" x14ac:dyDescent="0.2">
      <c r="B421" s="17">
        <f t="shared" ca="1" si="132"/>
        <v>58166</v>
      </c>
      <c r="C421" s="9">
        <f t="shared" si="135"/>
        <v>417</v>
      </c>
      <c r="D421" s="9"/>
      <c r="E421" s="13">
        <f t="shared" si="133"/>
        <v>5449.1422168697709</v>
      </c>
      <c r="F421" s="14">
        <f t="shared" si="118"/>
        <v>1131497.9981516276</v>
      </c>
      <c r="G421" s="15">
        <f t="shared" si="119"/>
        <v>0.26999405708686502</v>
      </c>
      <c r="H421" s="13">
        <f t="shared" si="120"/>
        <v>117083.6265444024</v>
      </c>
      <c r="I421" s="13">
        <f t="shared" si="121"/>
        <v>10749158.531605009</v>
      </c>
      <c r="J421" s="15">
        <f t="shared" si="122"/>
        <v>0.73000594291313492</v>
      </c>
      <c r="K421" s="13">
        <f t="shared" si="123"/>
        <v>3059327.571714865</v>
      </c>
      <c r="L421" s="13">
        <f t="shared" si="124"/>
        <v>309722919.53907806</v>
      </c>
      <c r="M421" s="15">
        <f t="shared" si="125"/>
        <v>0.73000594291313492</v>
      </c>
      <c r="N421" s="13">
        <f t="shared" si="126"/>
        <v>43659.148298911139</v>
      </c>
      <c r="O421" s="13">
        <f t="shared" si="127"/>
        <v>7689830.9598901402</v>
      </c>
      <c r="P421" s="15">
        <f t="shared" si="128"/>
        <v>0.64725639872089302</v>
      </c>
      <c r="Q421" s="7">
        <f t="shared" si="129"/>
        <v>11880656.529756634</v>
      </c>
      <c r="R421" s="7">
        <f t="shared" si="130"/>
        <v>4190825.5698664929</v>
      </c>
      <c r="S421" s="13">
        <f>IF(Calc!$AD$32="Sim",R421,Q421)</f>
        <v>4190825.5698664929</v>
      </c>
      <c r="T421" s="9">
        <f t="shared" si="131"/>
        <v>417</v>
      </c>
      <c r="U421" s="17">
        <f t="shared" ca="1" si="134"/>
        <v>58196</v>
      </c>
    </row>
    <row r="422" spans="2:21" x14ac:dyDescent="0.2">
      <c r="B422" s="17">
        <f t="shared" ca="1" si="132"/>
        <v>58196</v>
      </c>
      <c r="C422" s="9">
        <f t="shared" si="135"/>
        <v>418</v>
      </c>
      <c r="D422" s="9"/>
      <c r="E422" s="13">
        <f t="shared" si="133"/>
        <v>5471.3426967760024</v>
      </c>
      <c r="F422" s="14">
        <f t="shared" si="118"/>
        <v>1136969.3408484035</v>
      </c>
      <c r="G422" s="15">
        <f t="shared" si="119"/>
        <v>0.26926034180022346</v>
      </c>
      <c r="H422" s="13">
        <f t="shared" si="120"/>
        <v>118303.76856950064</v>
      </c>
      <c r="I422" s="13">
        <f t="shared" si="121"/>
        <v>10867462.30017451</v>
      </c>
      <c r="J422" s="15">
        <f t="shared" si="122"/>
        <v>0.73073965819977649</v>
      </c>
      <c r="K422" s="13">
        <f t="shared" si="123"/>
        <v>3085595.8287820094</v>
      </c>
      <c r="L422" s="13">
        <f t="shared" si="124"/>
        <v>312808515.36786008</v>
      </c>
      <c r="M422" s="15">
        <f t="shared" si="125"/>
        <v>0.7307396581997766</v>
      </c>
      <c r="N422" s="13">
        <f t="shared" si="126"/>
        <v>44113.998241332571</v>
      </c>
      <c r="O422" s="13">
        <f t="shared" si="127"/>
        <v>7781866.4713924984</v>
      </c>
      <c r="P422" s="15">
        <f t="shared" si="128"/>
        <v>0.64824947186998993</v>
      </c>
      <c r="Q422" s="7">
        <f t="shared" si="129"/>
        <v>12004431.641022911</v>
      </c>
      <c r="R422" s="7">
        <f t="shared" si="130"/>
        <v>4222565.1696304129</v>
      </c>
      <c r="S422" s="13">
        <f>IF(Calc!$AD$32="Sim",R422,Q422)</f>
        <v>4222565.1696304129</v>
      </c>
      <c r="T422" s="9">
        <f t="shared" si="131"/>
        <v>418</v>
      </c>
      <c r="U422" s="17">
        <f t="shared" ca="1" si="134"/>
        <v>58227</v>
      </c>
    </row>
    <row r="423" spans="2:21" x14ac:dyDescent="0.2">
      <c r="B423" s="17">
        <f t="shared" ca="1" si="132"/>
        <v>58227</v>
      </c>
      <c r="C423" s="9">
        <f t="shared" si="135"/>
        <v>419</v>
      </c>
      <c r="D423" s="9"/>
      <c r="E423" s="13">
        <f t="shared" si="133"/>
        <v>5493.6336241854278</v>
      </c>
      <c r="F423" s="14">
        <f t="shared" si="118"/>
        <v>1142462.9744725889</v>
      </c>
      <c r="G423" s="15">
        <f t="shared" si="119"/>
        <v>0.26852885731979403</v>
      </c>
      <c r="H423" s="13">
        <f t="shared" si="120"/>
        <v>119536.28144294619</v>
      </c>
      <c r="I423" s="13">
        <f t="shared" si="121"/>
        <v>10986998.581617456</v>
      </c>
      <c r="J423" s="15">
        <f t="shared" si="122"/>
        <v>0.73147114268020597</v>
      </c>
      <c r="K423" s="13">
        <f t="shared" si="123"/>
        <v>3112062.9110340737</v>
      </c>
      <c r="L423" s="13">
        <f t="shared" si="124"/>
        <v>315920578.27889413</v>
      </c>
      <c r="M423" s="15">
        <f t="shared" si="125"/>
        <v>0.73147114268020597</v>
      </c>
      <c r="N423" s="13">
        <f t="shared" si="126"/>
        <v>44573.459348557088</v>
      </c>
      <c r="O423" s="13">
        <f t="shared" si="127"/>
        <v>7874935.6705833795</v>
      </c>
      <c r="P423" s="15">
        <f t="shared" si="128"/>
        <v>0.6492403338901287</v>
      </c>
      <c r="Q423" s="7">
        <f t="shared" si="129"/>
        <v>12129461.556090042</v>
      </c>
      <c r="R423" s="7">
        <f t="shared" si="130"/>
        <v>4254525.8855066625</v>
      </c>
      <c r="S423" s="13">
        <f>IF(Calc!$AD$32="Sim",R423,Q423)</f>
        <v>4254525.8855066625</v>
      </c>
      <c r="T423" s="9">
        <f t="shared" si="131"/>
        <v>419</v>
      </c>
      <c r="U423" s="17">
        <f t="shared" ca="1" si="134"/>
        <v>58257</v>
      </c>
    </row>
    <row r="424" spans="2:21" x14ac:dyDescent="0.2">
      <c r="B424" s="17">
        <f t="shared" ca="1" si="132"/>
        <v>58257</v>
      </c>
      <c r="C424" s="9">
        <f>C423+1</f>
        <v>420</v>
      </c>
      <c r="D424" s="9">
        <v>35</v>
      </c>
      <c r="E424" s="13">
        <f t="shared" si="133"/>
        <v>5516.0153675923721</v>
      </c>
      <c r="F424" s="14">
        <f t="shared" si="118"/>
        <v>1147978.9898401813</v>
      </c>
      <c r="G424" s="15">
        <f t="shared" si="119"/>
        <v>0.26779959594760205</v>
      </c>
      <c r="H424" s="13">
        <f t="shared" si="120"/>
        <v>120781.28925032778</v>
      </c>
      <c r="I424" s="13">
        <f t="shared" si="121"/>
        <v>11107779.870867783</v>
      </c>
      <c r="J424" s="15">
        <f t="shared" si="122"/>
        <v>0.73220040405239795</v>
      </c>
      <c r="K424" s="13">
        <f t="shared" si="123"/>
        <v>3138730.2031968236</v>
      </c>
      <c r="L424" s="13">
        <f t="shared" si="124"/>
        <v>319059308.48209095</v>
      </c>
      <c r="M424" s="15">
        <f t="shared" si="125"/>
        <v>0.73220040405239784</v>
      </c>
      <c r="N424" s="13">
        <f t="shared" si="126"/>
        <v>45037.577870816851</v>
      </c>
      <c r="O424" s="13">
        <f t="shared" si="127"/>
        <v>7969049.6676709559</v>
      </c>
      <c r="P424" s="15">
        <f t="shared" si="128"/>
        <v>0.65022898689854114</v>
      </c>
      <c r="Q424" s="7">
        <f t="shared" si="129"/>
        <v>12255758.860707961</v>
      </c>
      <c r="R424" s="7">
        <f t="shared" si="130"/>
        <v>4286709.1930370051</v>
      </c>
      <c r="S424" s="13">
        <f>IF(Calc!$AD$32="Sim",R424,Q424)</f>
        <v>4286709.1930370051</v>
      </c>
      <c r="T424" s="9">
        <f t="shared" si="131"/>
        <v>420</v>
      </c>
      <c r="U424" s="17">
        <f t="shared" ca="1" si="134"/>
        <v>58288</v>
      </c>
    </row>
    <row r="425" spans="2:21" x14ac:dyDescent="0.2">
      <c r="B425" s="17">
        <f t="shared" ca="1" si="132"/>
        <v>58288</v>
      </c>
      <c r="C425" s="9">
        <f t="shared" si="135"/>
        <v>421</v>
      </c>
      <c r="D425" s="9"/>
      <c r="E425" s="13">
        <f t="shared" si="133"/>
        <v>5538.4882969924502</v>
      </c>
      <c r="F425" s="14">
        <f t="shared" si="118"/>
        <v>1153517.4781371737</v>
      </c>
      <c r="G425" s="15">
        <f t="shared" si="119"/>
        <v>0.26707255001646296</v>
      </c>
      <c r="H425" s="13">
        <f t="shared" si="120"/>
        <v>122038.91731650806</v>
      </c>
      <c r="I425" s="13">
        <f t="shared" si="121"/>
        <v>11229818.788184291</v>
      </c>
      <c r="J425" s="15">
        <f t="shared" si="122"/>
        <v>0.73292744998353698</v>
      </c>
      <c r="K425" s="13">
        <f t="shared" si="123"/>
        <v>3165599.0992350355</v>
      </c>
      <c r="L425" s="13">
        <f t="shared" si="124"/>
        <v>322224907.58132601</v>
      </c>
      <c r="M425" s="15">
        <f t="shared" si="125"/>
        <v>0.73292744998353698</v>
      </c>
      <c r="N425" s="13">
        <f t="shared" si="126"/>
        <v>45506.400520248688</v>
      </c>
      <c r="O425" s="13">
        <f t="shared" si="127"/>
        <v>8064219.6889492525</v>
      </c>
      <c r="P425" s="15">
        <f t="shared" si="128"/>
        <v>0.65121543302358964</v>
      </c>
      <c r="Q425" s="7">
        <f t="shared" si="129"/>
        <v>12383336.266321462</v>
      </c>
      <c r="R425" s="7">
        <f t="shared" si="130"/>
        <v>4319116.5773722092</v>
      </c>
      <c r="S425" s="13">
        <f>IF(Calc!$AD$32="Sim",R425,Q425)</f>
        <v>4319116.5773722092</v>
      </c>
      <c r="T425" s="9">
        <f t="shared" si="131"/>
        <v>421</v>
      </c>
      <c r="U425" s="17">
        <f t="shared" ca="1" si="134"/>
        <v>58319</v>
      </c>
    </row>
    <row r="426" spans="2:21" x14ac:dyDescent="0.2">
      <c r="B426" s="17">
        <f t="shared" ca="1" si="132"/>
        <v>58319</v>
      </c>
      <c r="C426" s="9">
        <f t="shared" si="135"/>
        <v>422</v>
      </c>
      <c r="D426" s="9"/>
      <c r="E426" s="13">
        <f t="shared" si="133"/>
        <v>5561.0527838886856</v>
      </c>
      <c r="F426" s="14">
        <f t="shared" si="118"/>
        <v>1159078.5309210625</v>
      </c>
      <c r="G426" s="15">
        <f t="shared" si="119"/>
        <v>0.26634771188982787</v>
      </c>
      <c r="H426" s="13">
        <f t="shared" si="120"/>
        <v>123309.29221797877</v>
      </c>
      <c r="I426" s="13">
        <f t="shared" si="121"/>
        <v>11353128.08040227</v>
      </c>
      <c r="J426" s="15">
        <f t="shared" si="122"/>
        <v>0.73365228811017213</v>
      </c>
      <c r="K426" s="13">
        <f t="shared" si="123"/>
        <v>3192671.0024126573</v>
      </c>
      <c r="L426" s="13">
        <f t="shared" si="124"/>
        <v>325417578.58373868</v>
      </c>
      <c r="M426" s="15">
        <f t="shared" si="125"/>
        <v>0.73365228811017213</v>
      </c>
      <c r="N426" s="13">
        <f t="shared" si="126"/>
        <v>45979.97447549909</v>
      </c>
      <c r="O426" s="13">
        <f t="shared" si="127"/>
        <v>8160457.077989609</v>
      </c>
      <c r="P426" s="15">
        <f t="shared" si="128"/>
        <v>0.65219967440471593</v>
      </c>
      <c r="Q426" s="7">
        <f t="shared" si="129"/>
        <v>12512206.611323329</v>
      </c>
      <c r="R426" s="7">
        <f t="shared" si="130"/>
        <v>4351749.5333337197</v>
      </c>
      <c r="S426" s="13">
        <f>IF(Calc!$AD$32="Sim",R426,Q426)</f>
        <v>4351749.5333337197</v>
      </c>
      <c r="T426" s="9">
        <f t="shared" si="131"/>
        <v>422</v>
      </c>
      <c r="U426" s="17">
        <f t="shared" ca="1" si="134"/>
        <v>58349</v>
      </c>
    </row>
    <row r="427" spans="2:21" x14ac:dyDescent="0.2">
      <c r="B427" s="17">
        <f t="shared" ca="1" si="132"/>
        <v>58349</v>
      </c>
      <c r="C427" s="9">
        <f t="shared" si="135"/>
        <v>423</v>
      </c>
      <c r="D427" s="9"/>
      <c r="E427" s="13">
        <f t="shared" si="133"/>
        <v>5583.70920129765</v>
      </c>
      <c r="F427" s="14">
        <f t="shared" si="118"/>
        <v>1164662.2401223602</v>
      </c>
      <c r="G427" s="15">
        <f t="shared" si="119"/>
        <v>0.26562507396163076</v>
      </c>
      <c r="H427" s="13">
        <f t="shared" si="120"/>
        <v>124592.54179533903</v>
      </c>
      <c r="I427" s="13">
        <f t="shared" si="121"/>
        <v>11477720.622197609</v>
      </c>
      <c r="J427" s="15">
        <f t="shared" si="122"/>
        <v>0.73437492603836918</v>
      </c>
      <c r="K427" s="13">
        <f t="shared" si="123"/>
        <v>3219947.3253533533</v>
      </c>
      <c r="L427" s="13">
        <f t="shared" si="124"/>
        <v>328637525.90909201</v>
      </c>
      <c r="M427" s="15">
        <f t="shared" si="125"/>
        <v>0.73437492603836918</v>
      </c>
      <c r="N427" s="13">
        <f t="shared" si="126"/>
        <v>46458.347386375157</v>
      </c>
      <c r="O427" s="13">
        <f t="shared" si="127"/>
        <v>8257773.2968442515</v>
      </c>
      <c r="P427" s="15">
        <f t="shared" si="128"/>
        <v>0.65318171319238882</v>
      </c>
      <c r="Q427" s="7">
        <f t="shared" si="129"/>
        <v>12642382.862319965</v>
      </c>
      <c r="R427" s="7">
        <f t="shared" si="130"/>
        <v>4384609.5654757135</v>
      </c>
      <c r="S427" s="13">
        <f>IF(Calc!$AD$32="Sim",R427,Q427)</f>
        <v>4384609.5654757135</v>
      </c>
      <c r="T427" s="9">
        <f t="shared" si="131"/>
        <v>423</v>
      </c>
      <c r="U427" s="17">
        <f t="shared" ca="1" si="134"/>
        <v>58380</v>
      </c>
    </row>
    <row r="428" spans="2:21" x14ac:dyDescent="0.2">
      <c r="B428" s="17">
        <f t="shared" ca="1" si="132"/>
        <v>58380</v>
      </c>
      <c r="C428" s="9">
        <f t="shared" si="135"/>
        <v>424</v>
      </c>
      <c r="D428" s="9"/>
      <c r="E428" s="13">
        <f t="shared" si="133"/>
        <v>5606.4579237556327</v>
      </c>
      <c r="F428" s="14">
        <f t="shared" si="118"/>
        <v>1170268.6980461159</v>
      </c>
      <c r="G428" s="15">
        <f t="shared" si="119"/>
        <v>0.26490462865613662</v>
      </c>
      <c r="H428" s="13">
        <f t="shared" si="120"/>
        <v>125888.79516589806</v>
      </c>
      <c r="I428" s="13">
        <f t="shared" si="121"/>
        <v>11603609.417363508</v>
      </c>
      <c r="J428" s="15">
        <f t="shared" si="122"/>
        <v>0.73509537134386338</v>
      </c>
      <c r="K428" s="13">
        <f t="shared" si="123"/>
        <v>3247429.4901014399</v>
      </c>
      <c r="L428" s="13">
        <f t="shared" si="124"/>
        <v>331884955.39919347</v>
      </c>
      <c r="M428" s="15">
        <f t="shared" si="125"/>
        <v>0.73509537134386327</v>
      </c>
      <c r="N428" s="13">
        <f t="shared" si="126"/>
        <v>46941.56737854184</v>
      </c>
      <c r="O428" s="13">
        <f t="shared" si="127"/>
        <v>8356179.9272620622</v>
      </c>
      <c r="P428" s="15">
        <f t="shared" si="128"/>
        <v>0.654161551548052</v>
      </c>
      <c r="Q428" s="7">
        <f t="shared" si="129"/>
        <v>12773878.115409618</v>
      </c>
      <c r="R428" s="7">
        <f t="shared" si="130"/>
        <v>4417698.188147556</v>
      </c>
      <c r="S428" s="13">
        <f>IF(Calc!$AD$32="Sim",R428,Q428)</f>
        <v>4417698.188147556</v>
      </c>
      <c r="T428" s="9">
        <f t="shared" si="131"/>
        <v>424</v>
      </c>
      <c r="U428" s="17">
        <f t="shared" ca="1" si="134"/>
        <v>58410</v>
      </c>
    </row>
    <row r="429" spans="2:21" x14ac:dyDescent="0.2">
      <c r="B429" s="17">
        <f t="shared" ca="1" si="132"/>
        <v>58410</v>
      </c>
      <c r="C429" s="9">
        <f t="shared" si="135"/>
        <v>425</v>
      </c>
      <c r="D429" s="9"/>
      <c r="E429" s="13">
        <f t="shared" si="133"/>
        <v>5629.2993273248294</v>
      </c>
      <c r="F429" s="14">
        <f t="shared" ref="F429:F492" si="136">F428+E429</f>
        <v>1175897.9973734408</v>
      </c>
      <c r="G429" s="15">
        <f t="shared" ref="G429:G492" si="137">IF(F429&lt;=0,0,F429/S429)</f>
        <v>0.26418636842779036</v>
      </c>
      <c r="H429" s="13">
        <f t="shared" ref="H429:H492" si="138">Q428*Taxa</f>
        <v>127198.1827364034</v>
      </c>
      <c r="I429" s="13">
        <f t="shared" ref="I429:I492" si="139">I428+H429</f>
        <v>11730807.600099912</v>
      </c>
      <c r="J429" s="15">
        <f t="shared" ref="J429:J492" si="140">1-G429</f>
        <v>0.73581363157220969</v>
      </c>
      <c r="K429" s="13">
        <f t="shared" ref="K429:K492" si="141">R429-F429</f>
        <v>3275118.9281832124</v>
      </c>
      <c r="L429" s="13">
        <f t="shared" ref="L429:L492" si="142">L428+K429</f>
        <v>335160074.32737666</v>
      </c>
      <c r="M429" s="15">
        <f t="shared" ref="M429:M492" si="143">K429/R429</f>
        <v>0.73581363157220958</v>
      </c>
      <c r="N429" s="13">
        <f t="shared" ref="N429:N492" si="144">Q429*Inflação</f>
        <v>47429.68305826599</v>
      </c>
      <c r="O429" s="13">
        <f t="shared" ref="O429:O492" si="145">Q429-R429</f>
        <v>8455688.6719166934</v>
      </c>
      <c r="P429" s="15">
        <f t="shared" ref="P429:P492" si="146">O429/Q429</f>
        <v>0.65513919164407086</v>
      </c>
      <c r="Q429" s="7">
        <f t="shared" ref="Q429:Q492" si="147">Q428+E429+H429</f>
        <v>12906705.597473348</v>
      </c>
      <c r="R429" s="7">
        <f t="shared" ref="R429:R492" si="148">(R428+E429)*(1+((1+Taxa)/(1+Inflação)-1))</f>
        <v>4451016.9255566532</v>
      </c>
      <c r="S429" s="13">
        <f>IF(Calc!$AD$32="Sim",R429,Q429)</f>
        <v>4451016.9255566532</v>
      </c>
      <c r="T429" s="9">
        <f t="shared" ref="T429:T492" si="149">C429</f>
        <v>425</v>
      </c>
      <c r="U429" s="17">
        <f t="shared" ca="1" si="134"/>
        <v>58441</v>
      </c>
    </row>
    <row r="430" spans="2:21" x14ac:dyDescent="0.2">
      <c r="B430" s="17">
        <f t="shared" ca="1" si="132"/>
        <v>58441</v>
      </c>
      <c r="C430" s="9">
        <f t="shared" si="135"/>
        <v>426</v>
      </c>
      <c r="D430" s="9"/>
      <c r="E430" s="13">
        <f t="shared" si="133"/>
        <v>5652.2337895995588</v>
      </c>
      <c r="F430" s="14">
        <f t="shared" si="136"/>
        <v>1181550.2311630403</v>
      </c>
      <c r="G430" s="15">
        <f t="shared" si="137"/>
        <v>0.26347028576106724</v>
      </c>
      <c r="H430" s="13">
        <f t="shared" si="138"/>
        <v>128520.8362158958</v>
      </c>
      <c r="I430" s="13">
        <f t="shared" si="139"/>
        <v>11859328.436315808</v>
      </c>
      <c r="J430" s="15">
        <f t="shared" si="140"/>
        <v>0.73652971423893276</v>
      </c>
      <c r="K430" s="13">
        <f t="shared" si="141"/>
        <v>3303017.0806686641</v>
      </c>
      <c r="L430" s="13">
        <f t="shared" si="142"/>
        <v>338463091.40804535</v>
      </c>
      <c r="M430" s="15">
        <f t="shared" si="143"/>
        <v>0.73652971423893276</v>
      </c>
      <c r="N430" s="13">
        <f t="shared" si="144"/>
        <v>47922.743517207658</v>
      </c>
      <c r="O430" s="13">
        <f t="shared" si="145"/>
        <v>8556311.3556471393</v>
      </c>
      <c r="P430" s="15">
        <f t="shared" si="146"/>
        <v>0.65611463566368</v>
      </c>
      <c r="Q430" s="7">
        <f t="shared" si="147"/>
        <v>13040878.667478845</v>
      </c>
      <c r="R430" s="7">
        <f t="shared" si="148"/>
        <v>4484567.3118317043</v>
      </c>
      <c r="S430" s="13">
        <f>IF(Calc!$AD$32="Sim",R430,Q430)</f>
        <v>4484567.3118317043</v>
      </c>
      <c r="T430" s="9">
        <f t="shared" si="149"/>
        <v>426</v>
      </c>
      <c r="U430" s="17">
        <f t="shared" ca="1" si="134"/>
        <v>58472</v>
      </c>
    </row>
    <row r="431" spans="2:21" x14ac:dyDescent="0.2">
      <c r="B431" s="17">
        <f t="shared" ca="1" si="132"/>
        <v>58472</v>
      </c>
      <c r="C431" s="9">
        <f t="shared" si="135"/>
        <v>427</v>
      </c>
      <c r="D431" s="9"/>
      <c r="E431" s="13">
        <f t="shared" si="133"/>
        <v>5675.2616897125072</v>
      </c>
      <c r="F431" s="14">
        <f t="shared" si="136"/>
        <v>1187225.4928527528</v>
      </c>
      <c r="G431" s="15">
        <f t="shared" si="137"/>
        <v>0.26275637317032419</v>
      </c>
      <c r="H431" s="13">
        <f t="shared" si="138"/>
        <v>129856.88862869247</v>
      </c>
      <c r="I431" s="13">
        <f t="shared" si="139"/>
        <v>11989185.324944502</v>
      </c>
      <c r="J431" s="15">
        <f t="shared" si="140"/>
        <v>0.73724362682967581</v>
      </c>
      <c r="K431" s="13">
        <f t="shared" si="141"/>
        <v>3331125.3982336009</v>
      </c>
      <c r="L431" s="13">
        <f t="shared" si="142"/>
        <v>341794216.80627894</v>
      </c>
      <c r="M431" s="15">
        <f t="shared" si="143"/>
        <v>0.73724362682967581</v>
      </c>
      <c r="N431" s="13">
        <f t="shared" si="144"/>
        <v>48420.798337259163</v>
      </c>
      <c r="O431" s="13">
        <f t="shared" si="145"/>
        <v>8658059.9267108962</v>
      </c>
      <c r="P431" s="15">
        <f t="shared" si="146"/>
        <v>0.65708788580092981</v>
      </c>
      <c r="Q431" s="7">
        <f t="shared" si="147"/>
        <v>13176410.817797251</v>
      </c>
      <c r="R431" s="7">
        <f t="shared" si="148"/>
        <v>4518350.8910863539</v>
      </c>
      <c r="S431" s="13">
        <f>IF(Calc!$AD$32="Sim",R431,Q431)</f>
        <v>4518350.8910863539</v>
      </c>
      <c r="T431" s="9">
        <f t="shared" si="149"/>
        <v>427</v>
      </c>
      <c r="U431" s="17">
        <f t="shared" ca="1" si="134"/>
        <v>58501</v>
      </c>
    </row>
    <row r="432" spans="2:21" x14ac:dyDescent="0.2">
      <c r="B432" s="17">
        <f t="shared" ca="1" si="132"/>
        <v>58501</v>
      </c>
      <c r="C432" s="9">
        <f t="shared" si="135"/>
        <v>428</v>
      </c>
      <c r="D432" s="9"/>
      <c r="E432" s="13">
        <f t="shared" si="133"/>
        <v>5698.3834083409929</v>
      </c>
      <c r="F432" s="14">
        <f t="shared" si="136"/>
        <v>1192923.8762610939</v>
      </c>
      <c r="G432" s="15">
        <f t="shared" si="137"/>
        <v>0.2620446231996521</v>
      </c>
      <c r="H432" s="13">
        <f t="shared" si="138"/>
        <v>131206.47432749931</v>
      </c>
      <c r="I432" s="13">
        <f t="shared" si="139"/>
        <v>12120391.799272001</v>
      </c>
      <c r="J432" s="15">
        <f t="shared" si="140"/>
        <v>0.73795537680034795</v>
      </c>
      <c r="K432" s="13">
        <f t="shared" si="141"/>
        <v>3359445.3412221586</v>
      </c>
      <c r="L432" s="13">
        <f t="shared" si="142"/>
        <v>345153662.14750111</v>
      </c>
      <c r="M432" s="15">
        <f t="shared" si="143"/>
        <v>0.73795537680034795</v>
      </c>
      <c r="N432" s="13">
        <f t="shared" si="144"/>
        <v>48923.897595432296</v>
      </c>
      <c r="O432" s="13">
        <f t="shared" si="145"/>
        <v>8760946.4580498394</v>
      </c>
      <c r="P432" s="15">
        <f t="shared" si="146"/>
        <v>0.65805894426063283</v>
      </c>
      <c r="Q432" s="7">
        <f t="shared" si="147"/>
        <v>13313315.675533092</v>
      </c>
      <c r="R432" s="7">
        <f t="shared" si="148"/>
        <v>4552369.2174832523</v>
      </c>
      <c r="S432" s="13">
        <f>IF(Calc!$AD$32="Sim",R432,Q432)</f>
        <v>4552369.2174832523</v>
      </c>
      <c r="T432" s="9">
        <f t="shared" si="149"/>
        <v>428</v>
      </c>
      <c r="U432" s="17">
        <f t="shared" ca="1" si="134"/>
        <v>58532</v>
      </c>
    </row>
    <row r="433" spans="2:21" x14ac:dyDescent="0.2">
      <c r="B433" s="17">
        <f t="shared" ca="1" si="132"/>
        <v>58532</v>
      </c>
      <c r="C433" s="9">
        <f t="shared" si="135"/>
        <v>429</v>
      </c>
      <c r="D433" s="9"/>
      <c r="E433" s="13">
        <f t="shared" si="133"/>
        <v>5721.599327713262</v>
      </c>
      <c r="F433" s="14">
        <f t="shared" si="136"/>
        <v>1198645.4755888071</v>
      </c>
      <c r="G433" s="15">
        <f t="shared" si="137"/>
        <v>0.26133502842272927</v>
      </c>
      <c r="H433" s="13">
        <f t="shared" si="138"/>
        <v>132569.72900665406</v>
      </c>
      <c r="I433" s="13">
        <f t="shared" si="139"/>
        <v>12252961.528278654</v>
      </c>
      <c r="J433" s="15">
        <f t="shared" si="140"/>
        <v>0.73866497157727073</v>
      </c>
      <c r="K433" s="13">
        <f t="shared" si="141"/>
        <v>3387978.3797097141</v>
      </c>
      <c r="L433" s="13">
        <f t="shared" si="142"/>
        <v>348541640.52721083</v>
      </c>
      <c r="M433" s="15">
        <f t="shared" si="143"/>
        <v>0.73866497157727073</v>
      </c>
      <c r="N433" s="13">
        <f t="shared" si="144"/>
        <v>49432.091868794327</v>
      </c>
      <c r="O433" s="13">
        <f t="shared" si="145"/>
        <v>8864983.1485689376</v>
      </c>
      <c r="P433" s="15">
        <f t="shared" si="146"/>
        <v>0.65902781325830995</v>
      </c>
      <c r="Q433" s="7">
        <f t="shared" si="147"/>
        <v>13451607.003867459</v>
      </c>
      <c r="R433" s="7">
        <f t="shared" si="148"/>
        <v>4586623.855298521</v>
      </c>
      <c r="S433" s="13">
        <f>IF(Calc!$AD$32="Sim",R433,Q433)</f>
        <v>4586623.855298521</v>
      </c>
      <c r="T433" s="9">
        <f t="shared" si="149"/>
        <v>429</v>
      </c>
      <c r="U433" s="17">
        <f t="shared" ca="1" si="134"/>
        <v>58562</v>
      </c>
    </row>
    <row r="434" spans="2:21" x14ac:dyDescent="0.2">
      <c r="B434" s="17">
        <f t="shared" ca="1" si="132"/>
        <v>58562</v>
      </c>
      <c r="C434" s="9">
        <f t="shared" si="135"/>
        <v>430</v>
      </c>
      <c r="D434" s="9"/>
      <c r="E434" s="13">
        <f t="shared" si="133"/>
        <v>5744.9098316148047</v>
      </c>
      <c r="F434" s="14">
        <f t="shared" si="136"/>
        <v>1204390.3854204218</v>
      </c>
      <c r="G434" s="15">
        <f t="shared" si="137"/>
        <v>0.26062758144267606</v>
      </c>
      <c r="H434" s="13">
        <f t="shared" si="138"/>
        <v>133946.78971550133</v>
      </c>
      <c r="I434" s="13">
        <f t="shared" si="139"/>
        <v>12386908.317994155</v>
      </c>
      <c r="J434" s="15">
        <f t="shared" si="140"/>
        <v>0.73937241855732394</v>
      </c>
      <c r="K434" s="13">
        <f t="shared" si="141"/>
        <v>3416725.9935662067</v>
      </c>
      <c r="L434" s="13">
        <f t="shared" si="142"/>
        <v>351958366.52077705</v>
      </c>
      <c r="M434" s="15">
        <f t="shared" si="143"/>
        <v>0.73937241855732394</v>
      </c>
      <c r="N434" s="13">
        <f t="shared" si="144"/>
        <v>49945.432239453068</v>
      </c>
      <c r="O434" s="13">
        <f t="shared" si="145"/>
        <v>8970182.3244279455</v>
      </c>
      <c r="P434" s="15">
        <f t="shared" si="146"/>
        <v>0.65999449502013707</v>
      </c>
      <c r="Q434" s="7">
        <f t="shared" si="147"/>
        <v>13591298.703414574</v>
      </c>
      <c r="R434" s="7">
        <f t="shared" si="148"/>
        <v>4621116.3789866287</v>
      </c>
      <c r="S434" s="13">
        <f>IF(Calc!$AD$32="Sim",R434,Q434)</f>
        <v>4621116.3789866287</v>
      </c>
      <c r="T434" s="9">
        <f t="shared" si="149"/>
        <v>430</v>
      </c>
      <c r="U434" s="17">
        <f t="shared" ca="1" si="134"/>
        <v>58593</v>
      </c>
    </row>
    <row r="435" spans="2:21" x14ac:dyDescent="0.2">
      <c r="B435" s="17">
        <f t="shared" ca="1" si="132"/>
        <v>58593</v>
      </c>
      <c r="C435" s="9">
        <f t="shared" si="135"/>
        <v>431</v>
      </c>
      <c r="D435" s="9"/>
      <c r="E435" s="13">
        <f t="shared" si="133"/>
        <v>5768.3153053947017</v>
      </c>
      <c r="F435" s="14">
        <f t="shared" si="136"/>
        <v>1210158.7007258164</v>
      </c>
      <c r="G435" s="15">
        <f t="shared" si="137"/>
        <v>0.25992227489191022</v>
      </c>
      <c r="H435" s="13">
        <f t="shared" si="138"/>
        <v>135337.79487190078</v>
      </c>
      <c r="I435" s="13">
        <f t="shared" si="139"/>
        <v>12522246.112866055</v>
      </c>
      <c r="J435" s="15">
        <f t="shared" si="140"/>
        <v>0.74007772510808978</v>
      </c>
      <c r="K435" s="13">
        <f t="shared" si="141"/>
        <v>3445689.6725198627</v>
      </c>
      <c r="L435" s="13">
        <f t="shared" si="142"/>
        <v>355404056.19329691</v>
      </c>
      <c r="M435" s="15">
        <f t="shared" si="143"/>
        <v>0.74007772510808978</v>
      </c>
      <c r="N435" s="13">
        <f t="shared" si="144"/>
        <v>50463.970299591674</v>
      </c>
      <c r="O435" s="13">
        <f t="shared" si="145"/>
        <v>9076556.4403461907</v>
      </c>
      <c r="P435" s="15">
        <f t="shared" si="146"/>
        <v>0.66095899178289019</v>
      </c>
      <c r="Q435" s="7">
        <f t="shared" si="147"/>
        <v>13732404.81359187</v>
      </c>
      <c r="R435" s="7">
        <f t="shared" si="148"/>
        <v>4655848.3732456788</v>
      </c>
      <c r="S435" s="13">
        <f>IF(Calc!$AD$32="Sim",R435,Q435)</f>
        <v>4655848.3732456788</v>
      </c>
      <c r="T435" s="9">
        <f t="shared" si="149"/>
        <v>431</v>
      </c>
      <c r="U435" s="17">
        <f t="shared" ca="1" si="134"/>
        <v>58623</v>
      </c>
    </row>
    <row r="436" spans="2:21" x14ac:dyDescent="0.2">
      <c r="B436" s="17">
        <f t="shared" ca="1" si="132"/>
        <v>58623</v>
      </c>
      <c r="C436" s="9">
        <f t="shared" si="135"/>
        <v>432</v>
      </c>
      <c r="D436" s="9">
        <v>36</v>
      </c>
      <c r="E436" s="13">
        <f t="shared" si="133"/>
        <v>5791.8161359719934</v>
      </c>
      <c r="F436" s="14">
        <f t="shared" si="136"/>
        <v>1215950.5168617885</v>
      </c>
      <c r="G436" s="15">
        <f t="shared" si="137"/>
        <v>0.25921910143200366</v>
      </c>
      <c r="H436" s="13">
        <f t="shared" si="138"/>
        <v>136742.88427586987</v>
      </c>
      <c r="I436" s="13">
        <f t="shared" si="139"/>
        <v>12658988.997141926</v>
      </c>
      <c r="J436" s="15">
        <f t="shared" si="140"/>
        <v>0.74078089856799634</v>
      </c>
      <c r="K436" s="13">
        <f t="shared" si="141"/>
        <v>3474870.9162213258</v>
      </c>
      <c r="L436" s="13">
        <f t="shared" si="142"/>
        <v>358878927.10951823</v>
      </c>
      <c r="M436" s="15">
        <f t="shared" si="143"/>
        <v>0.74078089856799634</v>
      </c>
      <c r="N436" s="13">
        <f t="shared" si="144"/>
        <v>50987.758156553566</v>
      </c>
      <c r="O436" s="13">
        <f t="shared" si="145"/>
        <v>9184118.0809205994</v>
      </c>
      <c r="P436" s="15">
        <f t="shared" si="146"/>
        <v>0.66192130579389152</v>
      </c>
      <c r="Q436" s="7">
        <f t="shared" si="147"/>
        <v>13874939.514003713</v>
      </c>
      <c r="R436" s="7">
        <f t="shared" si="148"/>
        <v>4690821.4330831142</v>
      </c>
      <c r="S436" s="13">
        <f>IF(Calc!$AD$32="Sim",R436,Q436)</f>
        <v>4690821.4330831142</v>
      </c>
      <c r="T436" s="9">
        <f t="shared" si="149"/>
        <v>432</v>
      </c>
      <c r="U436" s="17">
        <f t="shared" ca="1" si="134"/>
        <v>58654</v>
      </c>
    </row>
    <row r="437" spans="2:21" x14ac:dyDescent="0.2">
      <c r="B437" s="17">
        <f t="shared" ca="1" si="132"/>
        <v>58654</v>
      </c>
      <c r="C437" s="9">
        <f t="shared" si="135"/>
        <v>433</v>
      </c>
      <c r="D437" s="9"/>
      <c r="E437" s="13">
        <f t="shared" si="133"/>
        <v>5815.4127118420756</v>
      </c>
      <c r="F437" s="14">
        <f t="shared" si="136"/>
        <v>1221765.9295736304</v>
      </c>
      <c r="G437" s="15">
        <f t="shared" si="137"/>
        <v>0.25851805375353948</v>
      </c>
      <c r="H437" s="13">
        <f t="shared" si="138"/>
        <v>138162.19912336266</v>
      </c>
      <c r="I437" s="13">
        <f t="shared" si="139"/>
        <v>12797151.196265288</v>
      </c>
      <c r="J437" s="15">
        <f t="shared" si="140"/>
        <v>0.74148194624646058</v>
      </c>
      <c r="K437" s="13">
        <f t="shared" si="141"/>
        <v>3504271.2343082079</v>
      </c>
      <c r="L437" s="13">
        <f t="shared" si="142"/>
        <v>362383198.34382641</v>
      </c>
      <c r="M437" s="15">
        <f t="shared" si="143"/>
        <v>0.74148194624646047</v>
      </c>
      <c r="N437" s="13">
        <f t="shared" si="144"/>
        <v>51516.84843797802</v>
      </c>
      <c r="O437" s="13">
        <f t="shared" si="145"/>
        <v>9292879.9619570784</v>
      </c>
      <c r="P437" s="15">
        <f t="shared" si="146"/>
        <v>0.66288143931095367</v>
      </c>
      <c r="Q437" s="7">
        <f t="shared" si="147"/>
        <v>14018917.125838917</v>
      </c>
      <c r="R437" s="7">
        <f t="shared" si="148"/>
        <v>4726037.1638818383</v>
      </c>
      <c r="S437" s="13">
        <f>IF(Calc!$AD$32="Sim",R437,Q437)</f>
        <v>4726037.1638818383</v>
      </c>
      <c r="T437" s="9">
        <f t="shared" si="149"/>
        <v>433</v>
      </c>
      <c r="U437" s="17">
        <f t="shared" ca="1" si="134"/>
        <v>58685</v>
      </c>
    </row>
    <row r="438" spans="2:21" x14ac:dyDescent="0.2">
      <c r="B438" s="17">
        <f t="shared" ca="1" si="132"/>
        <v>58685</v>
      </c>
      <c r="C438" s="9">
        <f t="shared" si="135"/>
        <v>434</v>
      </c>
      <c r="D438" s="9"/>
      <c r="E438" s="13">
        <f t="shared" si="133"/>
        <v>5839.1054230831223</v>
      </c>
      <c r="F438" s="14">
        <f t="shared" si="136"/>
        <v>1227605.0349967135</v>
      </c>
      <c r="G438" s="15">
        <f t="shared" si="137"/>
        <v>0.25781912457597117</v>
      </c>
      <c r="H438" s="13">
        <f t="shared" si="138"/>
        <v>139595.88202018573</v>
      </c>
      <c r="I438" s="13">
        <f t="shared" si="139"/>
        <v>12936747.078285474</v>
      </c>
      <c r="J438" s="15">
        <f t="shared" si="140"/>
        <v>0.74218087542402889</v>
      </c>
      <c r="K438" s="13">
        <f t="shared" si="141"/>
        <v>3533892.1464700438</v>
      </c>
      <c r="L438" s="13">
        <f t="shared" si="142"/>
        <v>365917090.49029648</v>
      </c>
      <c r="M438" s="15">
        <f t="shared" si="143"/>
        <v>0.74218087542402877</v>
      </c>
      <c r="N438" s="13">
        <f t="shared" si="144"/>
        <v>52051.294296986962</v>
      </c>
      <c r="O438" s="13">
        <f t="shared" si="145"/>
        <v>9402854.9318154305</v>
      </c>
      <c r="P438" s="15">
        <f t="shared" si="146"/>
        <v>0.66383939460232644</v>
      </c>
      <c r="Q438" s="7">
        <f t="shared" si="147"/>
        <v>14164352.113282187</v>
      </c>
      <c r="R438" s="7">
        <f t="shared" si="148"/>
        <v>4761497.1814667573</v>
      </c>
      <c r="S438" s="13">
        <f>IF(Calc!$AD$32="Sim",R438,Q438)</f>
        <v>4761497.1814667573</v>
      </c>
      <c r="T438" s="9">
        <f t="shared" si="149"/>
        <v>434</v>
      </c>
      <c r="U438" s="17">
        <f t="shared" ca="1" si="134"/>
        <v>58715</v>
      </c>
    </row>
    <row r="439" spans="2:21" x14ac:dyDescent="0.2">
      <c r="B439" s="17">
        <f t="shared" ca="1" si="132"/>
        <v>58715</v>
      </c>
      <c r="C439" s="9">
        <f t="shared" si="135"/>
        <v>435</v>
      </c>
      <c r="D439" s="9"/>
      <c r="E439" s="13">
        <f t="shared" si="133"/>
        <v>5862.8946613625358</v>
      </c>
      <c r="F439" s="14">
        <f t="shared" si="136"/>
        <v>1233467.929658076</v>
      </c>
      <c r="G439" s="15">
        <f t="shared" si="137"/>
        <v>0.25712230664748159</v>
      </c>
      <c r="H439" s="13">
        <f t="shared" si="138"/>
        <v>141044.0769960529</v>
      </c>
      <c r="I439" s="13">
        <f t="shared" si="139"/>
        <v>13077791.155281527</v>
      </c>
      <c r="J439" s="15">
        <f t="shared" si="140"/>
        <v>0.74287769335251841</v>
      </c>
      <c r="K439" s="13">
        <f t="shared" si="141"/>
        <v>3563735.1825136673</v>
      </c>
      <c r="L439" s="13">
        <f t="shared" si="142"/>
        <v>369480825.67281014</v>
      </c>
      <c r="M439" s="15">
        <f t="shared" si="143"/>
        <v>0.74287769335251841</v>
      </c>
      <c r="N439" s="13">
        <f t="shared" si="144"/>
        <v>52591.149417423345</v>
      </c>
      <c r="O439" s="13">
        <f t="shared" si="145"/>
        <v>9514055.9727678597</v>
      </c>
      <c r="P439" s="15">
        <f t="shared" si="146"/>
        <v>0.66479517394664034</v>
      </c>
      <c r="Q439" s="7">
        <f t="shared" si="147"/>
        <v>14311259.084939603</v>
      </c>
      <c r="R439" s="7">
        <f t="shared" si="148"/>
        <v>4797203.1121717431</v>
      </c>
      <c r="S439" s="13">
        <f>IF(Calc!$AD$32="Sim",R439,Q439)</f>
        <v>4797203.1121717431</v>
      </c>
      <c r="T439" s="9">
        <f t="shared" si="149"/>
        <v>435</v>
      </c>
      <c r="U439" s="17">
        <f t="shared" ca="1" si="134"/>
        <v>58746</v>
      </c>
    </row>
    <row r="440" spans="2:21" x14ac:dyDescent="0.2">
      <c r="B440" s="17">
        <f t="shared" ca="1" si="132"/>
        <v>58746</v>
      </c>
      <c r="C440" s="9">
        <f t="shared" si="135"/>
        <v>436</v>
      </c>
      <c r="D440" s="9"/>
      <c r="E440" s="13">
        <f t="shared" si="133"/>
        <v>5886.7808199434176</v>
      </c>
      <c r="F440" s="14">
        <f t="shared" si="136"/>
        <v>1239354.7104780194</v>
      </c>
      <c r="G440" s="15">
        <f t="shared" si="137"/>
        <v>0.25642759274484378</v>
      </c>
      <c r="H440" s="13">
        <f t="shared" si="138"/>
        <v>142506.92951877968</v>
      </c>
      <c r="I440" s="13">
        <f t="shared" si="139"/>
        <v>13220298.084800307</v>
      </c>
      <c r="J440" s="15">
        <f t="shared" si="140"/>
        <v>0.74357240725515616</v>
      </c>
      <c r="K440" s="13">
        <f t="shared" si="141"/>
        <v>3593801.882429006</v>
      </c>
      <c r="L440" s="13">
        <f t="shared" si="142"/>
        <v>373074627.55523914</v>
      </c>
      <c r="M440" s="15">
        <f t="shared" si="143"/>
        <v>0.74357240725515628</v>
      </c>
      <c r="N440" s="13">
        <f t="shared" si="144"/>
        <v>53136.468019141786</v>
      </c>
      <c r="O440" s="13">
        <f t="shared" si="145"/>
        <v>9626496.2023712993</v>
      </c>
      <c r="P440" s="15">
        <f t="shared" si="146"/>
        <v>0.66574877963285173</v>
      </c>
      <c r="Q440" s="7">
        <f t="shared" si="147"/>
        <v>14459652.795278326</v>
      </c>
      <c r="R440" s="7">
        <f t="shared" si="148"/>
        <v>4833156.5929070255</v>
      </c>
      <c r="S440" s="13">
        <f>IF(Calc!$AD$32="Sim",R440,Q440)</f>
        <v>4833156.5929070255</v>
      </c>
      <c r="T440" s="9">
        <f t="shared" si="149"/>
        <v>436</v>
      </c>
      <c r="U440" s="17">
        <f t="shared" ca="1" si="134"/>
        <v>58776</v>
      </c>
    </row>
    <row r="441" spans="2:21" x14ac:dyDescent="0.2">
      <c r="B441" s="17">
        <f t="shared" ca="1" si="132"/>
        <v>58776</v>
      </c>
      <c r="C441" s="9">
        <f t="shared" si="135"/>
        <v>437</v>
      </c>
      <c r="D441" s="9"/>
      <c r="E441" s="13">
        <f t="shared" si="133"/>
        <v>5910.7642936910743</v>
      </c>
      <c r="F441" s="14">
        <f t="shared" si="136"/>
        <v>1245265.4747717106</v>
      </c>
      <c r="G441" s="15">
        <f t="shared" si="137"/>
        <v>0.25573497567328213</v>
      </c>
      <c r="H441" s="13">
        <f t="shared" si="138"/>
        <v>143984.58650861957</v>
      </c>
      <c r="I441" s="13">
        <f t="shared" si="139"/>
        <v>13364282.671308925</v>
      </c>
      <c r="J441" s="15">
        <f t="shared" si="140"/>
        <v>0.74426502432671793</v>
      </c>
      <c r="K441" s="13">
        <f t="shared" si="141"/>
        <v>3624093.7964553009</v>
      </c>
      <c r="L441" s="13">
        <f t="shared" si="142"/>
        <v>376698721.35169446</v>
      </c>
      <c r="M441" s="15">
        <f t="shared" si="143"/>
        <v>0.74426502432671782</v>
      </c>
      <c r="N441" s="13">
        <f t="shared" si="144"/>
        <v>53687.304863351892</v>
      </c>
      <c r="O441" s="13">
        <f t="shared" si="145"/>
        <v>9740188.874853624</v>
      </c>
      <c r="P441" s="15">
        <f t="shared" si="146"/>
        <v>0.66670021396018775</v>
      </c>
      <c r="Q441" s="7">
        <f t="shared" si="147"/>
        <v>14609548.146080635</v>
      </c>
      <c r="R441" s="7">
        <f t="shared" si="148"/>
        <v>4869359.2712270115</v>
      </c>
      <c r="S441" s="13">
        <f>IF(Calc!$AD$32="Sim",R441,Q441)</f>
        <v>4869359.2712270115</v>
      </c>
      <c r="T441" s="9">
        <f t="shared" si="149"/>
        <v>437</v>
      </c>
      <c r="U441" s="17">
        <f t="shared" ca="1" si="134"/>
        <v>58807</v>
      </c>
    </row>
    <row r="442" spans="2:21" x14ac:dyDescent="0.2">
      <c r="B442" s="17">
        <f t="shared" ca="1" si="132"/>
        <v>58807</v>
      </c>
      <c r="C442" s="9">
        <f t="shared" si="135"/>
        <v>438</v>
      </c>
      <c r="D442" s="9"/>
      <c r="E442" s="13">
        <f t="shared" si="133"/>
        <v>5934.8454790795404</v>
      </c>
      <c r="F442" s="14">
        <f t="shared" si="136"/>
        <v>1251200.3202507901</v>
      </c>
      <c r="G442" s="15">
        <f t="shared" si="137"/>
        <v>0.2550444482663351</v>
      </c>
      <c r="H442" s="13">
        <f t="shared" si="138"/>
        <v>145477.1963527427</v>
      </c>
      <c r="I442" s="13">
        <f t="shared" si="139"/>
        <v>13509759.867661668</v>
      </c>
      <c r="J442" s="15">
        <f t="shared" si="140"/>
        <v>0.7449555517336649</v>
      </c>
      <c r="K442" s="13">
        <f t="shared" si="141"/>
        <v>3654612.4851477421</v>
      </c>
      <c r="L442" s="13">
        <f t="shared" si="142"/>
        <v>380353333.83684218</v>
      </c>
      <c r="M442" s="15">
        <f t="shared" si="143"/>
        <v>0.7449555517336649</v>
      </c>
      <c r="N442" s="13">
        <f t="shared" si="144"/>
        <v>54243.715258014818</v>
      </c>
      <c r="O442" s="13">
        <f t="shared" si="145"/>
        <v>9855147.3825139254</v>
      </c>
      <c r="P442" s="15">
        <f t="shared" si="146"/>
        <v>0.66764947923808959</v>
      </c>
      <c r="Q442" s="7">
        <f t="shared" si="147"/>
        <v>14760960.187912459</v>
      </c>
      <c r="R442" s="7">
        <f t="shared" si="148"/>
        <v>4905812.8053985322</v>
      </c>
      <c r="S442" s="13">
        <f>IF(Calc!$AD$32="Sim",R442,Q442)</f>
        <v>4905812.8053985322</v>
      </c>
      <c r="T442" s="9">
        <f t="shared" si="149"/>
        <v>438</v>
      </c>
      <c r="U442" s="17">
        <f t="shared" ca="1" si="134"/>
        <v>58838</v>
      </c>
    </row>
    <row r="443" spans="2:21" x14ac:dyDescent="0.2">
      <c r="B443" s="17">
        <f t="shared" ca="1" si="132"/>
        <v>58838</v>
      </c>
      <c r="C443" s="9">
        <f t="shared" si="135"/>
        <v>439</v>
      </c>
      <c r="D443" s="9"/>
      <c r="E443" s="13">
        <f t="shared" si="133"/>
        <v>5959.0247741981366</v>
      </c>
      <c r="F443" s="14">
        <f t="shared" si="136"/>
        <v>1257159.3450249883</v>
      </c>
      <c r="G443" s="15">
        <f t="shared" si="137"/>
        <v>0.25435600338571834</v>
      </c>
      <c r="H443" s="13">
        <f t="shared" si="138"/>
        <v>146984.9089198591</v>
      </c>
      <c r="I443" s="13">
        <f t="shared" si="139"/>
        <v>13656744.776581528</v>
      </c>
      <c r="J443" s="15">
        <f t="shared" si="140"/>
        <v>0.7456439966142816</v>
      </c>
      <c r="K443" s="13">
        <f t="shared" si="141"/>
        <v>3685359.5194445411</v>
      </c>
      <c r="L443" s="13">
        <f t="shared" si="142"/>
        <v>384038693.3562867</v>
      </c>
      <c r="M443" s="15">
        <f t="shared" si="143"/>
        <v>0.74564399661428171</v>
      </c>
      <c r="N443" s="13">
        <f t="shared" si="144"/>
        <v>54805.755063293531</v>
      </c>
      <c r="O443" s="13">
        <f t="shared" si="145"/>
        <v>9971385.2571369857</v>
      </c>
      <c r="P443" s="15">
        <f t="shared" si="146"/>
        <v>0.66859657778615744</v>
      </c>
      <c r="Q443" s="7">
        <f t="shared" si="147"/>
        <v>14913904.121606516</v>
      </c>
      <c r="R443" s="7">
        <f t="shared" si="148"/>
        <v>4942518.8644695291</v>
      </c>
      <c r="S443" s="13">
        <f>IF(Calc!$AD$32="Sim",R443,Q443)</f>
        <v>4942518.8644695291</v>
      </c>
      <c r="T443" s="9">
        <f t="shared" si="149"/>
        <v>439</v>
      </c>
      <c r="U443" s="17">
        <f t="shared" ca="1" si="134"/>
        <v>58866</v>
      </c>
    </row>
    <row r="444" spans="2:21" x14ac:dyDescent="0.2">
      <c r="B444" s="17">
        <f t="shared" ca="1" si="132"/>
        <v>58866</v>
      </c>
      <c r="C444" s="9">
        <f t="shared" si="135"/>
        <v>440</v>
      </c>
      <c r="D444" s="9"/>
      <c r="E444" s="13">
        <f t="shared" si="133"/>
        <v>5983.3025787580473</v>
      </c>
      <c r="F444" s="14">
        <f t="shared" si="136"/>
        <v>1263142.6476037463</v>
      </c>
      <c r="G444" s="15">
        <f t="shared" si="137"/>
        <v>0.25366963392118907</v>
      </c>
      <c r="H444" s="13">
        <f t="shared" si="138"/>
        <v>148507.87557498732</v>
      </c>
      <c r="I444" s="13">
        <f t="shared" si="139"/>
        <v>13805252.652156515</v>
      </c>
      <c r="J444" s="15">
        <f t="shared" si="140"/>
        <v>0.74633036607881098</v>
      </c>
      <c r="K444" s="13">
        <f t="shared" si="141"/>
        <v>3716336.4807344275</v>
      </c>
      <c r="L444" s="13">
        <f t="shared" si="142"/>
        <v>387755029.83702111</v>
      </c>
      <c r="M444" s="15">
        <f t="shared" si="143"/>
        <v>0.74633036607881087</v>
      </c>
      <c r="N444" s="13">
        <f t="shared" si="144"/>
        <v>55373.480697057479</v>
      </c>
      <c r="O444" s="13">
        <f t="shared" si="145"/>
        <v>10088916.171422087</v>
      </c>
      <c r="P444" s="15">
        <f t="shared" si="146"/>
        <v>0.66954151193409439</v>
      </c>
      <c r="Q444" s="7">
        <f t="shared" si="147"/>
        <v>15068395.299760262</v>
      </c>
      <c r="R444" s="7">
        <f t="shared" si="148"/>
        <v>4979479.128338174</v>
      </c>
      <c r="S444" s="13">
        <f>IF(Calc!$AD$32="Sim",R444,Q444)</f>
        <v>4979479.128338174</v>
      </c>
      <c r="T444" s="9">
        <f t="shared" si="149"/>
        <v>440</v>
      </c>
      <c r="U444" s="17">
        <f t="shared" ca="1" si="134"/>
        <v>58897</v>
      </c>
    </row>
    <row r="445" spans="2:21" x14ac:dyDescent="0.2">
      <c r="B445" s="17">
        <f t="shared" ca="1" si="132"/>
        <v>58897</v>
      </c>
      <c r="C445" s="9">
        <f t="shared" si="135"/>
        <v>441</v>
      </c>
      <c r="D445" s="9"/>
      <c r="E445" s="13">
        <f t="shared" si="133"/>
        <v>6007.6792940989299</v>
      </c>
      <c r="F445" s="14">
        <f t="shared" si="136"/>
        <v>1269150.3268978451</v>
      </c>
      <c r="G445" s="15">
        <f t="shared" si="137"/>
        <v>0.2529853327904113</v>
      </c>
      <c r="H445" s="13">
        <f t="shared" si="138"/>
        <v>150046.24919437052</v>
      </c>
      <c r="I445" s="13">
        <f t="shared" si="139"/>
        <v>13955298.901350886</v>
      </c>
      <c r="J445" s="15">
        <f t="shared" si="140"/>
        <v>0.74701466720958876</v>
      </c>
      <c r="K445" s="13">
        <f t="shared" si="141"/>
        <v>3747544.960924583</v>
      </c>
      <c r="L445" s="13">
        <f t="shared" si="142"/>
        <v>391502574.79794568</v>
      </c>
      <c r="M445" s="15">
        <f t="shared" si="143"/>
        <v>0.74701466720958876</v>
      </c>
      <c r="N445" s="13">
        <f t="shared" si="144"/>
        <v>55946.949140442004</v>
      </c>
      <c r="O445" s="13">
        <f t="shared" si="145"/>
        <v>10207753.940426301</v>
      </c>
      <c r="P445" s="15">
        <f t="shared" si="146"/>
        <v>0.67048428402164928</v>
      </c>
      <c r="Q445" s="7">
        <f t="shared" si="147"/>
        <v>15224449.22824873</v>
      </c>
      <c r="R445" s="7">
        <f t="shared" si="148"/>
        <v>5016695.2878224282</v>
      </c>
      <c r="S445" s="13">
        <f>IF(Calc!$AD$32="Sim",R445,Q445)</f>
        <v>5016695.2878224282</v>
      </c>
      <c r="T445" s="9">
        <f t="shared" si="149"/>
        <v>441</v>
      </c>
      <c r="U445" s="17">
        <f t="shared" ca="1" si="134"/>
        <v>58927</v>
      </c>
    </row>
    <row r="446" spans="2:21" x14ac:dyDescent="0.2">
      <c r="B446" s="17">
        <f t="shared" ca="1" si="132"/>
        <v>58927</v>
      </c>
      <c r="C446" s="9">
        <f t="shared" si="135"/>
        <v>442</v>
      </c>
      <c r="D446" s="9"/>
      <c r="E446" s="13">
        <f t="shared" si="133"/>
        <v>6032.1553231955504</v>
      </c>
      <c r="F446" s="14">
        <f t="shared" si="136"/>
        <v>1275182.4822210406</v>
      </c>
      <c r="G446" s="15">
        <f t="shared" si="137"/>
        <v>0.2523030929388218</v>
      </c>
      <c r="H446" s="13">
        <f t="shared" si="138"/>
        <v>151600.18418054079</v>
      </c>
      <c r="I446" s="13">
        <f t="shared" si="139"/>
        <v>14106899.085531427</v>
      </c>
      <c r="J446" s="15">
        <f t="shared" si="140"/>
        <v>0.7476969070611782</v>
      </c>
      <c r="K446" s="13">
        <f t="shared" si="141"/>
        <v>3778986.5625090031</v>
      </c>
      <c r="L446" s="13">
        <f t="shared" si="142"/>
        <v>395281561.36045468</v>
      </c>
      <c r="M446" s="15">
        <f t="shared" si="143"/>
        <v>0.74769690706117808</v>
      </c>
      <c r="N446" s="13">
        <f t="shared" si="144"/>
        <v>56526.217943463191</v>
      </c>
      <c r="O446" s="13">
        <f t="shared" si="145"/>
        <v>10327912.523022424</v>
      </c>
      <c r="P446" s="15">
        <f t="shared" si="146"/>
        <v>0.67142489639856162</v>
      </c>
      <c r="Q446" s="7">
        <f t="shared" si="147"/>
        <v>15382081.567752467</v>
      </c>
      <c r="R446" s="7">
        <f t="shared" si="148"/>
        <v>5054169.044730044</v>
      </c>
      <c r="S446" s="13">
        <f>IF(Calc!$AD$32="Sim",R446,Q446)</f>
        <v>5054169.044730044</v>
      </c>
      <c r="T446" s="9">
        <f t="shared" si="149"/>
        <v>442</v>
      </c>
      <c r="U446" s="17">
        <f t="shared" ca="1" si="134"/>
        <v>58958</v>
      </c>
    </row>
    <row r="447" spans="2:21" x14ac:dyDescent="0.2">
      <c r="B447" s="17">
        <f t="shared" ca="1" si="132"/>
        <v>58958</v>
      </c>
      <c r="C447" s="9">
        <f t="shared" si="135"/>
        <v>443</v>
      </c>
      <c r="D447" s="9"/>
      <c r="E447" s="13">
        <f t="shared" si="133"/>
        <v>6056.7310706644421</v>
      </c>
      <c r="F447" s="14">
        <f t="shared" si="136"/>
        <v>1281239.2132917051</v>
      </c>
      <c r="G447" s="15">
        <f t="shared" si="137"/>
        <v>0.25162290733949738</v>
      </c>
      <c r="H447" s="13">
        <f t="shared" si="138"/>
        <v>153169.83647753394</v>
      </c>
      <c r="I447" s="13">
        <f t="shared" si="139"/>
        <v>14260068.922008961</v>
      </c>
      <c r="J447" s="15">
        <f t="shared" si="140"/>
        <v>0.74837709266050267</v>
      </c>
      <c r="K447" s="13">
        <f t="shared" si="141"/>
        <v>3810662.8986373083</v>
      </c>
      <c r="L447" s="13">
        <f t="shared" si="142"/>
        <v>399092224.25909197</v>
      </c>
      <c r="M447" s="15">
        <f t="shared" si="143"/>
        <v>0.74837709266050267</v>
      </c>
      <c r="N447" s="13">
        <f t="shared" si="144"/>
        <v>57111.345230688603</v>
      </c>
      <c r="O447" s="13">
        <f t="shared" si="145"/>
        <v>10449406.023371652</v>
      </c>
      <c r="P447" s="15">
        <f t="shared" si="146"/>
        <v>0.67236335142450321</v>
      </c>
      <c r="Q447" s="7">
        <f t="shared" si="147"/>
        <v>15541308.135300666</v>
      </c>
      <c r="R447" s="7">
        <f t="shared" si="148"/>
        <v>5091902.1119290134</v>
      </c>
      <c r="S447" s="13">
        <f>IF(Calc!$AD$32="Sim",R447,Q447)</f>
        <v>5091902.1119290134</v>
      </c>
      <c r="T447" s="9">
        <f t="shared" si="149"/>
        <v>443</v>
      </c>
      <c r="U447" s="17">
        <f t="shared" ca="1" si="134"/>
        <v>58988</v>
      </c>
    </row>
    <row r="448" spans="2:21" x14ac:dyDescent="0.2">
      <c r="B448" s="17">
        <f t="shared" ca="1" si="132"/>
        <v>58988</v>
      </c>
      <c r="C448" s="9">
        <f t="shared" si="135"/>
        <v>444</v>
      </c>
      <c r="D448" s="9">
        <v>37</v>
      </c>
      <c r="E448" s="13">
        <f t="shared" si="133"/>
        <v>6081.4069427705981</v>
      </c>
      <c r="F448" s="14">
        <f t="shared" si="136"/>
        <v>1287320.6202344757</v>
      </c>
      <c r="G448" s="15">
        <f t="shared" si="137"/>
        <v>0.25094476899302243</v>
      </c>
      <c r="H448" s="13">
        <f t="shared" si="138"/>
        <v>154755.36358625544</v>
      </c>
      <c r="I448" s="13">
        <f t="shared" si="139"/>
        <v>14414824.285595218</v>
      </c>
      <c r="J448" s="15">
        <f t="shared" si="140"/>
        <v>0.74905523100697757</v>
      </c>
      <c r="K448" s="13">
        <f t="shared" si="141"/>
        <v>3842575.593183984</v>
      </c>
      <c r="L448" s="13">
        <f t="shared" si="142"/>
        <v>402934799.85227597</v>
      </c>
      <c r="M448" s="15">
        <f t="shared" si="143"/>
        <v>0.74905523100697768</v>
      </c>
      <c r="N448" s="13">
        <f t="shared" si="144"/>
        <v>57702.389706964575</v>
      </c>
      <c r="O448" s="13">
        <f t="shared" si="145"/>
        <v>10572248.692411233</v>
      </c>
      <c r="P448" s="15">
        <f t="shared" si="146"/>
        <v>0.67329965146902337</v>
      </c>
      <c r="Q448" s="7">
        <f t="shared" si="147"/>
        <v>15702144.905829692</v>
      </c>
      <c r="R448" s="7">
        <f t="shared" si="148"/>
        <v>5129896.2134184595</v>
      </c>
      <c r="S448" s="13">
        <f>IF(Calc!$AD$32="Sim",R448,Q448)</f>
        <v>5129896.2134184595</v>
      </c>
      <c r="T448" s="9">
        <f t="shared" si="149"/>
        <v>444</v>
      </c>
      <c r="U448" s="17">
        <f t="shared" ca="1" si="134"/>
        <v>59019</v>
      </c>
    </row>
    <row r="449" spans="2:21" x14ac:dyDescent="0.2">
      <c r="B449" s="17">
        <f t="shared" ca="1" si="132"/>
        <v>59019</v>
      </c>
      <c r="C449" s="9">
        <f t="shared" si="135"/>
        <v>445</v>
      </c>
      <c r="D449" s="9"/>
      <c r="E449" s="13">
        <f t="shared" si="133"/>
        <v>6106.1833474341838</v>
      </c>
      <c r="F449" s="14">
        <f t="shared" si="136"/>
        <v>1293426.80358191</v>
      </c>
      <c r="G449" s="15">
        <f t="shared" si="137"/>
        <v>0.25026867092735811</v>
      </c>
      <c r="H449" s="13">
        <f t="shared" si="138"/>
        <v>156356.92457999973</v>
      </c>
      <c r="I449" s="13">
        <f t="shared" si="139"/>
        <v>14571181.210175218</v>
      </c>
      <c r="J449" s="15">
        <f t="shared" si="140"/>
        <v>0.74973132907264195</v>
      </c>
      <c r="K449" s="13">
        <f t="shared" si="141"/>
        <v>3874726.2808180721</v>
      </c>
      <c r="L449" s="13">
        <f t="shared" si="142"/>
        <v>406809526.13309401</v>
      </c>
      <c r="M449" s="15">
        <f t="shared" si="143"/>
        <v>0.74973132907264184</v>
      </c>
      <c r="N449" s="13">
        <f t="shared" si="144"/>
        <v>58299.410663200491</v>
      </c>
      <c r="O449" s="13">
        <f t="shared" si="145"/>
        <v>10696454.929357145</v>
      </c>
      <c r="P449" s="15">
        <f t="shared" si="146"/>
        <v>0.6742337989114906</v>
      </c>
      <c r="Q449" s="7">
        <f t="shared" si="147"/>
        <v>15864608.013757126</v>
      </c>
      <c r="R449" s="7">
        <f t="shared" si="148"/>
        <v>5168153.0843999824</v>
      </c>
      <c r="S449" s="13">
        <f>IF(Calc!$AD$32="Sim",R449,Q449)</f>
        <v>5168153.0843999824</v>
      </c>
      <c r="T449" s="9">
        <f t="shared" si="149"/>
        <v>445</v>
      </c>
      <c r="U449" s="17">
        <f t="shared" ca="1" si="134"/>
        <v>59050</v>
      </c>
    </row>
    <row r="450" spans="2:21" x14ac:dyDescent="0.2">
      <c r="B450" s="17">
        <f t="shared" ca="1" si="132"/>
        <v>59050</v>
      </c>
      <c r="C450" s="9">
        <f t="shared" si="135"/>
        <v>446</v>
      </c>
      <c r="D450" s="9"/>
      <c r="E450" s="13">
        <f t="shared" si="133"/>
        <v>6131.0606942372833</v>
      </c>
      <c r="F450" s="14">
        <f t="shared" si="136"/>
        <v>1299557.8642761472</v>
      </c>
      <c r="G450" s="15">
        <f t="shared" si="137"/>
        <v>0.2495946061977117</v>
      </c>
      <c r="H450" s="13">
        <f t="shared" si="138"/>
        <v>157974.68012012413</v>
      </c>
      <c r="I450" s="13">
        <f t="shared" si="139"/>
        <v>14729155.890295342</v>
      </c>
      <c r="J450" s="15">
        <f t="shared" si="140"/>
        <v>0.75040539380228832</v>
      </c>
      <c r="K450" s="13">
        <f t="shared" si="141"/>
        <v>3907116.6070733126</v>
      </c>
      <c r="L450" s="13">
        <f t="shared" si="142"/>
        <v>410716642.74016732</v>
      </c>
      <c r="M450" s="15">
        <f t="shared" si="143"/>
        <v>0.75040539380228821</v>
      </c>
      <c r="N450" s="13">
        <f t="shared" si="144"/>
        <v>58902.467982210765</v>
      </c>
      <c r="O450" s="13">
        <f t="shared" si="145"/>
        <v>10822039.283222027</v>
      </c>
      <c r="P450" s="15">
        <f t="shared" si="146"/>
        <v>0.67516579614103567</v>
      </c>
      <c r="Q450" s="7">
        <f t="shared" si="147"/>
        <v>16028713.754571488</v>
      </c>
      <c r="R450" s="7">
        <f t="shared" si="148"/>
        <v>5206674.4713494601</v>
      </c>
      <c r="S450" s="13">
        <f>IF(Calc!$AD$32="Sim",R450,Q450)</f>
        <v>5206674.4713494601</v>
      </c>
      <c r="T450" s="9">
        <f t="shared" si="149"/>
        <v>446</v>
      </c>
      <c r="U450" s="17">
        <f t="shared" ca="1" si="134"/>
        <v>59080</v>
      </c>
    </row>
    <row r="451" spans="2:21" x14ac:dyDescent="0.2">
      <c r="B451" s="17">
        <f t="shared" ca="1" si="132"/>
        <v>59080</v>
      </c>
      <c r="C451" s="9">
        <f t="shared" si="135"/>
        <v>447</v>
      </c>
      <c r="D451" s="9"/>
      <c r="E451" s="13">
        <f t="shared" si="133"/>
        <v>6156.039394430667</v>
      </c>
      <c r="F451" s="14">
        <f t="shared" si="136"/>
        <v>1305713.9036705778</v>
      </c>
      <c r="G451" s="15">
        <f t="shared" si="137"/>
        <v>0.24892256788640738</v>
      </c>
      <c r="H451" s="13">
        <f t="shared" si="138"/>
        <v>159608.7924718787</v>
      </c>
      <c r="I451" s="13">
        <f t="shared" si="139"/>
        <v>14888764.68276722</v>
      </c>
      <c r="J451" s="15">
        <f t="shared" si="140"/>
        <v>0.75107743211359268</v>
      </c>
      <c r="K451" s="13">
        <f t="shared" si="141"/>
        <v>3939748.2284187214</v>
      </c>
      <c r="L451" s="13">
        <f t="shared" si="142"/>
        <v>414656390.96858603</v>
      </c>
      <c r="M451" s="15">
        <f t="shared" si="143"/>
        <v>0.75107743211359257</v>
      </c>
      <c r="N451" s="13">
        <f t="shared" si="144"/>
        <v>59511.622144614914</v>
      </c>
      <c r="O451" s="13">
        <f t="shared" si="145"/>
        <v>10949016.454348497</v>
      </c>
      <c r="P451" s="15">
        <f t="shared" si="146"/>
        <v>0.67609564555649504</v>
      </c>
      <c r="Q451" s="7">
        <f t="shared" si="147"/>
        <v>16194478.586437797</v>
      </c>
      <c r="R451" s="7">
        <f t="shared" si="148"/>
        <v>5245462.1320892991</v>
      </c>
      <c r="S451" s="13">
        <f>IF(Calc!$AD$32="Sim",R451,Q451)</f>
        <v>5245462.1320892991</v>
      </c>
      <c r="T451" s="9">
        <f t="shared" si="149"/>
        <v>447</v>
      </c>
      <c r="U451" s="17">
        <f t="shared" ca="1" si="134"/>
        <v>59111</v>
      </c>
    </row>
    <row r="452" spans="2:21" x14ac:dyDescent="0.2">
      <c r="B452" s="17">
        <f t="shared" ca="1" si="132"/>
        <v>59111</v>
      </c>
      <c r="C452" s="9">
        <f t="shared" si="135"/>
        <v>448</v>
      </c>
      <c r="D452" s="9"/>
      <c r="E452" s="13">
        <f t="shared" si="133"/>
        <v>6181.1198609405928</v>
      </c>
      <c r="F452" s="14">
        <f t="shared" si="136"/>
        <v>1311895.0235315184</v>
      </c>
      <c r="G452" s="15">
        <f t="shared" si="137"/>
        <v>0.24825254910275754</v>
      </c>
      <c r="H452" s="13">
        <f t="shared" si="138"/>
        <v>161259.42552039388</v>
      </c>
      <c r="I452" s="13">
        <f t="shared" si="139"/>
        <v>15050024.108287614</v>
      </c>
      <c r="J452" s="15">
        <f t="shared" si="140"/>
        <v>0.75174745089724249</v>
      </c>
      <c r="K452" s="13">
        <f t="shared" si="141"/>
        <v>3972622.8123296327</v>
      </c>
      <c r="L452" s="13">
        <f t="shared" si="142"/>
        <v>418629013.78091568</v>
      </c>
      <c r="M452" s="15">
        <f t="shared" si="143"/>
        <v>0.75174745089724249</v>
      </c>
      <c r="N452" s="13">
        <f t="shared" si="144"/>
        <v>60126.934234796507</v>
      </c>
      <c r="O452" s="13">
        <f t="shared" si="145"/>
        <v>11077401.295957979</v>
      </c>
      <c r="P452" s="15">
        <f t="shared" si="146"/>
        <v>0.67702334956635279</v>
      </c>
      <c r="Q452" s="7">
        <f t="shared" si="147"/>
        <v>16361919.131819131</v>
      </c>
      <c r="R452" s="7">
        <f t="shared" si="148"/>
        <v>5284517.8358611511</v>
      </c>
      <c r="S452" s="13">
        <f>IF(Calc!$AD$32="Sim",R452,Q452)</f>
        <v>5284517.8358611511</v>
      </c>
      <c r="T452" s="9">
        <f t="shared" si="149"/>
        <v>448</v>
      </c>
      <c r="U452" s="17">
        <f t="shared" ca="1" si="134"/>
        <v>59141</v>
      </c>
    </row>
    <row r="453" spans="2:21" x14ac:dyDescent="0.2">
      <c r="B453" s="17">
        <f t="shared" ca="1" si="132"/>
        <v>59141</v>
      </c>
      <c r="C453" s="9">
        <f t="shared" si="135"/>
        <v>449</v>
      </c>
      <c r="D453" s="9"/>
      <c r="E453" s="13">
        <f t="shared" si="133"/>
        <v>6206.302508375632</v>
      </c>
      <c r="F453" s="14">
        <f t="shared" si="136"/>
        <v>1318101.326039894</v>
      </c>
      <c r="G453" s="15">
        <f t="shared" si="137"/>
        <v>0.24758454298293489</v>
      </c>
      <c r="H453" s="13">
        <f t="shared" si="138"/>
        <v>162926.74478682753</v>
      </c>
      <c r="I453" s="13">
        <f t="shared" si="139"/>
        <v>15212950.853074441</v>
      </c>
      <c r="J453" s="15">
        <f t="shared" si="140"/>
        <v>0.75241545701706514</v>
      </c>
      <c r="K453" s="13">
        <f t="shared" si="141"/>
        <v>4005742.0373591934</v>
      </c>
      <c r="L453" s="13">
        <f t="shared" si="142"/>
        <v>422634755.81827486</v>
      </c>
      <c r="M453" s="15">
        <f t="shared" si="143"/>
        <v>0.75241545701706514</v>
      </c>
      <c r="N453" s="13">
        <f t="shared" si="144"/>
        <v>60748.465946921453</v>
      </c>
      <c r="O453" s="13">
        <f t="shared" si="145"/>
        <v>11207208.815715246</v>
      </c>
      <c r="P453" s="15">
        <f t="shared" si="146"/>
        <v>0.67794891058868356</v>
      </c>
      <c r="Q453" s="7">
        <f t="shared" si="147"/>
        <v>16531052.179114334</v>
      </c>
      <c r="R453" s="7">
        <f t="shared" si="148"/>
        <v>5323843.3633990875</v>
      </c>
      <c r="S453" s="13">
        <f>IF(Calc!$AD$32="Sim",R453,Q453)</f>
        <v>5323843.3633990875</v>
      </c>
      <c r="T453" s="9">
        <f t="shared" si="149"/>
        <v>449</v>
      </c>
      <c r="U453" s="17">
        <f t="shared" ca="1" si="134"/>
        <v>59172</v>
      </c>
    </row>
    <row r="454" spans="2:21" x14ac:dyDescent="0.2">
      <c r="B454" s="17">
        <f t="shared" ref="B454:B517" ca="1" si="150">DATE(YEAR(B453),MONTH(B453)+1,1)</f>
        <v>59172</v>
      </c>
      <c r="C454" s="9">
        <f t="shared" si="135"/>
        <v>450</v>
      </c>
      <c r="D454" s="9"/>
      <c r="E454" s="13">
        <f t="shared" ref="E454:E517" si="151">IF($AE$33,IF($AE$34,$E453*(1+Inflação)*(1+Crescimento_Salário),$E453*(1+Inflação)),IF($AE$34,$E453*(1+Crescimento_Salário),$E453))</f>
        <v>6231.5877530335219</v>
      </c>
      <c r="F454" s="14">
        <f t="shared" si="136"/>
        <v>1324332.9137929275</v>
      </c>
      <c r="G454" s="15">
        <f t="shared" si="137"/>
        <v>0.24691854268984578</v>
      </c>
      <c r="H454" s="13">
        <f t="shared" si="138"/>
        <v>164610.91744467276</v>
      </c>
      <c r="I454" s="13">
        <f t="shared" si="139"/>
        <v>15377561.770519113</v>
      </c>
      <c r="J454" s="15">
        <f t="shared" si="140"/>
        <v>0.75308145731015419</v>
      </c>
      <c r="K454" s="13">
        <f t="shared" si="141"/>
        <v>4039107.5932103116</v>
      </c>
      <c r="L454" s="13">
        <f t="shared" si="142"/>
        <v>426673863.4114852</v>
      </c>
      <c r="M454" s="15">
        <f t="shared" si="143"/>
        <v>0.75308145731015419</v>
      </c>
      <c r="N454" s="13">
        <f t="shared" si="144"/>
        <v>61376.279591016166</v>
      </c>
      <c r="O454" s="13">
        <f t="shared" si="145"/>
        <v>11338454.177308802</v>
      </c>
      <c r="P454" s="15">
        <f t="shared" si="146"/>
        <v>0.67887233105109468</v>
      </c>
      <c r="Q454" s="7">
        <f t="shared" si="147"/>
        <v>16701894.68431204</v>
      </c>
      <c r="R454" s="7">
        <f t="shared" si="148"/>
        <v>5363440.5070032394</v>
      </c>
      <c r="S454" s="13">
        <f>IF(Calc!$AD$32="Sim",R454,Q454)</f>
        <v>5363440.5070032394</v>
      </c>
      <c r="T454" s="9">
        <f t="shared" si="149"/>
        <v>450</v>
      </c>
      <c r="U454" s="17">
        <f t="shared" ref="U454:U517" ca="1" si="152">DATE(YEAR(U453),MONTH(U453)+1,1)</f>
        <v>59203</v>
      </c>
    </row>
    <row r="455" spans="2:21" x14ac:dyDescent="0.2">
      <c r="B455" s="17">
        <f t="shared" ca="1" si="150"/>
        <v>59203</v>
      </c>
      <c r="C455" s="9">
        <f t="shared" ref="C455:C518" si="153">C454+1</f>
        <v>451</v>
      </c>
      <c r="D455" s="9"/>
      <c r="E455" s="13">
        <f t="shared" si="151"/>
        <v>6256.9760129080478</v>
      </c>
      <c r="F455" s="14">
        <f t="shared" si="136"/>
        <v>1330589.8898058357</v>
      </c>
      <c r="G455" s="15">
        <f t="shared" si="137"/>
        <v>0.24625454141300396</v>
      </c>
      <c r="H455" s="13">
        <f t="shared" si="138"/>
        <v>166312.11233622787</v>
      </c>
      <c r="I455" s="13">
        <f t="shared" si="139"/>
        <v>15543873.882855341</v>
      </c>
      <c r="J455" s="15">
        <f t="shared" si="140"/>
        <v>0.75374545858699604</v>
      </c>
      <c r="K455" s="13">
        <f t="shared" si="141"/>
        <v>4072721.1808080738</v>
      </c>
      <c r="L455" s="13">
        <f t="shared" si="142"/>
        <v>430746584.59229326</v>
      </c>
      <c r="M455" s="15">
        <f t="shared" si="143"/>
        <v>0.75374545858699604</v>
      </c>
      <c r="N455" s="13">
        <f t="shared" si="144"/>
        <v>62010.438099106388</v>
      </c>
      <c r="O455" s="13">
        <f t="shared" si="145"/>
        <v>11471152.702047266</v>
      </c>
      <c r="P455" s="15">
        <f t="shared" si="146"/>
        <v>0.67979361339066813</v>
      </c>
      <c r="Q455" s="7">
        <f t="shared" si="147"/>
        <v>16874463.772661176</v>
      </c>
      <c r="R455" s="7">
        <f t="shared" si="148"/>
        <v>5403311.0706139095</v>
      </c>
      <c r="S455" s="13">
        <f>IF(Calc!$AD$32="Sim",R455,Q455)</f>
        <v>5403311.0706139095</v>
      </c>
      <c r="T455" s="9">
        <f t="shared" si="149"/>
        <v>451</v>
      </c>
      <c r="U455" s="17">
        <f t="shared" ca="1" si="152"/>
        <v>59231</v>
      </c>
    </row>
    <row r="456" spans="2:21" x14ac:dyDescent="0.2">
      <c r="B456" s="17">
        <f t="shared" ca="1" si="150"/>
        <v>59231</v>
      </c>
      <c r="C456" s="9">
        <f t="shared" si="153"/>
        <v>452</v>
      </c>
      <c r="D456" s="9"/>
      <c r="E456" s="13">
        <f t="shared" si="151"/>
        <v>6282.4677076959533</v>
      </c>
      <c r="F456" s="14">
        <f t="shared" si="136"/>
        <v>1336872.3575135316</v>
      </c>
      <c r="G456" s="15">
        <f t="shared" si="137"/>
        <v>0.24559253236840523</v>
      </c>
      <c r="H456" s="13">
        <f t="shared" si="138"/>
        <v>168030.49998923109</v>
      </c>
      <c r="I456" s="13">
        <f t="shared" si="139"/>
        <v>15711904.382844571</v>
      </c>
      <c r="J456" s="15">
        <f t="shared" si="140"/>
        <v>0.75440746763159483</v>
      </c>
      <c r="K456" s="13">
        <f t="shared" si="141"/>
        <v>4106584.5123726162</v>
      </c>
      <c r="L456" s="13">
        <f t="shared" si="142"/>
        <v>434853169.10466588</v>
      </c>
      <c r="M456" s="15">
        <f t="shared" si="143"/>
        <v>0.75440746763159472</v>
      </c>
      <c r="N456" s="13">
        <f t="shared" si="144"/>
        <v>62651.005031417102</v>
      </c>
      <c r="O456" s="13">
        <f t="shared" si="145"/>
        <v>11605319.870471954</v>
      </c>
      <c r="P456" s="15">
        <f t="shared" si="146"/>
        <v>0.68071276005390335</v>
      </c>
      <c r="Q456" s="7">
        <f t="shared" si="147"/>
        <v>17048776.740358103</v>
      </c>
      <c r="R456" s="7">
        <f t="shared" si="148"/>
        <v>5443456.8698861478</v>
      </c>
      <c r="S456" s="13">
        <f>IF(Calc!$AD$32="Sim",R456,Q456)</f>
        <v>5443456.8698861478</v>
      </c>
      <c r="T456" s="9">
        <f t="shared" si="149"/>
        <v>452</v>
      </c>
      <c r="U456" s="17">
        <f t="shared" ca="1" si="152"/>
        <v>59262</v>
      </c>
    </row>
    <row r="457" spans="2:21" x14ac:dyDescent="0.2">
      <c r="B457" s="17">
        <f t="shared" ca="1" si="150"/>
        <v>59262</v>
      </c>
      <c r="C457" s="9">
        <f t="shared" si="153"/>
        <v>453</v>
      </c>
      <c r="D457" s="9"/>
      <c r="E457" s="13">
        <f t="shared" si="151"/>
        <v>6308.0632588038798</v>
      </c>
      <c r="F457" s="14">
        <f t="shared" si="136"/>
        <v>1343180.4207723355</v>
      </c>
      <c r="G457" s="15">
        <f t="shared" si="137"/>
        <v>0.24493250879840342</v>
      </c>
      <c r="H457" s="13">
        <f t="shared" si="138"/>
        <v>169766.2526336603</v>
      </c>
      <c r="I457" s="13">
        <f t="shared" si="139"/>
        <v>15881670.635478232</v>
      </c>
      <c r="J457" s="15">
        <f t="shared" si="140"/>
        <v>0.75506749120159655</v>
      </c>
      <c r="K457" s="13">
        <f t="shared" si="141"/>
        <v>4140699.3114924692</v>
      </c>
      <c r="L457" s="13">
        <f t="shared" si="142"/>
        <v>438993868.41615832</v>
      </c>
      <c r="M457" s="15">
        <f t="shared" si="143"/>
        <v>0.75506749120159655</v>
      </c>
      <c r="N457" s="13">
        <f t="shared" si="144"/>
        <v>63298.044582634218</v>
      </c>
      <c r="O457" s="13">
        <f t="shared" si="145"/>
        <v>11740971.323985763</v>
      </c>
      <c r="P457" s="15">
        <f t="shared" si="146"/>
        <v>0.68162977349665899</v>
      </c>
      <c r="Q457" s="7">
        <f t="shared" si="147"/>
        <v>17224851.056250568</v>
      </c>
      <c r="R457" s="7">
        <f t="shared" si="148"/>
        <v>5483879.7322648047</v>
      </c>
      <c r="S457" s="13">
        <f>IF(Calc!$AD$32="Sim",R457,Q457)</f>
        <v>5483879.7322648047</v>
      </c>
      <c r="T457" s="9">
        <f t="shared" si="149"/>
        <v>453</v>
      </c>
      <c r="U457" s="17">
        <f t="shared" ca="1" si="152"/>
        <v>59292</v>
      </c>
    </row>
    <row r="458" spans="2:21" x14ac:dyDescent="0.2">
      <c r="B458" s="17">
        <f t="shared" ca="1" si="150"/>
        <v>59292</v>
      </c>
      <c r="C458" s="9">
        <f t="shared" si="153"/>
        <v>454</v>
      </c>
      <c r="D458" s="9"/>
      <c r="E458" s="13">
        <f t="shared" si="151"/>
        <v>6333.7630893553314</v>
      </c>
      <c r="F458" s="14">
        <f t="shared" si="136"/>
        <v>1349514.1838616908</v>
      </c>
      <c r="G458" s="15">
        <f t="shared" si="137"/>
        <v>0.2442744639715862</v>
      </c>
      <c r="H458" s="13">
        <f t="shared" si="138"/>
        <v>171519.54421870052</v>
      </c>
      <c r="I458" s="13">
        <f t="shared" si="139"/>
        <v>16053190.179696932</v>
      </c>
      <c r="J458" s="15">
        <f t="shared" si="140"/>
        <v>0.75572553602841386</v>
      </c>
      <c r="K458" s="13">
        <f t="shared" si="141"/>
        <v>4175067.3131983755</v>
      </c>
      <c r="L458" s="13">
        <f t="shared" si="142"/>
        <v>443168935.72935671</v>
      </c>
      <c r="M458" s="15">
        <f t="shared" si="143"/>
        <v>0.75572553602841386</v>
      </c>
      <c r="N458" s="13">
        <f t="shared" si="144"/>
        <v>63951.621588228649</v>
      </c>
      <c r="O458" s="13">
        <f t="shared" si="145"/>
        <v>11878122.866498558</v>
      </c>
      <c r="P458" s="15">
        <f t="shared" si="146"/>
        <v>0.68254465618409421</v>
      </c>
      <c r="Q458" s="7">
        <f t="shared" si="147"/>
        <v>17402704.363558624</v>
      </c>
      <c r="R458" s="7">
        <f t="shared" si="148"/>
        <v>5524581.4970600661</v>
      </c>
      <c r="S458" s="13">
        <f>IF(Calc!$AD$32="Sim",R458,Q458)</f>
        <v>5524581.4970600661</v>
      </c>
      <c r="T458" s="9">
        <f t="shared" si="149"/>
        <v>454</v>
      </c>
      <c r="U458" s="17">
        <f t="shared" ca="1" si="152"/>
        <v>59323</v>
      </c>
    </row>
    <row r="459" spans="2:21" x14ac:dyDescent="0.2">
      <c r="B459" s="17">
        <f t="shared" ca="1" si="150"/>
        <v>59323</v>
      </c>
      <c r="C459" s="9">
        <f t="shared" si="153"/>
        <v>455</v>
      </c>
      <c r="D459" s="9"/>
      <c r="E459" s="13">
        <f t="shared" si="151"/>
        <v>6359.567624197668</v>
      </c>
      <c r="F459" s="14">
        <f t="shared" si="136"/>
        <v>1355873.7514858884</v>
      </c>
      <c r="G459" s="15">
        <f t="shared" si="137"/>
        <v>0.24361839118265249</v>
      </c>
      <c r="H459" s="13">
        <f t="shared" si="138"/>
        <v>173290.55042988027</v>
      </c>
      <c r="I459" s="13">
        <f t="shared" si="139"/>
        <v>16226480.730126813</v>
      </c>
      <c r="J459" s="15">
        <f t="shared" si="140"/>
        <v>0.75638160881734751</v>
      </c>
      <c r="K459" s="13">
        <f t="shared" si="141"/>
        <v>4209690.2640375718</v>
      </c>
      <c r="L459" s="13">
        <f t="shared" si="142"/>
        <v>447378625.99339426</v>
      </c>
      <c r="M459" s="15">
        <f t="shared" si="143"/>
        <v>0.75638160881734762</v>
      </c>
      <c r="N459" s="13">
        <f t="shared" si="144"/>
        <v>64611.801530843361</v>
      </c>
      <c r="O459" s="13">
        <f t="shared" si="145"/>
        <v>12016790.466089241</v>
      </c>
      <c r="P459" s="15">
        <f t="shared" si="146"/>
        <v>0.68345741059061105</v>
      </c>
      <c r="Q459" s="7">
        <f t="shared" si="147"/>
        <v>17582354.481612701</v>
      </c>
      <c r="R459" s="7">
        <f t="shared" si="148"/>
        <v>5565564.0155234598</v>
      </c>
      <c r="S459" s="13">
        <f>IF(Calc!$AD$32="Sim",R459,Q459)</f>
        <v>5565564.0155234598</v>
      </c>
      <c r="T459" s="9">
        <f t="shared" si="149"/>
        <v>455</v>
      </c>
      <c r="U459" s="17">
        <f t="shared" ca="1" si="152"/>
        <v>59353</v>
      </c>
    </row>
    <row r="460" spans="2:21" x14ac:dyDescent="0.2">
      <c r="B460" s="17">
        <f t="shared" ca="1" si="150"/>
        <v>59353</v>
      </c>
      <c r="C460" s="9">
        <f t="shared" si="153"/>
        <v>456</v>
      </c>
      <c r="D460" s="9">
        <v>38</v>
      </c>
      <c r="E460" s="13">
        <f t="shared" si="151"/>
        <v>6385.4772899091322</v>
      </c>
      <c r="F460" s="14">
        <f t="shared" si="136"/>
        <v>1362259.2287757974</v>
      </c>
      <c r="G460" s="15">
        <f t="shared" si="137"/>
        <v>0.24296428375229051</v>
      </c>
      <c r="H460" s="13">
        <f t="shared" si="138"/>
        <v>175079.44870637884</v>
      </c>
      <c r="I460" s="13">
        <f t="shared" si="139"/>
        <v>16401560.178833192</v>
      </c>
      <c r="J460" s="15">
        <f t="shared" si="140"/>
        <v>0.75703571624770949</v>
      </c>
      <c r="K460" s="13">
        <f t="shared" si="141"/>
        <v>4244569.9221485509</v>
      </c>
      <c r="L460" s="13">
        <f t="shared" si="142"/>
        <v>451623195.91554278</v>
      </c>
      <c r="M460" s="15">
        <f t="shared" si="143"/>
        <v>0.75703571624770949</v>
      </c>
      <c r="N460" s="13">
        <f t="shared" si="144"/>
        <v>65278.65054674408</v>
      </c>
      <c r="O460" s="13">
        <f t="shared" si="145"/>
        <v>12156990.256684639</v>
      </c>
      <c r="P460" s="15">
        <f t="shared" si="146"/>
        <v>0.68436803919979572</v>
      </c>
      <c r="Q460" s="7">
        <f t="shared" si="147"/>
        <v>17763819.407608986</v>
      </c>
      <c r="R460" s="7">
        <f t="shared" si="148"/>
        <v>5606829.1509243483</v>
      </c>
      <c r="S460" s="13">
        <f>IF(Calc!$AD$32="Sim",R460,Q460)</f>
        <v>5606829.1509243483</v>
      </c>
      <c r="T460" s="9">
        <f t="shared" si="149"/>
        <v>456</v>
      </c>
      <c r="U460" s="17">
        <f t="shared" ca="1" si="152"/>
        <v>59384</v>
      </c>
    </row>
    <row r="461" spans="2:21" x14ac:dyDescent="0.2">
      <c r="B461" s="17">
        <f t="shared" ca="1" si="150"/>
        <v>59384</v>
      </c>
      <c r="C461" s="9">
        <f t="shared" si="153"/>
        <v>457</v>
      </c>
      <c r="D461" s="9"/>
      <c r="E461" s="13">
        <f t="shared" si="151"/>
        <v>6411.4925148058974</v>
      </c>
      <c r="F461" s="14">
        <f t="shared" si="136"/>
        <v>1368670.7212906033</v>
      </c>
      <c r="G461" s="15">
        <f t="shared" si="137"/>
        <v>0.24231213502705642</v>
      </c>
      <c r="H461" s="13">
        <f t="shared" si="138"/>
        <v>176886.41825850558</v>
      </c>
      <c r="I461" s="13">
        <f t="shared" si="139"/>
        <v>16578446.597091697</v>
      </c>
      <c r="J461" s="15">
        <f t="shared" si="140"/>
        <v>0.7576878649729436</v>
      </c>
      <c r="K461" s="13">
        <f t="shared" si="141"/>
        <v>4279708.0573363043</v>
      </c>
      <c r="L461" s="13">
        <f t="shared" si="142"/>
        <v>455902903.97287911</v>
      </c>
      <c r="M461" s="15">
        <f t="shared" si="143"/>
        <v>0.7576878649729436</v>
      </c>
      <c r="N461" s="13">
        <f t="shared" si="144"/>
        <v>65952.235432334288</v>
      </c>
      <c r="O461" s="13">
        <f t="shared" si="145"/>
        <v>12298738.539755393</v>
      </c>
      <c r="P461" s="15">
        <f t="shared" si="146"/>
        <v>0.68527654450436082</v>
      </c>
      <c r="Q461" s="7">
        <f t="shared" si="147"/>
        <v>17947117.3183823</v>
      </c>
      <c r="R461" s="7">
        <f t="shared" si="148"/>
        <v>5648378.7786269076</v>
      </c>
      <c r="S461" s="13">
        <f>IF(Calc!$AD$32="Sim",R461,Q461)</f>
        <v>5648378.7786269076</v>
      </c>
      <c r="T461" s="9">
        <f t="shared" si="149"/>
        <v>457</v>
      </c>
      <c r="U461" s="17">
        <f t="shared" ca="1" si="152"/>
        <v>59415</v>
      </c>
    </row>
    <row r="462" spans="2:21" x14ac:dyDescent="0.2">
      <c r="B462" s="17">
        <f t="shared" ca="1" si="150"/>
        <v>59415</v>
      </c>
      <c r="C462" s="9">
        <f t="shared" si="153"/>
        <v>458</v>
      </c>
      <c r="D462" s="9"/>
      <c r="E462" s="13">
        <f t="shared" si="151"/>
        <v>6437.6137289491517</v>
      </c>
      <c r="F462" s="14">
        <f t="shared" si="136"/>
        <v>1375108.3350195524</v>
      </c>
      <c r="G462" s="15">
        <f t="shared" si="137"/>
        <v>0.24166193837925376</v>
      </c>
      <c r="H462" s="13">
        <f t="shared" si="138"/>
        <v>178711.64008535387</v>
      </c>
      <c r="I462" s="13">
        <f t="shared" si="139"/>
        <v>16757158.237177052</v>
      </c>
      <c r="J462" s="15">
        <f t="shared" si="140"/>
        <v>0.75833806162074624</v>
      </c>
      <c r="K462" s="13">
        <f t="shared" si="141"/>
        <v>4315106.4511480443</v>
      </c>
      <c r="L462" s="13">
        <f t="shared" si="142"/>
        <v>460218010.42402714</v>
      </c>
      <c r="M462" s="15">
        <f t="shared" si="143"/>
        <v>0.75833806162074624</v>
      </c>
      <c r="N462" s="13">
        <f t="shared" si="144"/>
        <v>66632.623650734968</v>
      </c>
      <c r="O462" s="13">
        <f t="shared" si="145"/>
        <v>12442051.786029007</v>
      </c>
      <c r="P462" s="15">
        <f t="shared" si="146"/>
        <v>0.68618292900608602</v>
      </c>
      <c r="Q462" s="7">
        <f t="shared" si="147"/>
        <v>18132266.572196603</v>
      </c>
      <c r="R462" s="7">
        <f t="shared" si="148"/>
        <v>5690214.7861675965</v>
      </c>
      <c r="S462" s="13">
        <f>IF(Calc!$AD$32="Sim",R462,Q462)</f>
        <v>5690214.7861675965</v>
      </c>
      <c r="T462" s="9">
        <f t="shared" si="149"/>
        <v>458</v>
      </c>
      <c r="U462" s="17">
        <f t="shared" ca="1" si="152"/>
        <v>59445</v>
      </c>
    </row>
    <row r="463" spans="2:21" x14ac:dyDescent="0.2">
      <c r="B463" s="17">
        <f t="shared" ca="1" si="150"/>
        <v>59445</v>
      </c>
      <c r="C463" s="9">
        <f t="shared" si="153"/>
        <v>459</v>
      </c>
      <c r="D463" s="9"/>
      <c r="E463" s="13">
        <f t="shared" si="151"/>
        <v>6463.8413641522047</v>
      </c>
      <c r="F463" s="14">
        <f t="shared" si="136"/>
        <v>1381572.1763837046</v>
      </c>
      <c r="G463" s="15">
        <f t="shared" si="137"/>
        <v>0.24101368720681382</v>
      </c>
      <c r="H463" s="13">
        <f t="shared" si="138"/>
        <v>180555.29699263014</v>
      </c>
      <c r="I463" s="13">
        <f t="shared" si="139"/>
        <v>16937713.534169681</v>
      </c>
      <c r="J463" s="15">
        <f t="shared" si="140"/>
        <v>0.75898631279318618</v>
      </c>
      <c r="K463" s="13">
        <f t="shared" si="141"/>
        <v>4350766.8969494114</v>
      </c>
      <c r="L463" s="13">
        <f t="shared" si="142"/>
        <v>464568777.32097656</v>
      </c>
      <c r="M463" s="15">
        <f t="shared" si="143"/>
        <v>0.75898631279318618</v>
      </c>
      <c r="N463" s="13">
        <f t="shared" si="144"/>
        <v>67319.883338430067</v>
      </c>
      <c r="O463" s="13">
        <f t="shared" si="145"/>
        <v>12586946.637220269</v>
      </c>
      <c r="P463" s="15">
        <f t="shared" si="146"/>
        <v>0.68708719521575956</v>
      </c>
      <c r="Q463" s="7">
        <f t="shared" si="147"/>
        <v>18319285.710553385</v>
      </c>
      <c r="R463" s="7">
        <f t="shared" si="148"/>
        <v>5732339.0733331162</v>
      </c>
      <c r="S463" s="13">
        <f>IF(Calc!$AD$32="Sim",R463,Q463)</f>
        <v>5732339.0733331162</v>
      </c>
      <c r="T463" s="9">
        <f t="shared" si="149"/>
        <v>459</v>
      </c>
      <c r="U463" s="17">
        <f t="shared" ca="1" si="152"/>
        <v>59476</v>
      </c>
    </row>
    <row r="464" spans="2:21" x14ac:dyDescent="0.2">
      <c r="B464" s="17">
        <f t="shared" ca="1" si="150"/>
        <v>59476</v>
      </c>
      <c r="C464" s="9">
        <f t="shared" si="153"/>
        <v>460</v>
      </c>
      <c r="D464" s="9"/>
      <c r="E464" s="13">
        <f t="shared" si="151"/>
        <v>6490.1758539876273</v>
      </c>
      <c r="F464" s="14">
        <f t="shared" si="136"/>
        <v>1388062.3522376923</v>
      </c>
      <c r="G464" s="15">
        <f t="shared" si="137"/>
        <v>0.24036737493317659</v>
      </c>
      <c r="H464" s="13">
        <f t="shared" si="138"/>
        <v>182417.57361066158</v>
      </c>
      <c r="I464" s="13">
        <f t="shared" si="139"/>
        <v>17120131.107780345</v>
      </c>
      <c r="J464" s="15">
        <f t="shared" si="140"/>
        <v>0.75963262506682339</v>
      </c>
      <c r="K464" s="13">
        <f t="shared" si="141"/>
        <v>4386691.2000011718</v>
      </c>
      <c r="L464" s="13">
        <f t="shared" si="142"/>
        <v>468955468.52097774</v>
      </c>
      <c r="M464" s="15">
        <f t="shared" si="143"/>
        <v>0.7596326250668235</v>
      </c>
      <c r="N464" s="13">
        <f t="shared" si="144"/>
        <v>68014.083311978131</v>
      </c>
      <c r="O464" s="13">
        <f t="shared" si="145"/>
        <v>12733439.907779172</v>
      </c>
      <c r="P464" s="15">
        <f t="shared" si="146"/>
        <v>0.68798934565312053</v>
      </c>
      <c r="Q464" s="7">
        <f t="shared" si="147"/>
        <v>18508193.460018035</v>
      </c>
      <c r="R464" s="7">
        <f t="shared" si="148"/>
        <v>5774753.5522388639</v>
      </c>
      <c r="S464" s="13">
        <f>IF(Calc!$AD$32="Sim",R464,Q464)</f>
        <v>5774753.5522388639</v>
      </c>
      <c r="T464" s="9">
        <f t="shared" si="149"/>
        <v>460</v>
      </c>
      <c r="U464" s="17">
        <f t="shared" ca="1" si="152"/>
        <v>59506</v>
      </c>
    </row>
    <row r="465" spans="2:21" x14ac:dyDescent="0.2">
      <c r="B465" s="17">
        <f t="shared" ca="1" si="150"/>
        <v>59506</v>
      </c>
      <c r="C465" s="9">
        <f t="shared" si="153"/>
        <v>461</v>
      </c>
      <c r="D465" s="9"/>
      <c r="E465" s="13">
        <f t="shared" si="151"/>
        <v>6516.6176337944189</v>
      </c>
      <c r="F465" s="14">
        <f t="shared" si="136"/>
        <v>1394578.9698714868</v>
      </c>
      <c r="G465" s="15">
        <f t="shared" si="137"/>
        <v>0.23972299500717256</v>
      </c>
      <c r="H465" s="13">
        <f t="shared" si="138"/>
        <v>184298.6564125822</v>
      </c>
      <c r="I465" s="13">
        <f t="shared" si="139"/>
        <v>17304429.764192928</v>
      </c>
      <c r="J465" s="15">
        <f t="shared" si="140"/>
        <v>0.76027700499282747</v>
      </c>
      <c r="K465" s="13">
        <f t="shared" si="141"/>
        <v>4422881.1775364028</v>
      </c>
      <c r="L465" s="13">
        <f t="shared" si="142"/>
        <v>473378349.69851416</v>
      </c>
      <c r="M465" s="15">
        <f t="shared" si="143"/>
        <v>0.76027700499282747</v>
      </c>
      <c r="N465" s="13">
        <f t="shared" si="144"/>
        <v>68715.293074790694</v>
      </c>
      <c r="O465" s="13">
        <f t="shared" si="145"/>
        <v>12881548.586656522</v>
      </c>
      <c r="P465" s="15">
        <f t="shared" si="146"/>
        <v>0.68888938284679824</v>
      </c>
      <c r="Q465" s="7">
        <f t="shared" si="147"/>
        <v>18699008.734064411</v>
      </c>
      <c r="R465" s="7">
        <f t="shared" si="148"/>
        <v>5817460.1474078894</v>
      </c>
      <c r="S465" s="13">
        <f>IF(Calc!$AD$32="Sim",R465,Q465)</f>
        <v>5817460.1474078894</v>
      </c>
      <c r="T465" s="9">
        <f t="shared" si="149"/>
        <v>461</v>
      </c>
      <c r="U465" s="17">
        <f t="shared" ca="1" si="152"/>
        <v>59537</v>
      </c>
    </row>
    <row r="466" spans="2:21" x14ac:dyDescent="0.2">
      <c r="B466" s="17">
        <f t="shared" ca="1" si="150"/>
        <v>59537</v>
      </c>
      <c r="C466" s="9">
        <f t="shared" si="153"/>
        <v>462</v>
      </c>
      <c r="D466" s="9"/>
      <c r="E466" s="13">
        <f t="shared" si="151"/>
        <v>6543.1671406852029</v>
      </c>
      <c r="F466" s="14">
        <f t="shared" si="136"/>
        <v>1401122.137012172</v>
      </c>
      <c r="G466" s="15">
        <f t="shared" si="137"/>
        <v>0.23908054090290534</v>
      </c>
      <c r="H466" s="13">
        <f t="shared" si="138"/>
        <v>186198.7337327007</v>
      </c>
      <c r="I466" s="13">
        <f t="shared" si="139"/>
        <v>17490628.497925628</v>
      </c>
      <c r="J466" s="15">
        <f t="shared" si="140"/>
        <v>0.76091945909709469</v>
      </c>
      <c r="K466" s="13">
        <f t="shared" si="141"/>
        <v>4459338.6588381752</v>
      </c>
      <c r="L466" s="13">
        <f t="shared" si="142"/>
        <v>477837688.35735232</v>
      </c>
      <c r="M466" s="15">
        <f t="shared" si="143"/>
        <v>0.76091945909709469</v>
      </c>
      <c r="N466" s="13">
        <f t="shared" si="144"/>
        <v>69423.582823978271</v>
      </c>
      <c r="O466" s="13">
        <f t="shared" si="145"/>
        <v>13031289.839087449</v>
      </c>
      <c r="P466" s="15">
        <f t="shared" si="146"/>
        <v>0.68978730933425514</v>
      </c>
      <c r="Q466" s="7">
        <f t="shared" si="147"/>
        <v>18891750.634937797</v>
      </c>
      <c r="R466" s="7">
        <f t="shared" si="148"/>
        <v>5860460.7958503468</v>
      </c>
      <c r="S466" s="13">
        <f>IF(Calc!$AD$32="Sim",R466,Q466)</f>
        <v>5860460.7958503468</v>
      </c>
      <c r="T466" s="9">
        <f t="shared" si="149"/>
        <v>462</v>
      </c>
      <c r="U466" s="17">
        <f t="shared" ca="1" si="152"/>
        <v>59568</v>
      </c>
    </row>
    <row r="467" spans="2:21" x14ac:dyDescent="0.2">
      <c r="B467" s="17">
        <f t="shared" ca="1" si="150"/>
        <v>59568</v>
      </c>
      <c r="C467" s="9">
        <f t="shared" si="153"/>
        <v>463</v>
      </c>
      <c r="D467" s="9"/>
      <c r="E467" s="13">
        <f t="shared" si="151"/>
        <v>6569.824813553455</v>
      </c>
      <c r="F467" s="14">
        <f t="shared" si="136"/>
        <v>1407691.9618257254</v>
      </c>
      <c r="G467" s="15">
        <f t="shared" si="137"/>
        <v>0.23844000611963487</v>
      </c>
      <c r="H467" s="13">
        <f t="shared" si="138"/>
        <v>188117.99578505105</v>
      </c>
      <c r="I467" s="13">
        <f t="shared" si="139"/>
        <v>17678746.493710678</v>
      </c>
      <c r="J467" s="15">
        <f t="shared" si="140"/>
        <v>0.7615599938803651</v>
      </c>
      <c r="K467" s="13">
        <f t="shared" si="141"/>
        <v>4496065.4853177294</v>
      </c>
      <c r="L467" s="13">
        <f t="shared" si="142"/>
        <v>482333753.84267002</v>
      </c>
      <c r="M467" s="15">
        <f t="shared" si="143"/>
        <v>0.7615599938803651</v>
      </c>
      <c r="N467" s="13">
        <f t="shared" si="144"/>
        <v>70139.023457264586</v>
      </c>
      <c r="O467" s="13">
        <f t="shared" si="145"/>
        <v>13182681.008392945</v>
      </c>
      <c r="P467" s="15">
        <f t="shared" si="146"/>
        <v>0.69068312766172713</v>
      </c>
      <c r="Q467" s="7">
        <f t="shared" si="147"/>
        <v>19086438.455536399</v>
      </c>
      <c r="R467" s="7">
        <f t="shared" si="148"/>
        <v>5903757.447143455</v>
      </c>
      <c r="S467" s="13">
        <f>IF(Calc!$AD$32="Sim",R467,Q467)</f>
        <v>5903757.447143455</v>
      </c>
      <c r="T467" s="9">
        <f t="shared" si="149"/>
        <v>463</v>
      </c>
      <c r="U467" s="17">
        <f t="shared" ca="1" si="152"/>
        <v>59596</v>
      </c>
    </row>
    <row r="468" spans="2:21" x14ac:dyDescent="0.2">
      <c r="B468" s="17">
        <f t="shared" ca="1" si="150"/>
        <v>59596</v>
      </c>
      <c r="C468" s="9">
        <f t="shared" si="153"/>
        <v>464</v>
      </c>
      <c r="D468" s="9"/>
      <c r="E468" s="13">
        <f t="shared" si="151"/>
        <v>6596.5910930807559</v>
      </c>
      <c r="F468" s="14">
        <f t="shared" si="136"/>
        <v>1414288.5529188062</v>
      </c>
      <c r="G468" s="15">
        <f t="shared" si="137"/>
        <v>0.23780138418166144</v>
      </c>
      <c r="H468" s="13">
        <f t="shared" si="138"/>
        <v>190056.63468212803</v>
      </c>
      <c r="I468" s="13">
        <f t="shared" si="139"/>
        <v>17868803.128392804</v>
      </c>
      <c r="J468" s="15">
        <f t="shared" si="140"/>
        <v>0.76219861581833859</v>
      </c>
      <c r="K468" s="13">
        <f t="shared" si="141"/>
        <v>4533063.510593161</v>
      </c>
      <c r="L468" s="13">
        <f t="shared" si="142"/>
        <v>486866817.3532632</v>
      </c>
      <c r="M468" s="15">
        <f t="shared" si="143"/>
        <v>0.76219861581833859</v>
      </c>
      <c r="N468" s="13">
        <f t="shared" si="144"/>
        <v>70861.686579969552</v>
      </c>
      <c r="O468" s="13">
        <f t="shared" si="145"/>
        <v>13335739.61779964</v>
      </c>
      <c r="P468" s="15">
        <f t="shared" si="146"/>
        <v>0.69157684038416412</v>
      </c>
      <c r="Q468" s="7">
        <f t="shared" si="147"/>
        <v>19283091.681311607</v>
      </c>
      <c r="R468" s="7">
        <f t="shared" si="148"/>
        <v>5947352.0635119667</v>
      </c>
      <c r="S468" s="13">
        <f>IF(Calc!$AD$32="Sim",R468,Q468)</f>
        <v>5947352.0635119667</v>
      </c>
      <c r="T468" s="9">
        <f t="shared" si="149"/>
        <v>464</v>
      </c>
      <c r="U468" s="17">
        <f t="shared" ca="1" si="152"/>
        <v>59627</v>
      </c>
    </row>
    <row r="469" spans="2:21" x14ac:dyDescent="0.2">
      <c r="B469" s="17">
        <f t="shared" ca="1" si="150"/>
        <v>59627</v>
      </c>
      <c r="C469" s="9">
        <f t="shared" si="153"/>
        <v>465</v>
      </c>
      <c r="D469" s="9"/>
      <c r="E469" s="13">
        <f t="shared" si="151"/>
        <v>6623.4664217440786</v>
      </c>
      <c r="F469" s="14">
        <f t="shared" si="136"/>
        <v>1420912.0193405503</v>
      </c>
      <c r="G469" s="15">
        <f t="shared" si="137"/>
        <v>0.23716466863821037</v>
      </c>
      <c r="H469" s="13">
        <f t="shared" si="138"/>
        <v>192014.84445380908</v>
      </c>
      <c r="I469" s="13">
        <f t="shared" si="139"/>
        <v>18060817.972846612</v>
      </c>
      <c r="J469" s="15">
        <f t="shared" si="140"/>
        <v>0.7628353313617896</v>
      </c>
      <c r="K469" s="13">
        <f t="shared" si="141"/>
        <v>4570334.6005685944</v>
      </c>
      <c r="L469" s="13">
        <f t="shared" si="142"/>
        <v>491437151.95383179</v>
      </c>
      <c r="M469" s="15">
        <f t="shared" si="143"/>
        <v>0.7628353313617896</v>
      </c>
      <c r="N469" s="13">
        <f t="shared" si="144"/>
        <v>71591.644512061932</v>
      </c>
      <c r="O469" s="13">
        <f t="shared" si="145"/>
        <v>13490483.372278016</v>
      </c>
      <c r="P469" s="15">
        <f t="shared" si="146"/>
        <v>0.69246845006517188</v>
      </c>
      <c r="Q469" s="7">
        <f t="shared" si="147"/>
        <v>19481729.992187161</v>
      </c>
      <c r="R469" s="7">
        <f t="shared" si="148"/>
        <v>5991246.6199091449</v>
      </c>
      <c r="S469" s="13">
        <f>IF(Calc!$AD$32="Sim",R469,Q469)</f>
        <v>5991246.6199091449</v>
      </c>
      <c r="T469" s="9">
        <f t="shared" si="149"/>
        <v>465</v>
      </c>
      <c r="U469" s="17">
        <f t="shared" ca="1" si="152"/>
        <v>59657</v>
      </c>
    </row>
    <row r="470" spans="2:21" x14ac:dyDescent="0.2">
      <c r="B470" s="17">
        <f t="shared" ca="1" si="150"/>
        <v>59657</v>
      </c>
      <c r="C470" s="9">
        <f t="shared" si="153"/>
        <v>466</v>
      </c>
      <c r="D470" s="9"/>
      <c r="E470" s="13">
        <f t="shared" si="151"/>
        <v>6650.4512438231022</v>
      </c>
      <c r="F470" s="14">
        <f t="shared" si="136"/>
        <v>1427562.4705843735</v>
      </c>
      <c r="G470" s="15">
        <f t="shared" si="137"/>
        <v>0.23652985306331745</v>
      </c>
      <c r="H470" s="13">
        <f t="shared" si="138"/>
        <v>193992.82106646514</v>
      </c>
      <c r="I470" s="13">
        <f t="shared" si="139"/>
        <v>18254810.793913078</v>
      </c>
      <c r="J470" s="15">
        <f t="shared" si="140"/>
        <v>0.76347014693668258</v>
      </c>
      <c r="K470" s="13">
        <f t="shared" si="141"/>
        <v>4607880.6335138846</v>
      </c>
      <c r="L470" s="13">
        <f t="shared" si="142"/>
        <v>496045032.58734566</v>
      </c>
      <c r="M470" s="15">
        <f t="shared" si="143"/>
        <v>0.76347014693668258</v>
      </c>
      <c r="N470" s="13">
        <f t="shared" si="144"/>
        <v>72328.970295282183</v>
      </c>
      <c r="O470" s="13">
        <f t="shared" si="145"/>
        <v>13646930.160399191</v>
      </c>
      <c r="P470" s="15">
        <f t="shared" si="146"/>
        <v>0.6933579592769521</v>
      </c>
      <c r="Q470" s="7">
        <f t="shared" si="147"/>
        <v>19682373.264497448</v>
      </c>
      <c r="R470" s="7">
        <f t="shared" si="148"/>
        <v>6035443.1040982576</v>
      </c>
      <c r="S470" s="13">
        <f>IF(Calc!$AD$32="Sim",R470,Q470)</f>
        <v>6035443.1040982576</v>
      </c>
      <c r="T470" s="9">
        <f t="shared" si="149"/>
        <v>466</v>
      </c>
      <c r="U470" s="17">
        <f t="shared" ca="1" si="152"/>
        <v>59688</v>
      </c>
    </row>
    <row r="471" spans="2:21" x14ac:dyDescent="0.2">
      <c r="B471" s="17">
        <f t="shared" ca="1" si="150"/>
        <v>59688</v>
      </c>
      <c r="C471" s="9">
        <f t="shared" si="153"/>
        <v>467</v>
      </c>
      <c r="D471" s="9"/>
      <c r="E471" s="13">
        <f t="shared" si="151"/>
        <v>6677.5460054075556</v>
      </c>
      <c r="F471" s="14">
        <f t="shared" si="136"/>
        <v>1434240.016589781</v>
      </c>
      <c r="G471" s="15">
        <f t="shared" si="137"/>
        <v>0.23589693105571519</v>
      </c>
      <c r="H471" s="13">
        <f t="shared" si="138"/>
        <v>195990.7624422613</v>
      </c>
      <c r="I471" s="13">
        <f t="shared" si="139"/>
        <v>18450801.556355339</v>
      </c>
      <c r="J471" s="15">
        <f t="shared" si="140"/>
        <v>0.76410306894428481</v>
      </c>
      <c r="K471" s="13">
        <f t="shared" si="141"/>
        <v>4645703.5001448039</v>
      </c>
      <c r="L471" s="13">
        <f t="shared" si="142"/>
        <v>500690736.08749044</v>
      </c>
      <c r="M471" s="15">
        <f t="shared" si="143"/>
        <v>0.76410306894428481</v>
      </c>
      <c r="N471" s="13">
        <f t="shared" si="144"/>
        <v>73073.737700336307</v>
      </c>
      <c r="O471" s="13">
        <f t="shared" si="145"/>
        <v>13805098.056210533</v>
      </c>
      <c r="P471" s="15">
        <f t="shared" si="146"/>
        <v>0.69424537060024349</v>
      </c>
      <c r="Q471" s="7">
        <f t="shared" si="147"/>
        <v>19885041.572945118</v>
      </c>
      <c r="R471" s="7">
        <f t="shared" si="148"/>
        <v>6079943.5167345852</v>
      </c>
      <c r="S471" s="13">
        <f>IF(Calc!$AD$32="Sim",R471,Q471)</f>
        <v>6079943.5167345852</v>
      </c>
      <c r="T471" s="9">
        <f t="shared" si="149"/>
        <v>467</v>
      </c>
      <c r="U471" s="17">
        <f t="shared" ca="1" si="152"/>
        <v>59718</v>
      </c>
    </row>
    <row r="472" spans="2:21" x14ac:dyDescent="0.2">
      <c r="B472" s="17">
        <f t="shared" ca="1" si="150"/>
        <v>59718</v>
      </c>
      <c r="C472" s="9">
        <f t="shared" si="153"/>
        <v>468</v>
      </c>
      <c r="D472" s="9">
        <v>39</v>
      </c>
      <c r="E472" s="13">
        <f t="shared" si="151"/>
        <v>6704.7511544045929</v>
      </c>
      <c r="F472" s="14">
        <f t="shared" si="136"/>
        <v>1440944.7677441856</v>
      </c>
      <c r="G472" s="15">
        <f t="shared" si="137"/>
        <v>0.2352658962387196</v>
      </c>
      <c r="H472" s="13">
        <f t="shared" si="138"/>
        <v>198008.86847865023</v>
      </c>
      <c r="I472" s="13">
        <f t="shared" si="139"/>
        <v>18648810.424833991</v>
      </c>
      <c r="J472" s="15">
        <f t="shared" si="140"/>
        <v>0.76473410376128037</v>
      </c>
      <c r="K472" s="13">
        <f t="shared" si="141"/>
        <v>4683805.1037037689</v>
      </c>
      <c r="L472" s="13">
        <f t="shared" si="142"/>
        <v>505374541.19119424</v>
      </c>
      <c r="M472" s="15">
        <f t="shared" si="143"/>
        <v>0.76473410376128048</v>
      </c>
      <c r="N472" s="13">
        <f t="shared" si="144"/>
        <v>73826.021234161322</v>
      </c>
      <c r="O472" s="13">
        <f t="shared" si="145"/>
        <v>13965005.32113022</v>
      </c>
      <c r="P472" s="15">
        <f t="shared" si="146"/>
        <v>0.69513068662426303</v>
      </c>
      <c r="Q472" s="7">
        <f t="shared" si="147"/>
        <v>20089755.192578174</v>
      </c>
      <c r="R472" s="7">
        <f t="shared" si="148"/>
        <v>6124749.8714479543</v>
      </c>
      <c r="S472" s="13">
        <f>IF(Calc!$AD$32="Sim",R472,Q472)</f>
        <v>6124749.8714479543</v>
      </c>
      <c r="T472" s="9">
        <f t="shared" si="149"/>
        <v>468</v>
      </c>
      <c r="U472" s="17">
        <f t="shared" ca="1" si="152"/>
        <v>59749</v>
      </c>
    </row>
    <row r="473" spans="2:21" x14ac:dyDescent="0.2">
      <c r="B473" s="17">
        <f t="shared" ca="1" si="150"/>
        <v>59749</v>
      </c>
      <c r="C473" s="9">
        <f t="shared" si="153"/>
        <v>469</v>
      </c>
      <c r="D473" s="9"/>
      <c r="E473" s="13">
        <f t="shared" si="151"/>
        <v>6732.0671405461962</v>
      </c>
      <c r="F473" s="14">
        <f t="shared" si="136"/>
        <v>1447676.8348847318</v>
      </c>
      <c r="G473" s="15">
        <f t="shared" si="137"/>
        <v>0.23463674226011766</v>
      </c>
      <c r="H473" s="13">
        <f t="shared" si="138"/>
        <v>200047.34106805938</v>
      </c>
      <c r="I473" s="13">
        <f t="shared" si="139"/>
        <v>18848857.76590205</v>
      </c>
      <c r="J473" s="15">
        <f t="shared" si="140"/>
        <v>0.76536325773988234</v>
      </c>
      <c r="K473" s="13">
        <f t="shared" si="141"/>
        <v>4722187.3600410614</v>
      </c>
      <c r="L473" s="13">
        <f t="shared" si="142"/>
        <v>510096728.55123532</v>
      </c>
      <c r="M473" s="15">
        <f t="shared" si="143"/>
        <v>0.76536325773988234</v>
      </c>
      <c r="N473" s="13">
        <f t="shared" si="144"/>
        <v>74585.896147263076</v>
      </c>
      <c r="O473" s="13">
        <f t="shared" si="145"/>
        <v>14126670.405860987</v>
      </c>
      <c r="P473" s="15">
        <f t="shared" si="146"/>
        <v>0.69601390994664569</v>
      </c>
      <c r="Q473" s="7">
        <f t="shared" si="147"/>
        <v>20296534.600786779</v>
      </c>
      <c r="R473" s="7">
        <f t="shared" si="148"/>
        <v>6169864.1949257934</v>
      </c>
      <c r="S473" s="13">
        <f>IF(Calc!$AD$32="Sim",R473,Q473)</f>
        <v>6169864.1949257934</v>
      </c>
      <c r="T473" s="9">
        <f t="shared" si="149"/>
        <v>469</v>
      </c>
      <c r="U473" s="17">
        <f t="shared" ca="1" si="152"/>
        <v>59780</v>
      </c>
    </row>
    <row r="474" spans="2:21" x14ac:dyDescent="0.2">
      <c r="B474" s="17">
        <f t="shared" ca="1" si="150"/>
        <v>59780</v>
      </c>
      <c r="C474" s="9">
        <f t="shared" si="153"/>
        <v>470</v>
      </c>
      <c r="D474" s="9"/>
      <c r="E474" s="13">
        <f t="shared" si="151"/>
        <v>6759.4944153966135</v>
      </c>
      <c r="F474" s="14">
        <f t="shared" si="136"/>
        <v>1454436.3293001284</v>
      </c>
      <c r="G474" s="15">
        <f t="shared" si="137"/>
        <v>0.23400946279205578</v>
      </c>
      <c r="H474" s="13">
        <f t="shared" si="138"/>
        <v>202106.38411777461</v>
      </c>
      <c r="I474" s="13">
        <f t="shared" si="139"/>
        <v>19050964.150019825</v>
      </c>
      <c r="J474" s="15">
        <f t="shared" si="140"/>
        <v>0.76599053720794419</v>
      </c>
      <c r="K474" s="13">
        <f t="shared" si="141"/>
        <v>4760852.1976965833</v>
      </c>
      <c r="L474" s="13">
        <f t="shared" si="142"/>
        <v>514857580.74893188</v>
      </c>
      <c r="M474" s="15">
        <f t="shared" si="143"/>
        <v>0.76599053720794408</v>
      </c>
      <c r="N474" s="13">
        <f t="shared" si="144"/>
        <v>75353.438441127262</v>
      </c>
      <c r="O474" s="13">
        <f t="shared" si="145"/>
        <v>14290111.952323236</v>
      </c>
      <c r="P474" s="15">
        <f t="shared" si="146"/>
        <v>0.69689504317338546</v>
      </c>
      <c r="Q474" s="7">
        <f t="shared" si="147"/>
        <v>20505400.479319949</v>
      </c>
      <c r="R474" s="7">
        <f t="shared" si="148"/>
        <v>6215288.5269967122</v>
      </c>
      <c r="S474" s="13">
        <f>IF(Calc!$AD$32="Sim",R474,Q474)</f>
        <v>6215288.5269967122</v>
      </c>
      <c r="T474" s="9">
        <f t="shared" si="149"/>
        <v>470</v>
      </c>
      <c r="U474" s="17">
        <f t="shared" ca="1" si="152"/>
        <v>59810</v>
      </c>
    </row>
    <row r="475" spans="2:21" x14ac:dyDescent="0.2">
      <c r="B475" s="17">
        <f t="shared" ca="1" si="150"/>
        <v>59810</v>
      </c>
      <c r="C475" s="9">
        <f t="shared" si="153"/>
        <v>471</v>
      </c>
      <c r="D475" s="9"/>
      <c r="E475" s="13">
        <f t="shared" si="151"/>
        <v>6787.033432359819</v>
      </c>
      <c r="F475" s="14">
        <f t="shared" si="136"/>
        <v>1461223.3627324882</v>
      </c>
      <c r="G475" s="15">
        <f t="shared" si="137"/>
        <v>0.23338405153092859</v>
      </c>
      <c r="H475" s="13">
        <f t="shared" si="138"/>
        <v>204186.20357002164</v>
      </c>
      <c r="I475" s="13">
        <f t="shared" si="139"/>
        <v>19255150.353589848</v>
      </c>
      <c r="J475" s="15">
        <f t="shared" si="140"/>
        <v>0.76661594846907144</v>
      </c>
      <c r="K475" s="13">
        <f t="shared" si="141"/>
        <v>4799801.5579821281</v>
      </c>
      <c r="L475" s="13">
        <f t="shared" si="142"/>
        <v>519657382.30691403</v>
      </c>
      <c r="M475" s="15">
        <f t="shared" si="143"/>
        <v>0.76661594846907133</v>
      </c>
      <c r="N475" s="13">
        <f t="shared" si="144"/>
        <v>76128.724875704225</v>
      </c>
      <c r="O475" s="13">
        <f t="shared" si="145"/>
        <v>14455348.795607716</v>
      </c>
      <c r="P475" s="15">
        <f t="shared" si="146"/>
        <v>0.69777408891877712</v>
      </c>
      <c r="Q475" s="7">
        <f t="shared" si="147"/>
        <v>20716373.716322333</v>
      </c>
      <c r="R475" s="7">
        <f t="shared" si="148"/>
        <v>6261024.9207146168</v>
      </c>
      <c r="S475" s="13">
        <f>IF(Calc!$AD$32="Sim",R475,Q475)</f>
        <v>6261024.9207146168</v>
      </c>
      <c r="T475" s="9">
        <f t="shared" si="149"/>
        <v>471</v>
      </c>
      <c r="U475" s="17">
        <f t="shared" ca="1" si="152"/>
        <v>59841</v>
      </c>
    </row>
    <row r="476" spans="2:21" x14ac:dyDescent="0.2">
      <c r="B476" s="17">
        <f t="shared" ca="1" si="150"/>
        <v>59841</v>
      </c>
      <c r="C476" s="9">
        <f t="shared" si="153"/>
        <v>472</v>
      </c>
      <c r="D476" s="9"/>
      <c r="E476" s="13">
        <f t="shared" si="151"/>
        <v>6814.6846466870129</v>
      </c>
      <c r="F476" s="14">
        <f t="shared" si="136"/>
        <v>1468038.0473791752</v>
      </c>
      <c r="G476" s="15">
        <f t="shared" si="137"/>
        <v>0.23276050219726846</v>
      </c>
      <c r="H476" s="13">
        <f t="shared" si="138"/>
        <v>206287.00742224779</v>
      </c>
      <c r="I476" s="13">
        <f t="shared" si="139"/>
        <v>19461437.361012094</v>
      </c>
      <c r="J476" s="15">
        <f t="shared" si="140"/>
        <v>0.76723949780273148</v>
      </c>
      <c r="K476" s="13">
        <f t="shared" si="141"/>
        <v>4839037.3950641826</v>
      </c>
      <c r="L476" s="13">
        <f t="shared" si="142"/>
        <v>524496419.70197821</v>
      </c>
      <c r="M476" s="15">
        <f t="shared" si="143"/>
        <v>0.76723949780273148</v>
      </c>
      <c r="N476" s="13">
        <f t="shared" si="144"/>
        <v>76911.832976968144</v>
      </c>
      <c r="O476" s="13">
        <f t="shared" si="145"/>
        <v>14622399.965947909</v>
      </c>
      <c r="P476" s="15">
        <f t="shared" si="146"/>
        <v>0.69865104980535453</v>
      </c>
      <c r="Q476" s="7">
        <f t="shared" si="147"/>
        <v>20929475.408391267</v>
      </c>
      <c r="R476" s="7">
        <f t="shared" si="148"/>
        <v>6307075.4424433578</v>
      </c>
      <c r="S476" s="13">
        <f>IF(Calc!$AD$32="Sim",R476,Q476)</f>
        <v>6307075.4424433578</v>
      </c>
      <c r="T476" s="9">
        <f t="shared" si="149"/>
        <v>472</v>
      </c>
      <c r="U476" s="17">
        <f t="shared" ca="1" si="152"/>
        <v>59871</v>
      </c>
    </row>
    <row r="477" spans="2:21" x14ac:dyDescent="0.2">
      <c r="B477" s="17">
        <f t="shared" ca="1" si="150"/>
        <v>59871</v>
      </c>
      <c r="C477" s="9">
        <f t="shared" si="153"/>
        <v>473</v>
      </c>
      <c r="D477" s="9"/>
      <c r="E477" s="13">
        <f t="shared" si="151"/>
        <v>6842.4485154841441</v>
      </c>
      <c r="F477" s="14">
        <f t="shared" si="136"/>
        <v>1474880.4958946593</v>
      </c>
      <c r="G477" s="15">
        <f t="shared" si="137"/>
        <v>0.23213880853563601</v>
      </c>
      <c r="H477" s="13">
        <f t="shared" si="138"/>
        <v>208409.00574760535</v>
      </c>
      <c r="I477" s="13">
        <f t="shared" si="139"/>
        <v>19669846.366759699</v>
      </c>
      <c r="J477" s="15">
        <f t="shared" si="140"/>
        <v>0.76786119146436405</v>
      </c>
      <c r="K477" s="13">
        <f t="shared" si="141"/>
        <v>4878561.6760472544</v>
      </c>
      <c r="L477" s="13">
        <f t="shared" si="142"/>
        <v>529374981.37802547</v>
      </c>
      <c r="M477" s="15">
        <f t="shared" si="143"/>
        <v>0.76786119146436393</v>
      </c>
      <c r="N477" s="13">
        <f t="shared" si="144"/>
        <v>77702.841044551853</v>
      </c>
      <c r="O477" s="13">
        <f t="shared" si="145"/>
        <v>14791284.690712444</v>
      </c>
      <c r="P477" s="15">
        <f t="shared" si="146"/>
        <v>0.69952592846383321</v>
      </c>
      <c r="Q477" s="7">
        <f t="shared" si="147"/>
        <v>21144726.862654358</v>
      </c>
      <c r="R477" s="7">
        <f t="shared" si="148"/>
        <v>6353442.1719419137</v>
      </c>
      <c r="S477" s="13">
        <f>IF(Calc!$AD$32="Sim",R477,Q477)</f>
        <v>6353442.1719419137</v>
      </c>
      <c r="T477" s="9">
        <f t="shared" si="149"/>
        <v>473</v>
      </c>
      <c r="U477" s="17">
        <f t="shared" ca="1" si="152"/>
        <v>59902</v>
      </c>
    </row>
    <row r="478" spans="2:21" x14ac:dyDescent="0.2">
      <c r="B478" s="17">
        <f t="shared" ca="1" si="150"/>
        <v>59902</v>
      </c>
      <c r="C478" s="9">
        <f t="shared" si="153"/>
        <v>474</v>
      </c>
      <c r="D478" s="9"/>
      <c r="E478" s="13">
        <f t="shared" si="151"/>
        <v>6870.3254977194674</v>
      </c>
      <c r="F478" s="14">
        <f t="shared" si="136"/>
        <v>1481750.8213923788</v>
      </c>
      <c r="G478" s="15">
        <f t="shared" si="137"/>
        <v>0.23151896431451086</v>
      </c>
      <c r="H478" s="13">
        <f t="shared" si="138"/>
        <v>210552.41071563962</v>
      </c>
      <c r="I478" s="13">
        <f t="shared" si="139"/>
        <v>19880398.777475338</v>
      </c>
      <c r="J478" s="15">
        <f t="shared" si="140"/>
        <v>0.7684810356854892</v>
      </c>
      <c r="K478" s="13">
        <f t="shared" si="141"/>
        <v>4918376.3810577383</v>
      </c>
      <c r="L478" s="13">
        <f t="shared" si="142"/>
        <v>534293357.75908321</v>
      </c>
      <c r="M478" s="15">
        <f t="shared" si="143"/>
        <v>0.7684810356854892</v>
      </c>
      <c r="N478" s="13">
        <f t="shared" si="144"/>
        <v>78501.828159457407</v>
      </c>
      <c r="O478" s="13">
        <f t="shared" si="145"/>
        <v>14962022.396417601</v>
      </c>
      <c r="P478" s="15">
        <f t="shared" si="146"/>
        <v>0.70039872753304988</v>
      </c>
      <c r="Q478" s="7">
        <f t="shared" si="147"/>
        <v>21362149.598867718</v>
      </c>
      <c r="R478" s="7">
        <f t="shared" si="148"/>
        <v>6400127.2024501171</v>
      </c>
      <c r="S478" s="13">
        <f>IF(Calc!$AD$32="Sim",R478,Q478)</f>
        <v>6400127.2024501171</v>
      </c>
      <c r="T478" s="9">
        <f t="shared" si="149"/>
        <v>474</v>
      </c>
      <c r="U478" s="17">
        <f t="shared" ca="1" si="152"/>
        <v>59933</v>
      </c>
    </row>
    <row r="479" spans="2:21" x14ac:dyDescent="0.2">
      <c r="B479" s="17">
        <f t="shared" ca="1" si="150"/>
        <v>59933</v>
      </c>
      <c r="C479" s="9">
        <f t="shared" si="153"/>
        <v>475</v>
      </c>
      <c r="D479" s="9"/>
      <c r="E479" s="13">
        <f t="shared" si="151"/>
        <v>6898.3160542311316</v>
      </c>
      <c r="F479" s="14">
        <f t="shared" si="136"/>
        <v>1488649.1374466098</v>
      </c>
      <c r="G479" s="15">
        <f t="shared" si="137"/>
        <v>0.23090096332618318</v>
      </c>
      <c r="H479" s="13">
        <f t="shared" si="138"/>
        <v>212717.43661318233</v>
      </c>
      <c r="I479" s="13">
        <f t="shared" si="139"/>
        <v>20093116.214088522</v>
      </c>
      <c r="J479" s="15">
        <f t="shared" si="140"/>
        <v>0.76909903667381685</v>
      </c>
      <c r="K479" s="13">
        <f t="shared" si="141"/>
        <v>4958483.5033283159</v>
      </c>
      <c r="L479" s="13">
        <f t="shared" si="142"/>
        <v>539251841.26241148</v>
      </c>
      <c r="M479" s="15">
        <f t="shared" si="143"/>
        <v>0.76909903667381674</v>
      </c>
      <c r="N479" s="13">
        <f t="shared" si="144"/>
        <v>79308.874191843643</v>
      </c>
      <c r="O479" s="13">
        <f t="shared" si="145"/>
        <v>15134632.710760208</v>
      </c>
      <c r="P479" s="15">
        <f t="shared" si="146"/>
        <v>0.70126944965990301</v>
      </c>
      <c r="Q479" s="7">
        <f t="shared" si="147"/>
        <v>21581765.351535134</v>
      </c>
      <c r="R479" s="7">
        <f t="shared" si="148"/>
        <v>6447132.6407749262</v>
      </c>
      <c r="S479" s="13">
        <f>IF(Calc!$AD$32="Sim",R479,Q479)</f>
        <v>6447132.6407749262</v>
      </c>
      <c r="T479" s="9">
        <f t="shared" si="149"/>
        <v>475</v>
      </c>
      <c r="U479" s="17">
        <f t="shared" ca="1" si="152"/>
        <v>59962</v>
      </c>
    </row>
    <row r="480" spans="2:21" x14ac:dyDescent="0.2">
      <c r="B480" s="17">
        <f t="shared" ca="1" si="150"/>
        <v>59962</v>
      </c>
      <c r="C480" s="9">
        <f t="shared" si="153"/>
        <v>476</v>
      </c>
      <c r="D480" s="9"/>
      <c r="E480" s="13">
        <f t="shared" si="151"/>
        <v>6926.420647734798</v>
      </c>
      <c r="F480" s="14">
        <f t="shared" si="136"/>
        <v>1495575.5580943446</v>
      </c>
      <c r="G480" s="15">
        <f t="shared" si="137"/>
        <v>0.23028479938664628</v>
      </c>
      <c r="H480" s="13">
        <f t="shared" si="138"/>
        <v>214904.29986545371</v>
      </c>
      <c r="I480" s="13">
        <f t="shared" si="139"/>
        <v>20308020.513953976</v>
      </c>
      <c r="J480" s="15">
        <f t="shared" si="140"/>
        <v>0.76971520061335374</v>
      </c>
      <c r="K480" s="13">
        <f t="shared" si="141"/>
        <v>4998885.0492828954</v>
      </c>
      <c r="L480" s="13">
        <f t="shared" si="142"/>
        <v>544250726.31169438</v>
      </c>
      <c r="M480" s="15">
        <f t="shared" si="143"/>
        <v>0.76971520061335374</v>
      </c>
      <c r="N480" s="13">
        <f t="shared" si="144"/>
        <v>80124.059808891194</v>
      </c>
      <c r="O480" s="13">
        <f t="shared" si="145"/>
        <v>15309135.464671087</v>
      </c>
      <c r="P480" s="15">
        <f t="shared" si="146"/>
        <v>0.70213809749929379</v>
      </c>
      <c r="Q480" s="7">
        <f t="shared" si="147"/>
        <v>21803596.072048325</v>
      </c>
      <c r="R480" s="7">
        <f t="shared" si="148"/>
        <v>6494460.6073772395</v>
      </c>
      <c r="S480" s="13">
        <f>IF(Calc!$AD$32="Sim",R480,Q480)</f>
        <v>6494460.6073772395</v>
      </c>
      <c r="T480" s="9">
        <f t="shared" si="149"/>
        <v>476</v>
      </c>
      <c r="U480" s="17">
        <f t="shared" ca="1" si="152"/>
        <v>59993</v>
      </c>
    </row>
    <row r="481" spans="2:21" x14ac:dyDescent="0.2">
      <c r="B481" s="17">
        <f t="shared" ca="1" si="150"/>
        <v>59993</v>
      </c>
      <c r="C481" s="9">
        <f t="shared" si="153"/>
        <v>477</v>
      </c>
      <c r="D481" s="9"/>
      <c r="E481" s="13">
        <f t="shared" si="151"/>
        <v>6954.6397428312875</v>
      </c>
      <c r="F481" s="14">
        <f t="shared" si="136"/>
        <v>1502530.1978371758</v>
      </c>
      <c r="G481" s="15">
        <f t="shared" si="137"/>
        <v>0.22967046633548913</v>
      </c>
      <c r="H481" s="13">
        <f t="shared" si="138"/>
        <v>217113.21905737446</v>
      </c>
      <c r="I481" s="13">
        <f t="shared" si="139"/>
        <v>20525133.73301135</v>
      </c>
      <c r="J481" s="15">
        <f t="shared" si="140"/>
        <v>0.77032953366451085</v>
      </c>
      <c r="K481" s="13">
        <f t="shared" si="141"/>
        <v>5039583.0386220906</v>
      </c>
      <c r="L481" s="13">
        <f t="shared" si="142"/>
        <v>549290309.35031652</v>
      </c>
      <c r="M481" s="15">
        <f t="shared" si="143"/>
        <v>0.77032953366451085</v>
      </c>
      <c r="N481" s="13">
        <f t="shared" si="144"/>
        <v>80947.466482745949</v>
      </c>
      <c r="O481" s="13">
        <f t="shared" si="145"/>
        <v>15485550.694389265</v>
      </c>
      <c r="P481" s="15">
        <f t="shared" si="146"/>
        <v>0.70300467371406572</v>
      </c>
      <c r="Q481" s="7">
        <f t="shared" si="147"/>
        <v>22027663.930848531</v>
      </c>
      <c r="R481" s="7">
        <f t="shared" si="148"/>
        <v>6542113.2364592664</v>
      </c>
      <c r="S481" s="13">
        <f>IF(Calc!$AD$32="Sim",R481,Q481)</f>
        <v>6542113.2364592664</v>
      </c>
      <c r="T481" s="9">
        <f t="shared" si="149"/>
        <v>477</v>
      </c>
      <c r="U481" s="17">
        <f t="shared" ca="1" si="152"/>
        <v>60023</v>
      </c>
    </row>
    <row r="482" spans="2:21" x14ac:dyDescent="0.2">
      <c r="B482" s="17">
        <f t="shared" ca="1" si="150"/>
        <v>60023</v>
      </c>
      <c r="C482" s="9">
        <f t="shared" si="153"/>
        <v>478</v>
      </c>
      <c r="D482" s="9"/>
      <c r="E482" s="13">
        <f t="shared" si="151"/>
        <v>6982.9738060142627</v>
      </c>
      <c r="F482" s="14">
        <f t="shared" si="136"/>
        <v>1509513.1716431901</v>
      </c>
      <c r="G482" s="15">
        <f t="shared" si="137"/>
        <v>0.22905795803579013</v>
      </c>
      <c r="H482" s="13">
        <f t="shared" si="138"/>
        <v>219344.41495509024</v>
      </c>
      <c r="I482" s="13">
        <f t="shared" si="139"/>
        <v>20744478.147966441</v>
      </c>
      <c r="J482" s="15">
        <f t="shared" si="140"/>
        <v>0.7709420419642099</v>
      </c>
      <c r="K482" s="13">
        <f t="shared" si="141"/>
        <v>5080579.5044092601</v>
      </c>
      <c r="L482" s="13">
        <f t="shared" si="142"/>
        <v>554370888.85472584</v>
      </c>
      <c r="M482" s="15">
        <f t="shared" si="143"/>
        <v>0.7709420419642099</v>
      </c>
      <c r="N482" s="13">
        <f t="shared" si="144"/>
        <v>81779.176498541579</v>
      </c>
      <c r="O482" s="13">
        <f t="shared" si="145"/>
        <v>15663898.643557183</v>
      </c>
      <c r="P482" s="15">
        <f t="shared" si="146"/>
        <v>0.70386918097494566</v>
      </c>
      <c r="Q482" s="7">
        <f t="shared" si="147"/>
        <v>22253991.319609635</v>
      </c>
      <c r="R482" s="7">
        <f t="shared" si="148"/>
        <v>6590092.6760524502</v>
      </c>
      <c r="S482" s="13">
        <f>IF(Calc!$AD$32="Sim",R482,Q482)</f>
        <v>6590092.6760524502</v>
      </c>
      <c r="T482" s="9">
        <f t="shared" si="149"/>
        <v>478</v>
      </c>
      <c r="U482" s="17">
        <f t="shared" ca="1" si="152"/>
        <v>60054</v>
      </c>
    </row>
    <row r="483" spans="2:21" x14ac:dyDescent="0.2">
      <c r="B483" s="17">
        <f t="shared" ca="1" si="150"/>
        <v>60054</v>
      </c>
      <c r="C483" s="9">
        <f t="shared" si="153"/>
        <v>479</v>
      </c>
      <c r="D483" s="9"/>
      <c r="E483" s="13">
        <f t="shared" si="151"/>
        <v>7011.4233056779385</v>
      </c>
      <c r="F483" s="14">
        <f t="shared" si="136"/>
        <v>1516524.594948868</v>
      </c>
      <c r="G483" s="15">
        <f t="shared" si="137"/>
        <v>0.22844726837401116</v>
      </c>
      <c r="H483" s="13">
        <f t="shared" si="138"/>
        <v>221598.11052771035</v>
      </c>
      <c r="I483" s="13">
        <f t="shared" si="139"/>
        <v>20966076.25849415</v>
      </c>
      <c r="J483" s="15">
        <f t="shared" si="140"/>
        <v>0.77155273162598881</v>
      </c>
      <c r="K483" s="13">
        <f t="shared" si="141"/>
        <v>5121876.4931570832</v>
      </c>
      <c r="L483" s="13">
        <f t="shared" si="142"/>
        <v>559492765.34788287</v>
      </c>
      <c r="M483" s="15">
        <f t="shared" si="143"/>
        <v>0.77155273162598881</v>
      </c>
      <c r="N483" s="13">
        <f t="shared" si="144"/>
        <v>82619.272962502</v>
      </c>
      <c r="O483" s="13">
        <f t="shared" si="145"/>
        <v>15844199.765337072</v>
      </c>
      <c r="P483" s="15">
        <f t="shared" si="146"/>
        <v>0.70473162196048444</v>
      </c>
      <c r="Q483" s="7">
        <f t="shared" si="147"/>
        <v>22482600.853443023</v>
      </c>
      <c r="R483" s="7">
        <f t="shared" si="148"/>
        <v>6638401.0881059514</v>
      </c>
      <c r="S483" s="13">
        <f>IF(Calc!$AD$32="Sim",R483,Q483)</f>
        <v>6638401.0881059514</v>
      </c>
      <c r="T483" s="9">
        <f t="shared" si="149"/>
        <v>479</v>
      </c>
      <c r="U483" s="17">
        <f t="shared" ca="1" si="152"/>
        <v>60084</v>
      </c>
    </row>
    <row r="484" spans="2:21" x14ac:dyDescent="0.2">
      <c r="B484" s="17">
        <f t="shared" ca="1" si="150"/>
        <v>60084</v>
      </c>
      <c r="C484" s="9">
        <f t="shared" si="153"/>
        <v>480</v>
      </c>
      <c r="D484" s="9">
        <v>40</v>
      </c>
      <c r="E484" s="13">
        <f t="shared" si="151"/>
        <v>7039.9887121248275</v>
      </c>
      <c r="F484" s="14">
        <f t="shared" si="136"/>
        <v>1523564.5836609928</v>
      </c>
      <c r="G484" s="15">
        <f t="shared" si="137"/>
        <v>0.22783839125989255</v>
      </c>
      <c r="H484" s="13">
        <f t="shared" si="138"/>
        <v>223874.53096926323</v>
      </c>
      <c r="I484" s="13">
        <f t="shared" si="139"/>
        <v>21189950.789463412</v>
      </c>
      <c r="J484" s="15">
        <f t="shared" si="140"/>
        <v>0.77216160874010742</v>
      </c>
      <c r="K484" s="13">
        <f t="shared" si="141"/>
        <v>5163476.0649146931</v>
      </c>
      <c r="L484" s="13">
        <f t="shared" si="142"/>
        <v>564656241.41279757</v>
      </c>
      <c r="M484" s="15">
        <f t="shared" si="143"/>
        <v>0.77216160874010742</v>
      </c>
      <c r="N484" s="13">
        <f t="shared" si="144"/>
        <v>83467.839810124526</v>
      </c>
      <c r="O484" s="13">
        <f t="shared" si="145"/>
        <v>16026474.724548724</v>
      </c>
      <c r="P484" s="15">
        <f t="shared" si="146"/>
        <v>0.70559199935699624</v>
      </c>
      <c r="Q484" s="7">
        <f t="shared" si="147"/>
        <v>22713515.373124409</v>
      </c>
      <c r="R484" s="7">
        <f t="shared" si="148"/>
        <v>6687040.6485756859</v>
      </c>
      <c r="S484" s="13">
        <f>IF(Calc!$AD$32="Sim",R484,Q484)</f>
        <v>6687040.6485756859</v>
      </c>
      <c r="T484" s="9">
        <f t="shared" si="149"/>
        <v>480</v>
      </c>
      <c r="U484" s="17">
        <f t="shared" ca="1" si="152"/>
        <v>60115</v>
      </c>
    </row>
    <row r="485" spans="2:21" x14ac:dyDescent="0.2">
      <c r="B485" s="17">
        <f t="shared" ca="1" si="150"/>
        <v>60115</v>
      </c>
      <c r="C485" s="9">
        <f t="shared" si="153"/>
        <v>481</v>
      </c>
      <c r="D485" s="9"/>
      <c r="E485" s="13">
        <f t="shared" si="151"/>
        <v>7068.6704975735111</v>
      </c>
      <c r="F485" s="14">
        <f t="shared" si="136"/>
        <v>1530633.2541585662</v>
      </c>
      <c r="G485" s="15">
        <f t="shared" si="137"/>
        <v>0.22723132062634827</v>
      </c>
      <c r="H485" s="13">
        <f t="shared" si="138"/>
        <v>226173.90372087024</v>
      </c>
      <c r="I485" s="13">
        <f t="shared" si="139"/>
        <v>21416124.693184283</v>
      </c>
      <c r="J485" s="15">
        <f t="shared" si="140"/>
        <v>0.77276867937365168</v>
      </c>
      <c r="K485" s="13">
        <f t="shared" si="141"/>
        <v>5205380.2933553755</v>
      </c>
      <c r="L485" s="13">
        <f t="shared" si="142"/>
        <v>569861621.70615292</v>
      </c>
      <c r="M485" s="15">
        <f t="shared" si="143"/>
        <v>0.77276867937365168</v>
      </c>
      <c r="N485" s="13">
        <f t="shared" si="144"/>
        <v>84324.961814444556</v>
      </c>
      <c r="O485" s="13">
        <f t="shared" si="145"/>
        <v>16210744.399828911</v>
      </c>
      <c r="P485" s="15">
        <f t="shared" si="146"/>
        <v>0.70645031585850027</v>
      </c>
      <c r="Q485" s="7">
        <f t="shared" si="147"/>
        <v>22946757.947342854</v>
      </c>
      <c r="R485" s="7">
        <f t="shared" si="148"/>
        <v>6736013.5475139422</v>
      </c>
      <c r="S485" s="13">
        <f>IF(Calc!$AD$32="Sim",R485,Q485)</f>
        <v>6736013.5475139422</v>
      </c>
      <c r="T485" s="9">
        <f t="shared" si="149"/>
        <v>481</v>
      </c>
      <c r="U485" s="17">
        <f t="shared" ca="1" si="152"/>
        <v>60146</v>
      </c>
    </row>
    <row r="486" spans="2:21" x14ac:dyDescent="0.2">
      <c r="B486" s="17">
        <f t="shared" ca="1" si="150"/>
        <v>60146</v>
      </c>
      <c r="C486" s="9">
        <f t="shared" si="153"/>
        <v>482</v>
      </c>
      <c r="D486" s="9"/>
      <c r="E486" s="13">
        <f t="shared" si="151"/>
        <v>7097.4691361664491</v>
      </c>
      <c r="F486" s="14">
        <f t="shared" si="136"/>
        <v>1537730.7232947326</v>
      </c>
      <c r="G486" s="15">
        <f t="shared" si="137"/>
        <v>0.22662605042936226</v>
      </c>
      <c r="H486" s="13">
        <f t="shared" si="138"/>
        <v>228496.45849314076</v>
      </c>
      <c r="I486" s="13">
        <f t="shared" si="139"/>
        <v>21644621.151677422</v>
      </c>
      <c r="J486" s="15">
        <f t="shared" si="140"/>
        <v>0.77337394957063776</v>
      </c>
      <c r="K486" s="13">
        <f t="shared" si="141"/>
        <v>5247591.2658648156</v>
      </c>
      <c r="L486" s="13">
        <f t="shared" si="142"/>
        <v>575109212.97201777</v>
      </c>
      <c r="M486" s="15">
        <f t="shared" si="143"/>
        <v>0.77337394957063765</v>
      </c>
      <c r="N486" s="13">
        <f t="shared" si="144"/>
        <v>85190.724594382569</v>
      </c>
      <c r="O486" s="13">
        <f t="shared" si="145"/>
        <v>16397029.885812612</v>
      </c>
      <c r="P486" s="15">
        <f t="shared" si="146"/>
        <v>0.70730657416666021</v>
      </c>
      <c r="Q486" s="7">
        <f t="shared" si="147"/>
        <v>23182351.874972161</v>
      </c>
      <c r="R486" s="7">
        <f t="shared" si="148"/>
        <v>6785321.9891595487</v>
      </c>
      <c r="S486" s="13">
        <f>IF(Calc!$AD$32="Sim",R486,Q486)</f>
        <v>6785321.9891595487</v>
      </c>
      <c r="T486" s="9">
        <f t="shared" si="149"/>
        <v>482</v>
      </c>
      <c r="U486" s="17">
        <f t="shared" ca="1" si="152"/>
        <v>60176</v>
      </c>
    </row>
    <row r="487" spans="2:21" x14ac:dyDescent="0.2">
      <c r="B487" s="17">
        <f t="shared" ca="1" si="150"/>
        <v>60176</v>
      </c>
      <c r="C487" s="9">
        <f t="shared" si="153"/>
        <v>483</v>
      </c>
      <c r="D487" s="9"/>
      <c r="E487" s="13">
        <f t="shared" si="151"/>
        <v>7126.3851039778147</v>
      </c>
      <c r="F487" s="14">
        <f t="shared" si="136"/>
        <v>1544857.1083987104</v>
      </c>
      <c r="G487" s="15">
        <f t="shared" si="137"/>
        <v>0.22602257464788494</v>
      </c>
      <c r="H487" s="13">
        <f t="shared" si="138"/>
        <v>230842.42728879018</v>
      </c>
      <c r="I487" s="13">
        <f t="shared" si="139"/>
        <v>21875463.578966212</v>
      </c>
      <c r="J487" s="15">
        <f t="shared" si="140"/>
        <v>0.773977425352115</v>
      </c>
      <c r="K487" s="13">
        <f t="shared" si="141"/>
        <v>5290111.0836299201</v>
      </c>
      <c r="L487" s="13">
        <f t="shared" si="142"/>
        <v>580399324.05564773</v>
      </c>
      <c r="M487" s="15">
        <f t="shared" si="143"/>
        <v>0.773977425352115</v>
      </c>
      <c r="N487" s="13">
        <f t="shared" si="144"/>
        <v>86065.214623174295</v>
      </c>
      <c r="O487" s="13">
        <f t="shared" si="145"/>
        <v>16585352.495336298</v>
      </c>
      <c r="P487" s="15">
        <f t="shared" si="146"/>
        <v>0.70816077699072499</v>
      </c>
      <c r="Q487" s="7">
        <f t="shared" si="147"/>
        <v>23420320.687364928</v>
      </c>
      <c r="R487" s="7">
        <f t="shared" si="148"/>
        <v>6834968.1920286305</v>
      </c>
      <c r="S487" s="13">
        <f>IF(Calc!$AD$32="Sim",R487,Q487)</f>
        <v>6834968.1920286305</v>
      </c>
      <c r="T487" s="9">
        <f t="shared" si="149"/>
        <v>483</v>
      </c>
      <c r="U487" s="17">
        <f t="shared" ca="1" si="152"/>
        <v>60207</v>
      </c>
    </row>
    <row r="488" spans="2:21" x14ac:dyDescent="0.2">
      <c r="B488" s="17">
        <f t="shared" ca="1" si="150"/>
        <v>60207</v>
      </c>
      <c r="C488" s="9">
        <f t="shared" si="153"/>
        <v>484</v>
      </c>
      <c r="D488" s="9"/>
      <c r="E488" s="13">
        <f t="shared" si="151"/>
        <v>7155.4188790213684</v>
      </c>
      <c r="F488" s="14">
        <f t="shared" si="136"/>
        <v>1552012.5272777318</v>
      </c>
      <c r="G488" s="15">
        <f t="shared" si="137"/>
        <v>0.2254208872837305</v>
      </c>
      <c r="H488" s="13">
        <f t="shared" si="138"/>
        <v>233212.04442548298</v>
      </c>
      <c r="I488" s="13">
        <f t="shared" si="139"/>
        <v>22108675.623391695</v>
      </c>
      <c r="J488" s="15">
        <f t="shared" si="140"/>
        <v>0.77457911271626956</v>
      </c>
      <c r="K488" s="13">
        <f t="shared" si="141"/>
        <v>5332941.8617282007</v>
      </c>
      <c r="L488" s="13">
        <f t="shared" si="142"/>
        <v>585732265.91737592</v>
      </c>
      <c r="M488" s="15">
        <f t="shared" si="143"/>
        <v>0.77457911271626956</v>
      </c>
      <c r="N488" s="13">
        <f t="shared" si="144"/>
        <v>86948.519236884851</v>
      </c>
      <c r="O488" s="13">
        <f t="shared" si="145"/>
        <v>16775733.7616635</v>
      </c>
      <c r="P488" s="15">
        <f t="shared" si="146"/>
        <v>0.70901292704746899</v>
      </c>
      <c r="Q488" s="7">
        <f t="shared" si="147"/>
        <v>23660688.150669433</v>
      </c>
      <c r="R488" s="7">
        <f t="shared" si="148"/>
        <v>6884954.389005932</v>
      </c>
      <c r="S488" s="13">
        <f>IF(Calc!$AD$32="Sim",R488,Q488)</f>
        <v>6884954.389005932</v>
      </c>
      <c r="T488" s="9">
        <f t="shared" si="149"/>
        <v>484</v>
      </c>
      <c r="U488" s="17">
        <f t="shared" ca="1" si="152"/>
        <v>60237</v>
      </c>
    </row>
    <row r="489" spans="2:21" x14ac:dyDescent="0.2">
      <c r="B489" s="17">
        <f t="shared" ca="1" si="150"/>
        <v>60237</v>
      </c>
      <c r="C489" s="9">
        <f t="shared" si="153"/>
        <v>485</v>
      </c>
      <c r="D489" s="9"/>
      <c r="E489" s="13">
        <f t="shared" si="151"/>
        <v>7184.5709412583556</v>
      </c>
      <c r="F489" s="14">
        <f t="shared" si="136"/>
        <v>1559197.0982189903</v>
      </c>
      <c r="G489" s="15">
        <f t="shared" si="137"/>
        <v>0.22482098236147469</v>
      </c>
      <c r="H489" s="13">
        <f t="shared" si="138"/>
        <v>235605.54655890394</v>
      </c>
      <c r="I489" s="13">
        <f t="shared" si="139"/>
        <v>22344281.169950601</v>
      </c>
      <c r="J489" s="15">
        <f t="shared" si="140"/>
        <v>0.77517901763852537</v>
      </c>
      <c r="K489" s="13">
        <f t="shared" si="141"/>
        <v>5376085.7292177342</v>
      </c>
      <c r="L489" s="13">
        <f t="shared" si="142"/>
        <v>591108351.64659369</v>
      </c>
      <c r="M489" s="15">
        <f t="shared" si="143"/>
        <v>0.77517901763852526</v>
      </c>
      <c r="N489" s="13">
        <f t="shared" si="144"/>
        <v>87840.726643007627</v>
      </c>
      <c r="O489" s="13">
        <f t="shared" si="145"/>
        <v>16968195.440732874</v>
      </c>
      <c r="P489" s="15">
        <f t="shared" si="146"/>
        <v>0.7098630270611328</v>
      </c>
      <c r="Q489" s="7">
        <f t="shared" si="147"/>
        <v>23903478.268169597</v>
      </c>
      <c r="R489" s="7">
        <f t="shared" si="148"/>
        <v>6935282.8274367247</v>
      </c>
      <c r="S489" s="13">
        <f>IF(Calc!$AD$32="Sim",R489,Q489)</f>
        <v>6935282.8274367247</v>
      </c>
      <c r="T489" s="9">
        <f t="shared" si="149"/>
        <v>485</v>
      </c>
      <c r="U489" s="17">
        <f t="shared" ca="1" si="152"/>
        <v>60268</v>
      </c>
    </row>
    <row r="490" spans="2:21" x14ac:dyDescent="0.2">
      <c r="B490" s="17">
        <f t="shared" ca="1" si="150"/>
        <v>60268</v>
      </c>
      <c r="C490" s="9">
        <f t="shared" si="153"/>
        <v>486</v>
      </c>
      <c r="D490" s="9"/>
      <c r="E490" s="13">
        <f t="shared" si="151"/>
        <v>7213.8417726054449</v>
      </c>
      <c r="F490" s="14">
        <f t="shared" si="136"/>
        <v>1566410.9399915957</v>
      </c>
      <c r="G490" s="15">
        <f t="shared" si="137"/>
        <v>0.22422285392835348</v>
      </c>
      <c r="H490" s="13">
        <f t="shared" si="138"/>
        <v>238023.17270605842</v>
      </c>
      <c r="I490" s="13">
        <f t="shared" si="139"/>
        <v>22582304.342656661</v>
      </c>
      <c r="J490" s="15">
        <f t="shared" si="140"/>
        <v>0.7757771460716465</v>
      </c>
      <c r="K490" s="13">
        <f t="shared" si="141"/>
        <v>5419544.8292276971</v>
      </c>
      <c r="L490" s="13">
        <f t="shared" si="142"/>
        <v>596527896.47582138</v>
      </c>
      <c r="M490" s="15">
        <f t="shared" si="143"/>
        <v>0.77577714607164661</v>
      </c>
      <c r="N490" s="13">
        <f t="shared" si="144"/>
        <v>88741.925929148885</v>
      </c>
      <c r="O490" s="13">
        <f t="shared" si="145"/>
        <v>17162759.513428971</v>
      </c>
      <c r="P490" s="15">
        <f t="shared" si="146"/>
        <v>0.71071107976336301</v>
      </c>
      <c r="Q490" s="7">
        <f t="shared" si="147"/>
        <v>24148715.282648262</v>
      </c>
      <c r="R490" s="7">
        <f t="shared" si="148"/>
        <v>6985955.7692192923</v>
      </c>
      <c r="S490" s="13">
        <f>IF(Calc!$AD$32="Sim",R490,Q490)</f>
        <v>6985955.7692192923</v>
      </c>
      <c r="T490" s="9">
        <f t="shared" si="149"/>
        <v>486</v>
      </c>
      <c r="U490" s="17">
        <f t="shared" ca="1" si="152"/>
        <v>60299</v>
      </c>
    </row>
    <row r="491" spans="2:21" x14ac:dyDescent="0.2">
      <c r="B491" s="17">
        <f t="shared" ca="1" si="150"/>
        <v>60299</v>
      </c>
      <c r="C491" s="9">
        <f t="shared" si="153"/>
        <v>487</v>
      </c>
      <c r="D491" s="9"/>
      <c r="E491" s="13">
        <f t="shared" si="151"/>
        <v>7243.2318569426925</v>
      </c>
      <c r="F491" s="14">
        <f t="shared" si="136"/>
        <v>1573654.1718485383</v>
      </c>
      <c r="G491" s="15">
        <f t="shared" si="137"/>
        <v>0.22362649605416202</v>
      </c>
      <c r="H491" s="13">
        <f t="shared" si="138"/>
        <v>240465.1642688053</v>
      </c>
      <c r="I491" s="13">
        <f t="shared" si="139"/>
        <v>22822769.506925467</v>
      </c>
      <c r="J491" s="15">
        <f t="shared" si="140"/>
        <v>0.77637350394583793</v>
      </c>
      <c r="K491" s="13">
        <f t="shared" si="141"/>
        <v>5463321.3190494701</v>
      </c>
      <c r="L491" s="13">
        <f t="shared" si="142"/>
        <v>601991217.79487085</v>
      </c>
      <c r="M491" s="15">
        <f t="shared" si="143"/>
        <v>0.77637350394583793</v>
      </c>
      <c r="N491" s="13">
        <f t="shared" si="144"/>
        <v>89652.207071798926</v>
      </c>
      <c r="O491" s="13">
        <f t="shared" si="145"/>
        <v>17359448.187876001</v>
      </c>
      <c r="P491" s="15">
        <f t="shared" si="146"/>
        <v>0.7115570878931532</v>
      </c>
      <c r="Q491" s="7">
        <f t="shared" si="147"/>
        <v>24396423.67877401</v>
      </c>
      <c r="R491" s="7">
        <f t="shared" si="148"/>
        <v>7036975.4908980085</v>
      </c>
      <c r="S491" s="13">
        <f>IF(Calc!$AD$32="Sim",R491,Q491)</f>
        <v>7036975.4908980085</v>
      </c>
      <c r="T491" s="9">
        <f t="shared" si="149"/>
        <v>487</v>
      </c>
      <c r="U491" s="17">
        <f t="shared" ca="1" si="152"/>
        <v>60327</v>
      </c>
    </row>
    <row r="492" spans="2:21" x14ac:dyDescent="0.2">
      <c r="B492" s="17">
        <f t="shared" ca="1" si="150"/>
        <v>60327</v>
      </c>
      <c r="C492" s="9">
        <f t="shared" si="153"/>
        <v>488</v>
      </c>
      <c r="D492" s="9"/>
      <c r="E492" s="13">
        <f t="shared" si="151"/>
        <v>7272.7416801215422</v>
      </c>
      <c r="F492" s="14">
        <f t="shared" si="136"/>
        <v>1580926.9135286598</v>
      </c>
      <c r="G492" s="15">
        <f t="shared" si="137"/>
        <v>0.22303190283115429</v>
      </c>
      <c r="H492" s="13">
        <f t="shared" si="138"/>
        <v>242931.76505762408</v>
      </c>
      <c r="I492" s="13">
        <f t="shared" si="139"/>
        <v>23065701.271983091</v>
      </c>
      <c r="J492" s="15">
        <f t="shared" si="140"/>
        <v>0.77696809716884574</v>
      </c>
      <c r="K492" s="13">
        <f t="shared" si="141"/>
        <v>5507417.3702283427</v>
      </c>
      <c r="L492" s="13">
        <f t="shared" si="142"/>
        <v>607498635.16509914</v>
      </c>
      <c r="M492" s="15">
        <f t="shared" si="143"/>
        <v>0.77696809716884563</v>
      </c>
      <c r="N492" s="13">
        <f t="shared" si="144"/>
        <v>90571.660945190466</v>
      </c>
      <c r="O492" s="13">
        <f t="shared" si="145"/>
        <v>17558283.901754752</v>
      </c>
      <c r="P492" s="15">
        <f t="shared" si="146"/>
        <v>0.71240105419678423</v>
      </c>
      <c r="Q492" s="7">
        <f t="shared" si="147"/>
        <v>24646628.185511757</v>
      </c>
      <c r="R492" s="7">
        <f t="shared" si="148"/>
        <v>7088344.283757003</v>
      </c>
      <c r="S492" s="13">
        <f>IF(Calc!$AD$32="Sim",R492,Q492)</f>
        <v>7088344.283757003</v>
      </c>
      <c r="T492" s="9">
        <f t="shared" si="149"/>
        <v>488</v>
      </c>
      <c r="U492" s="17">
        <f t="shared" ca="1" si="152"/>
        <v>60358</v>
      </c>
    </row>
    <row r="493" spans="2:21" x14ac:dyDescent="0.2">
      <c r="B493" s="17">
        <f t="shared" ca="1" si="150"/>
        <v>60358</v>
      </c>
      <c r="C493" s="9">
        <f t="shared" si="153"/>
        <v>489</v>
      </c>
      <c r="D493" s="9"/>
      <c r="E493" s="13">
        <f t="shared" si="151"/>
        <v>7302.371729972856</v>
      </c>
      <c r="F493" s="14">
        <f t="shared" ref="F493:F556" si="154">F492+E493</f>
        <v>1588229.2852586326</v>
      </c>
      <c r="G493" s="15">
        <f t="shared" ref="G493:G556" si="155">IF(F493&lt;=0,0,F493/S493)</f>
        <v>0.22243906837394334</v>
      </c>
      <c r="H493" s="13">
        <f t="shared" ref="H493:H556" si="156">Q492*Taxa</f>
        <v>245423.22131561884</v>
      </c>
      <c r="I493" s="13">
        <f t="shared" ref="I493:I556" si="157">I492+H493</f>
        <v>23311124.493298709</v>
      </c>
      <c r="J493" s="15">
        <f t="shared" ref="J493:J556" si="158">1-G493</f>
        <v>0.77756093162605666</v>
      </c>
      <c r="K493" s="13">
        <f t="shared" ref="K493:K556" si="159">R493-F493</f>
        <v>5551835.1686557904</v>
      </c>
      <c r="L493" s="13">
        <f t="shared" ref="L493:L556" si="160">L492+K493</f>
        <v>613050470.3337549</v>
      </c>
      <c r="M493" s="15">
        <f t="shared" ref="M493:M556" si="161">K493/R493</f>
        <v>0.77756093162605677</v>
      </c>
      <c r="N493" s="13">
        <f t="shared" ref="N493:N556" si="162">Q493*Inflação</f>
        <v>91500.379330245385</v>
      </c>
      <c r="O493" s="13">
        <f t="shared" ref="O493:O556" si="163">Q493-R493</f>
        <v>17759289.324642926</v>
      </c>
      <c r="P493" s="15">
        <f t="shared" ref="P493:P556" si="164">O493/Q493</f>
        <v>0.71324298142776488</v>
      </c>
      <c r="Q493" s="7">
        <f t="shared" ref="Q493:Q556" si="165">Q492+E493+H493</f>
        <v>24899353.778557349</v>
      </c>
      <c r="R493" s="7">
        <f t="shared" ref="R493:R556" si="166">(R492+E493)*(1+((1+Taxa)/(1+Inflação)-1))</f>
        <v>7140064.4539144225</v>
      </c>
      <c r="S493" s="13">
        <f>IF(Calc!$AD$32="Sim",R493,Q493)</f>
        <v>7140064.4539144225</v>
      </c>
      <c r="T493" s="9">
        <f t="shared" ref="T493:T556" si="167">C493</f>
        <v>489</v>
      </c>
      <c r="U493" s="17">
        <f t="shared" ca="1" si="152"/>
        <v>60388</v>
      </c>
    </row>
    <row r="494" spans="2:21" x14ac:dyDescent="0.2">
      <c r="B494" s="17">
        <f t="shared" ca="1" si="150"/>
        <v>60388</v>
      </c>
      <c r="C494" s="9">
        <f t="shared" si="153"/>
        <v>490</v>
      </c>
      <c r="D494" s="9"/>
      <c r="E494" s="13">
        <f t="shared" si="151"/>
        <v>7332.1224963149798</v>
      </c>
      <c r="F494" s="14">
        <f t="shared" si="154"/>
        <v>1595561.4077549477</v>
      </c>
      <c r="G494" s="15">
        <f t="shared" si="155"/>
        <v>0.22184798681940213</v>
      </c>
      <c r="H494" s="13">
        <f t="shared" si="156"/>
        <v>247939.78174276114</v>
      </c>
      <c r="I494" s="13">
        <f t="shared" si="157"/>
        <v>23559064.275041472</v>
      </c>
      <c r="J494" s="15">
        <f t="shared" si="158"/>
        <v>0.7781520131805979</v>
      </c>
      <c r="K494" s="13">
        <f t="shared" si="159"/>
        <v>5596576.9146623416</v>
      </c>
      <c r="L494" s="13">
        <f t="shared" si="160"/>
        <v>618647047.24841726</v>
      </c>
      <c r="M494" s="15">
        <f t="shared" si="161"/>
        <v>0.7781520131805979</v>
      </c>
      <c r="N494" s="13">
        <f t="shared" si="162"/>
        <v>92438.454923610567</v>
      </c>
      <c r="O494" s="13">
        <f t="shared" si="163"/>
        <v>17962487.360379137</v>
      </c>
      <c r="P494" s="15">
        <f t="shared" si="164"/>
        <v>0.71408287234677137</v>
      </c>
      <c r="Q494" s="7">
        <f t="shared" si="165"/>
        <v>25154625.682796426</v>
      </c>
      <c r="R494" s="7">
        <f t="shared" si="166"/>
        <v>7192138.322417289</v>
      </c>
      <c r="S494" s="13">
        <f>IF(Calc!$AD$32="Sim",R494,Q494)</f>
        <v>7192138.322417289</v>
      </c>
      <c r="T494" s="9">
        <f t="shared" si="167"/>
        <v>490</v>
      </c>
      <c r="U494" s="17">
        <f t="shared" ca="1" si="152"/>
        <v>60419</v>
      </c>
    </row>
    <row r="495" spans="2:21" x14ac:dyDescent="0.2">
      <c r="B495" s="17">
        <f t="shared" ca="1" si="150"/>
        <v>60419</v>
      </c>
      <c r="C495" s="9">
        <f t="shared" si="153"/>
        <v>491</v>
      </c>
      <c r="D495" s="9"/>
      <c r="E495" s="13">
        <f t="shared" si="151"/>
        <v>7361.9944709618394</v>
      </c>
      <c r="F495" s="14">
        <f t="shared" si="154"/>
        <v>1602923.4022259095</v>
      </c>
      <c r="G495" s="15">
        <f t="shared" si="155"/>
        <v>0.22125865232656486</v>
      </c>
      <c r="H495" s="13">
        <f t="shared" si="156"/>
        <v>250481.69752037467</v>
      </c>
      <c r="I495" s="13">
        <f t="shared" si="157"/>
        <v>23809545.972561847</v>
      </c>
      <c r="J495" s="15">
        <f t="shared" si="158"/>
        <v>0.77874134767343517</v>
      </c>
      <c r="K495" s="13">
        <f t="shared" si="159"/>
        <v>5641644.8231110508</v>
      </c>
      <c r="L495" s="13">
        <f t="shared" si="160"/>
        <v>624288692.07152832</v>
      </c>
      <c r="M495" s="15">
        <f t="shared" si="161"/>
        <v>0.77874134767343506</v>
      </c>
      <c r="N495" s="13">
        <f t="shared" si="162"/>
        <v>93385.981346783665</v>
      </c>
      <c r="O495" s="13">
        <f t="shared" si="163"/>
        <v>18167901.149450801</v>
      </c>
      <c r="P495" s="15">
        <f t="shared" si="164"/>
        <v>0.71492072972158904</v>
      </c>
      <c r="Q495" s="7">
        <f t="shared" si="165"/>
        <v>25412469.374787763</v>
      </c>
      <c r="R495" s="7">
        <f t="shared" si="166"/>
        <v>7244568.2253369605</v>
      </c>
      <c r="S495" s="13">
        <f>IF(Calc!$AD$32="Sim",R495,Q495)</f>
        <v>7244568.2253369605</v>
      </c>
      <c r="T495" s="9">
        <f t="shared" si="167"/>
        <v>491</v>
      </c>
      <c r="U495" s="17">
        <f t="shared" ca="1" si="152"/>
        <v>60449</v>
      </c>
    </row>
    <row r="496" spans="2:21" x14ac:dyDescent="0.2">
      <c r="B496" s="17">
        <f t="shared" ca="1" si="150"/>
        <v>60449</v>
      </c>
      <c r="C496" s="9">
        <f t="shared" si="153"/>
        <v>492</v>
      </c>
      <c r="D496" s="9">
        <v>41</v>
      </c>
      <c r="E496" s="13">
        <f t="shared" si="151"/>
        <v>7391.9881477310728</v>
      </c>
      <c r="F496" s="14">
        <f t="shared" si="154"/>
        <v>1610315.3903736407</v>
      </c>
      <c r="G496" s="15">
        <f t="shared" si="155"/>
        <v>0.22067105907652898</v>
      </c>
      <c r="H496" s="13">
        <f t="shared" si="156"/>
        <v>253049.22233586342</v>
      </c>
      <c r="I496" s="13">
        <f t="shared" si="157"/>
        <v>24062595.194897711</v>
      </c>
      <c r="J496" s="15">
        <f t="shared" si="158"/>
        <v>0.77932894092347105</v>
      </c>
      <c r="K496" s="13">
        <f t="shared" si="159"/>
        <v>5687041.1234915573</v>
      </c>
      <c r="L496" s="13">
        <f t="shared" si="160"/>
        <v>629975733.19501984</v>
      </c>
      <c r="M496" s="15">
        <f t="shared" si="161"/>
        <v>0.77932894092347105</v>
      </c>
      <c r="N496" s="13">
        <f t="shared" si="162"/>
        <v>94343.053155329937</v>
      </c>
      <c r="O496" s="13">
        <f t="shared" si="163"/>
        <v>18375554.07140616</v>
      </c>
      <c r="P496" s="15">
        <f t="shared" si="164"/>
        <v>0.71575655632705237</v>
      </c>
      <c r="Q496" s="7">
        <f t="shared" si="165"/>
        <v>25672910.585271358</v>
      </c>
      <c r="R496" s="7">
        <f t="shared" si="166"/>
        <v>7297356.513865198</v>
      </c>
      <c r="S496" s="13">
        <f>IF(Calc!$AD$32="Sim",R496,Q496)</f>
        <v>7297356.513865198</v>
      </c>
      <c r="T496" s="9">
        <f t="shared" si="167"/>
        <v>492</v>
      </c>
      <c r="U496" s="17">
        <f t="shared" ca="1" si="152"/>
        <v>60480</v>
      </c>
    </row>
    <row r="497" spans="2:21" x14ac:dyDescent="0.2">
      <c r="B497" s="17">
        <f t="shared" ca="1" si="150"/>
        <v>60480</v>
      </c>
      <c r="C497" s="9">
        <f t="shared" si="153"/>
        <v>493</v>
      </c>
      <c r="D497" s="9"/>
      <c r="E497" s="13">
        <f t="shared" si="151"/>
        <v>7422.1040224521903</v>
      </c>
      <c r="F497" s="14">
        <f t="shared" si="154"/>
        <v>1617737.4943960928</v>
      </c>
      <c r="G497" s="15">
        <f t="shared" si="155"/>
        <v>0.22008520127235759</v>
      </c>
      <c r="H497" s="13">
        <f t="shared" si="156"/>
        <v>255642.6124076866</v>
      </c>
      <c r="I497" s="13">
        <f t="shared" si="157"/>
        <v>24318237.807305399</v>
      </c>
      <c r="J497" s="15">
        <f t="shared" si="158"/>
        <v>0.77991479872764247</v>
      </c>
      <c r="K497" s="13">
        <f t="shared" si="159"/>
        <v>5732768.0600147508</v>
      </c>
      <c r="L497" s="13">
        <f t="shared" si="160"/>
        <v>635708501.25503457</v>
      </c>
      <c r="M497" s="15">
        <f t="shared" si="161"/>
        <v>0.77991479872764247</v>
      </c>
      <c r="N497" s="13">
        <f t="shared" si="162"/>
        <v>95309.765848190669</v>
      </c>
      <c r="O497" s="13">
        <f t="shared" si="163"/>
        <v>18585469.747290656</v>
      </c>
      <c r="P497" s="15">
        <f t="shared" si="164"/>
        <v>0.71659035494498557</v>
      </c>
      <c r="Q497" s="7">
        <f t="shared" si="165"/>
        <v>25935975.301701497</v>
      </c>
      <c r="R497" s="7">
        <f t="shared" si="166"/>
        <v>7350505.5544108432</v>
      </c>
      <c r="S497" s="13">
        <f>IF(Calc!$AD$32="Sim",R497,Q497)</f>
        <v>7350505.5544108432</v>
      </c>
      <c r="T497" s="9">
        <f t="shared" si="167"/>
        <v>493</v>
      </c>
      <c r="U497" s="17">
        <f t="shared" ca="1" si="152"/>
        <v>60511</v>
      </c>
    </row>
    <row r="498" spans="2:21" x14ac:dyDescent="0.2">
      <c r="B498" s="17">
        <f t="shared" ca="1" si="150"/>
        <v>60511</v>
      </c>
      <c r="C498" s="9">
        <f t="shared" si="153"/>
        <v>494</v>
      </c>
      <c r="D498" s="9"/>
      <c r="E498" s="13">
        <f t="shared" si="151"/>
        <v>7452.3425929747746</v>
      </c>
      <c r="F498" s="14">
        <f t="shared" si="154"/>
        <v>1625189.8369890675</v>
      </c>
      <c r="G498" s="15">
        <f t="shared" si="155"/>
        <v>0.21950107313898271</v>
      </c>
      <c r="H498" s="13">
        <f t="shared" si="156"/>
        <v>258262.12651058187</v>
      </c>
      <c r="I498" s="13">
        <f t="shared" si="157"/>
        <v>24576499.933815982</v>
      </c>
      <c r="J498" s="15">
        <f t="shared" si="158"/>
        <v>0.78049892686101729</v>
      </c>
      <c r="K498" s="13">
        <f t="shared" si="159"/>
        <v>5778827.891708036</v>
      </c>
      <c r="L498" s="13">
        <f t="shared" si="160"/>
        <v>641487329.14674258</v>
      </c>
      <c r="M498" s="15">
        <f t="shared" si="161"/>
        <v>0.78049892686101729</v>
      </c>
      <c r="N498" s="13">
        <f t="shared" si="162"/>
        <v>96286.215877084498</v>
      </c>
      <c r="O498" s="13">
        <f t="shared" si="163"/>
        <v>18797672.042107951</v>
      </c>
      <c r="P498" s="15">
        <f t="shared" si="164"/>
        <v>0.71742212836414287</v>
      </c>
      <c r="Q498" s="7">
        <f t="shared" si="165"/>
        <v>26201689.770805053</v>
      </c>
      <c r="R498" s="7">
        <f t="shared" si="166"/>
        <v>7404017.7286971034</v>
      </c>
      <c r="S498" s="13">
        <f>IF(Calc!$AD$32="Sim",R498,Q498)</f>
        <v>7404017.7286971034</v>
      </c>
      <c r="T498" s="9">
        <f t="shared" si="167"/>
        <v>494</v>
      </c>
      <c r="U498" s="17">
        <f t="shared" ca="1" si="152"/>
        <v>60541</v>
      </c>
    </row>
    <row r="499" spans="2:21" x14ac:dyDescent="0.2">
      <c r="B499" s="17">
        <f t="shared" ca="1" si="150"/>
        <v>60541</v>
      </c>
      <c r="C499" s="9">
        <f t="shared" si="153"/>
        <v>495</v>
      </c>
      <c r="D499" s="9"/>
      <c r="E499" s="13">
        <f t="shared" si="151"/>
        <v>7482.7043591767087</v>
      </c>
      <c r="F499" s="14">
        <f t="shared" si="154"/>
        <v>1632672.5413482443</v>
      </c>
      <c r="G499" s="15">
        <f t="shared" si="155"/>
        <v>0.21891866892310874</v>
      </c>
      <c r="H499" s="13">
        <f t="shared" si="156"/>
        <v>260908.02600104033</v>
      </c>
      <c r="I499" s="13">
        <f t="shared" si="157"/>
        <v>24837407.959817022</v>
      </c>
      <c r="J499" s="15">
        <f t="shared" si="158"/>
        <v>0.78108133107689126</v>
      </c>
      <c r="K499" s="13">
        <f t="shared" si="159"/>
        <v>5825222.8925112197</v>
      </c>
      <c r="L499" s="13">
        <f t="shared" si="160"/>
        <v>647312552.03925383</v>
      </c>
      <c r="M499" s="15">
        <f t="shared" si="161"/>
        <v>0.78108133107689126</v>
      </c>
      <c r="N499" s="13">
        <f t="shared" si="162"/>
        <v>97272.500656002347</v>
      </c>
      <c r="O499" s="13">
        <f t="shared" si="163"/>
        <v>19012185.067305807</v>
      </c>
      <c r="P499" s="15">
        <f t="shared" si="164"/>
        <v>0.71825187938014956</v>
      </c>
      <c r="Q499" s="7">
        <f t="shared" si="165"/>
        <v>26470080.501165271</v>
      </c>
      <c r="R499" s="7">
        <f t="shared" si="166"/>
        <v>7457895.4338594638</v>
      </c>
      <c r="S499" s="13">
        <f>IF(Calc!$AD$32="Sim",R499,Q499)</f>
        <v>7457895.4338594638</v>
      </c>
      <c r="T499" s="9">
        <f t="shared" si="167"/>
        <v>495</v>
      </c>
      <c r="U499" s="17">
        <f t="shared" ca="1" si="152"/>
        <v>60572</v>
      </c>
    </row>
    <row r="500" spans="2:21" x14ac:dyDescent="0.2">
      <c r="B500" s="17">
        <f t="shared" ca="1" si="150"/>
        <v>60572</v>
      </c>
      <c r="C500" s="9">
        <f t="shared" si="153"/>
        <v>496</v>
      </c>
      <c r="D500" s="9"/>
      <c r="E500" s="13">
        <f t="shared" si="151"/>
        <v>7513.1898229724402</v>
      </c>
      <c r="F500" s="14">
        <f t="shared" si="154"/>
        <v>1640185.7311712168</v>
      </c>
      <c r="G500" s="15">
        <f t="shared" si="155"/>
        <v>0.21833798289311659</v>
      </c>
      <c r="H500" s="13">
        <f t="shared" si="156"/>
        <v>263580.57484303473</v>
      </c>
      <c r="I500" s="13">
        <f t="shared" si="157"/>
        <v>25100988.534660056</v>
      </c>
      <c r="J500" s="15">
        <f t="shared" si="158"/>
        <v>0.78166201710688343</v>
      </c>
      <c r="K500" s="13">
        <f t="shared" si="159"/>
        <v>5871955.3513729963</v>
      </c>
      <c r="L500" s="13">
        <f t="shared" si="160"/>
        <v>653184507.39062679</v>
      </c>
      <c r="M500" s="15">
        <f t="shared" si="161"/>
        <v>0.78166201710688343</v>
      </c>
      <c r="N500" s="13">
        <f t="shared" si="162"/>
        <v>98268.718570796802</v>
      </c>
      <c r="O500" s="13">
        <f t="shared" si="163"/>
        <v>19229033.183287062</v>
      </c>
      <c r="P500" s="15">
        <f t="shared" si="164"/>
        <v>0.71907961079544269</v>
      </c>
      <c r="Q500" s="7">
        <f t="shared" si="165"/>
        <v>26741174.265831277</v>
      </c>
      <c r="R500" s="7">
        <f t="shared" si="166"/>
        <v>7512141.0825442132</v>
      </c>
      <c r="S500" s="13">
        <f>IF(Calc!$AD$32="Sim",R500,Q500)</f>
        <v>7512141.0825442132</v>
      </c>
      <c r="T500" s="9">
        <f t="shared" si="167"/>
        <v>496</v>
      </c>
      <c r="U500" s="17">
        <f t="shared" ca="1" si="152"/>
        <v>60602</v>
      </c>
    </row>
    <row r="501" spans="2:21" x14ac:dyDescent="0.2">
      <c r="B501" s="17">
        <f t="shared" ca="1" si="150"/>
        <v>60602</v>
      </c>
      <c r="C501" s="9">
        <f t="shared" si="153"/>
        <v>497</v>
      </c>
      <c r="D501" s="9"/>
      <c r="E501" s="13">
        <f t="shared" si="151"/>
        <v>7543.7994883212768</v>
      </c>
      <c r="F501" s="14">
        <f t="shared" si="154"/>
        <v>1647729.530659538</v>
      </c>
      <c r="G501" s="15">
        <f t="shared" si="155"/>
        <v>0.21775900933896861</v>
      </c>
      <c r="H501" s="13">
        <f t="shared" si="156"/>
        <v>266280.03963400441</v>
      </c>
      <c r="I501" s="13">
        <f t="shared" si="157"/>
        <v>25367268.57429406</v>
      </c>
      <c r="J501" s="15">
        <f t="shared" si="158"/>
        <v>0.78224099066103137</v>
      </c>
      <c r="K501" s="13">
        <f t="shared" si="159"/>
        <v>5919027.5723480573</v>
      </c>
      <c r="L501" s="13">
        <f t="shared" si="160"/>
        <v>659103534.96297479</v>
      </c>
      <c r="M501" s="15">
        <f t="shared" si="161"/>
        <v>0.78224099066103137</v>
      </c>
      <c r="N501" s="13">
        <f t="shared" si="162"/>
        <v>99274.968988867229</v>
      </c>
      <c r="O501" s="13">
        <f t="shared" si="163"/>
        <v>19448241.001946006</v>
      </c>
      <c r="P501" s="15">
        <f t="shared" si="164"/>
        <v>0.71990532541921159</v>
      </c>
      <c r="Q501" s="7">
        <f t="shared" si="165"/>
        <v>27014998.104953602</v>
      </c>
      <c r="R501" s="7">
        <f t="shared" si="166"/>
        <v>7566757.1030075951</v>
      </c>
      <c r="S501" s="13">
        <f>IF(Calc!$AD$32="Sim",R501,Q501)</f>
        <v>7566757.1030075951</v>
      </c>
      <c r="T501" s="9">
        <f t="shared" si="167"/>
        <v>497</v>
      </c>
      <c r="U501" s="17">
        <f t="shared" ca="1" si="152"/>
        <v>60633</v>
      </c>
    </row>
    <row r="502" spans="2:21" x14ac:dyDescent="0.2">
      <c r="B502" s="17">
        <f t="shared" ca="1" si="150"/>
        <v>60633</v>
      </c>
      <c r="C502" s="9">
        <f t="shared" si="153"/>
        <v>498</v>
      </c>
      <c r="D502" s="9"/>
      <c r="E502" s="13">
        <f t="shared" si="151"/>
        <v>7574.5338612357209</v>
      </c>
      <c r="F502" s="14">
        <f t="shared" si="154"/>
        <v>1655304.0645207737</v>
      </c>
      <c r="G502" s="15">
        <f t="shared" si="155"/>
        <v>0.21718174257211359</v>
      </c>
      <c r="H502" s="13">
        <f t="shared" si="156"/>
        <v>269006.68963109871</v>
      </c>
      <c r="I502" s="13">
        <f t="shared" si="157"/>
        <v>25636275.263925157</v>
      </c>
      <c r="J502" s="15">
        <f t="shared" si="158"/>
        <v>0.78281825742788635</v>
      </c>
      <c r="K502" s="13">
        <f t="shared" si="159"/>
        <v>5966441.8746948224</v>
      </c>
      <c r="L502" s="13">
        <f t="shared" si="160"/>
        <v>665069976.83766961</v>
      </c>
      <c r="M502" s="15">
        <f t="shared" si="161"/>
        <v>0.78281825742788647</v>
      </c>
      <c r="N502" s="13">
        <f t="shared" si="162"/>
        <v>100291.35226894118</v>
      </c>
      <c r="O502" s="13">
        <f t="shared" si="163"/>
        <v>19669833.389230337</v>
      </c>
      <c r="P502" s="15">
        <f t="shared" si="164"/>
        <v>0.72072902606733813</v>
      </c>
      <c r="Q502" s="7">
        <f t="shared" si="165"/>
        <v>27291579.328445934</v>
      </c>
      <c r="R502" s="7">
        <f t="shared" si="166"/>
        <v>7621745.9392155958</v>
      </c>
      <c r="S502" s="13">
        <f>IF(Calc!$AD$32="Sim",R502,Q502)</f>
        <v>7621745.9392155958</v>
      </c>
      <c r="T502" s="9">
        <f t="shared" si="167"/>
        <v>498</v>
      </c>
      <c r="U502" s="17">
        <f t="shared" ca="1" si="152"/>
        <v>60664</v>
      </c>
    </row>
    <row r="503" spans="2:21" x14ac:dyDescent="0.2">
      <c r="B503" s="17">
        <f t="shared" ca="1" si="150"/>
        <v>60664</v>
      </c>
      <c r="C503" s="9">
        <f t="shared" si="153"/>
        <v>499</v>
      </c>
      <c r="D503" s="9"/>
      <c r="E503" s="13">
        <f t="shared" si="151"/>
        <v>7605.3934497898308</v>
      </c>
      <c r="F503" s="14">
        <f t="shared" si="154"/>
        <v>1662909.4579705636</v>
      </c>
      <c r="G503" s="15">
        <f t="shared" si="155"/>
        <v>0.21660617692539275</v>
      </c>
      <c r="H503" s="13">
        <f t="shared" si="156"/>
        <v>271760.7967776822</v>
      </c>
      <c r="I503" s="13">
        <f t="shared" si="157"/>
        <v>25908036.060702838</v>
      </c>
      <c r="J503" s="15">
        <f t="shared" si="158"/>
        <v>0.78339382307460725</v>
      </c>
      <c r="K503" s="13">
        <f t="shared" si="159"/>
        <v>6014200.5929737901</v>
      </c>
      <c r="L503" s="13">
        <f t="shared" si="160"/>
        <v>671084177.43064344</v>
      </c>
      <c r="M503" s="15">
        <f t="shared" si="161"/>
        <v>0.78339382307460725</v>
      </c>
      <c r="N503" s="13">
        <f t="shared" si="162"/>
        <v>101317.96977095331</v>
      </c>
      <c r="O503" s="13">
        <f t="shared" si="163"/>
        <v>19893835.467729051</v>
      </c>
      <c r="P503" s="15">
        <f t="shared" si="164"/>
        <v>0.72155071556233874</v>
      </c>
      <c r="Q503" s="7">
        <f t="shared" si="165"/>
        <v>27570945.518673405</v>
      </c>
      <c r="R503" s="7">
        <f t="shared" si="166"/>
        <v>7677110.0509443535</v>
      </c>
      <c r="S503" s="13">
        <f>IF(Calc!$AD$32="Sim",R503,Q503)</f>
        <v>7677110.0509443535</v>
      </c>
      <c r="T503" s="9">
        <f t="shared" si="167"/>
        <v>499</v>
      </c>
      <c r="U503" s="17">
        <f t="shared" ca="1" si="152"/>
        <v>60692</v>
      </c>
    </row>
    <row r="504" spans="2:21" x14ac:dyDescent="0.2">
      <c r="B504" s="17">
        <f t="shared" ca="1" si="150"/>
        <v>60692</v>
      </c>
      <c r="C504" s="9">
        <f t="shared" si="153"/>
        <v>500</v>
      </c>
      <c r="D504" s="9"/>
      <c r="E504" s="13">
        <f t="shared" si="151"/>
        <v>7636.3787641276231</v>
      </c>
      <c r="F504" s="14">
        <f t="shared" si="154"/>
        <v>1670545.8367346912</v>
      </c>
      <c r="G504" s="15">
        <f t="shared" si="155"/>
        <v>0.21603230675294591</v>
      </c>
      <c r="H504" s="13">
        <f t="shared" si="156"/>
        <v>274542.63573010336</v>
      </c>
      <c r="I504" s="13">
        <f t="shared" si="157"/>
        <v>26182578.696432941</v>
      </c>
      <c r="J504" s="15">
        <f t="shared" si="158"/>
        <v>0.78396769324705406</v>
      </c>
      <c r="K504" s="13">
        <f t="shared" si="159"/>
        <v>6062306.0771465227</v>
      </c>
      <c r="L504" s="13">
        <f t="shared" si="160"/>
        <v>677146483.50778997</v>
      </c>
      <c r="M504" s="15">
        <f t="shared" si="161"/>
        <v>0.78396769324705418</v>
      </c>
      <c r="N504" s="13">
        <f t="shared" si="162"/>
        <v>102354.92386602271</v>
      </c>
      <c r="O504" s="13">
        <f t="shared" si="163"/>
        <v>20120272.619286422</v>
      </c>
      <c r="P504" s="15">
        <f t="shared" si="164"/>
        <v>0.72237039673330383</v>
      </c>
      <c r="Q504" s="7">
        <f t="shared" si="165"/>
        <v>27853124.533167634</v>
      </c>
      <c r="R504" s="7">
        <f t="shared" si="166"/>
        <v>7732851.9138812134</v>
      </c>
      <c r="S504" s="13">
        <f>IF(Calc!$AD$32="Sim",R504,Q504)</f>
        <v>7732851.9138812134</v>
      </c>
      <c r="T504" s="9">
        <f t="shared" si="167"/>
        <v>500</v>
      </c>
      <c r="U504" s="17">
        <f t="shared" ca="1" si="152"/>
        <v>60723</v>
      </c>
    </row>
    <row r="505" spans="2:21" x14ac:dyDescent="0.2">
      <c r="B505" s="17">
        <f t="shared" ca="1" si="150"/>
        <v>60723</v>
      </c>
      <c r="C505" s="9">
        <f t="shared" si="153"/>
        <v>501</v>
      </c>
      <c r="D505" s="9"/>
      <c r="E505" s="13">
        <f t="shared" si="151"/>
        <v>7667.4903164715024</v>
      </c>
      <c r="F505" s="14">
        <f t="shared" si="154"/>
        <v>1678213.3270511627</v>
      </c>
      <c r="G505" s="15">
        <f t="shared" si="155"/>
        <v>0.21546012643011844</v>
      </c>
      <c r="H505" s="13">
        <f t="shared" si="156"/>
        <v>277352.48388473043</v>
      </c>
      <c r="I505" s="13">
        <f t="shared" si="157"/>
        <v>26459931.18031767</v>
      </c>
      <c r="J505" s="15">
        <f t="shared" si="158"/>
        <v>0.78453987356988153</v>
      </c>
      <c r="K505" s="13">
        <f t="shared" si="159"/>
        <v>6110760.692675259</v>
      </c>
      <c r="L505" s="13">
        <f t="shared" si="160"/>
        <v>683257244.2004652</v>
      </c>
      <c r="M505" s="15">
        <f t="shared" si="161"/>
        <v>0.78453987356988153</v>
      </c>
      <c r="N505" s="13">
        <f t="shared" si="162"/>
        <v>103402.31794652955</v>
      </c>
      <c r="O505" s="13">
        <f t="shared" si="163"/>
        <v>20349170.487642415</v>
      </c>
      <c r="P505" s="15">
        <f t="shared" si="164"/>
        <v>0.7231880724158396</v>
      </c>
      <c r="Q505" s="7">
        <f t="shared" si="165"/>
        <v>28138144.507368837</v>
      </c>
      <c r="R505" s="7">
        <f t="shared" si="166"/>
        <v>7788974.0197264217</v>
      </c>
      <c r="S505" s="13">
        <f>IF(Calc!$AD$32="Sim",R505,Q505)</f>
        <v>7788974.0197264217</v>
      </c>
      <c r="T505" s="9">
        <f t="shared" si="167"/>
        <v>501</v>
      </c>
      <c r="U505" s="17">
        <f t="shared" ca="1" si="152"/>
        <v>60753</v>
      </c>
    </row>
    <row r="506" spans="2:21" x14ac:dyDescent="0.2">
      <c r="B506" s="17">
        <f t="shared" ca="1" si="150"/>
        <v>60753</v>
      </c>
      <c r="C506" s="9">
        <f t="shared" si="153"/>
        <v>502</v>
      </c>
      <c r="D506" s="9"/>
      <c r="E506" s="13">
        <f t="shared" si="151"/>
        <v>7698.7286211307328</v>
      </c>
      <c r="F506" s="14">
        <f t="shared" si="154"/>
        <v>1685912.0556722935</v>
      </c>
      <c r="G506" s="15">
        <f t="shared" si="155"/>
        <v>0.21488963035336855</v>
      </c>
      <c r="H506" s="13">
        <f t="shared" si="156"/>
        <v>280190.62140525639</v>
      </c>
      <c r="I506" s="13">
        <f t="shared" si="157"/>
        <v>26740121.801722925</v>
      </c>
      <c r="J506" s="15">
        <f t="shared" si="158"/>
        <v>0.7851103696466315</v>
      </c>
      <c r="K506" s="13">
        <f t="shared" si="159"/>
        <v>6159566.8206231706</v>
      </c>
      <c r="L506" s="13">
        <f t="shared" si="160"/>
        <v>689416811.02108836</v>
      </c>
      <c r="M506" s="15">
        <f t="shared" si="161"/>
        <v>0.7851103696466315</v>
      </c>
      <c r="N506" s="13">
        <f t="shared" si="162"/>
        <v>104460.25643629217</v>
      </c>
      <c r="O506" s="13">
        <f t="shared" si="163"/>
        <v>20580554.981099755</v>
      </c>
      <c r="P506" s="15">
        <f t="shared" si="164"/>
        <v>0.72400374545200885</v>
      </c>
      <c r="Q506" s="7">
        <f t="shared" si="165"/>
        <v>28426033.857395221</v>
      </c>
      <c r="R506" s="7">
        <f t="shared" si="166"/>
        <v>7845478.8762954641</v>
      </c>
      <c r="S506" s="13">
        <f>IF(Calc!$AD$32="Sim",R506,Q506)</f>
        <v>7845478.8762954641</v>
      </c>
      <c r="T506" s="9">
        <f t="shared" si="167"/>
        <v>502</v>
      </c>
      <c r="U506" s="17">
        <f t="shared" ca="1" si="152"/>
        <v>60784</v>
      </c>
    </row>
    <row r="507" spans="2:21" x14ac:dyDescent="0.2">
      <c r="B507" s="17">
        <f t="shared" ca="1" si="150"/>
        <v>60784</v>
      </c>
      <c r="C507" s="9">
        <f t="shared" si="153"/>
        <v>503</v>
      </c>
      <c r="D507" s="9"/>
      <c r="E507" s="13">
        <f t="shared" si="151"/>
        <v>7730.0941945099357</v>
      </c>
      <c r="F507" s="14">
        <f t="shared" si="154"/>
        <v>1693642.1498668035</v>
      </c>
      <c r="G507" s="15">
        <f t="shared" si="155"/>
        <v>0.21432081294017521</v>
      </c>
      <c r="H507" s="13">
        <f t="shared" si="156"/>
        <v>283057.33125027566</v>
      </c>
      <c r="I507" s="13">
        <f t="shared" si="157"/>
        <v>27023179.132973202</v>
      </c>
      <c r="J507" s="15">
        <f t="shared" si="158"/>
        <v>0.78567918705982476</v>
      </c>
      <c r="K507" s="13">
        <f t="shared" si="159"/>
        <v>6208726.8577552475</v>
      </c>
      <c r="L507" s="13">
        <f t="shared" si="160"/>
        <v>695625537.87884367</v>
      </c>
      <c r="M507" s="15">
        <f t="shared" si="161"/>
        <v>0.78567918705982476</v>
      </c>
      <c r="N507" s="13">
        <f t="shared" si="162"/>
        <v>105528.8448008455</v>
      </c>
      <c r="O507" s="13">
        <f t="shared" si="163"/>
        <v>20814452.275217954</v>
      </c>
      <c r="P507" s="15">
        <f t="shared" si="164"/>
        <v>0.72481741869027183</v>
      </c>
      <c r="Q507" s="7">
        <f t="shared" si="165"/>
        <v>28716821.282840006</v>
      </c>
      <c r="R507" s="7">
        <f t="shared" si="166"/>
        <v>7902369.0076220511</v>
      </c>
      <c r="S507" s="13">
        <f>IF(Calc!$AD$32="Sim",R507,Q507)</f>
        <v>7902369.0076220511</v>
      </c>
      <c r="T507" s="9">
        <f t="shared" si="167"/>
        <v>503</v>
      </c>
      <c r="U507" s="17">
        <f t="shared" ca="1" si="152"/>
        <v>60814</v>
      </c>
    </row>
    <row r="508" spans="2:21" x14ac:dyDescent="0.2">
      <c r="B508" s="17">
        <f t="shared" ca="1" si="150"/>
        <v>60814</v>
      </c>
      <c r="C508" s="9">
        <f t="shared" si="153"/>
        <v>504</v>
      </c>
      <c r="D508" s="9">
        <v>42</v>
      </c>
      <c r="E508" s="13">
        <f t="shared" si="151"/>
        <v>7761.5875551176305</v>
      </c>
      <c r="F508" s="14">
        <f t="shared" si="154"/>
        <v>1701403.7374219212</v>
      </c>
      <c r="G508" s="15">
        <f t="shared" si="155"/>
        <v>0.21375366862894649</v>
      </c>
      <c r="H508" s="13">
        <f t="shared" si="156"/>
        <v>285952.89920113579</v>
      </c>
      <c r="I508" s="13">
        <f t="shared" si="157"/>
        <v>27309132.032174338</v>
      </c>
      <c r="J508" s="15">
        <f t="shared" si="158"/>
        <v>0.78624633137105349</v>
      </c>
      <c r="K508" s="13">
        <f t="shared" si="159"/>
        <v>6258243.216639841</v>
      </c>
      <c r="L508" s="13">
        <f t="shared" si="160"/>
        <v>701883781.09548354</v>
      </c>
      <c r="M508" s="15">
        <f t="shared" si="161"/>
        <v>0.78624633137105349</v>
      </c>
      <c r="N508" s="13">
        <f t="shared" si="162"/>
        <v>106608.18955782187</v>
      </c>
      <c r="O508" s="13">
        <f t="shared" si="163"/>
        <v>21050888.815534499</v>
      </c>
      <c r="P508" s="15">
        <f t="shared" si="164"/>
        <v>0.72562909498542727</v>
      </c>
      <c r="Q508" s="7">
        <f t="shared" si="165"/>
        <v>29010535.76959626</v>
      </c>
      <c r="R508" s="7">
        <f t="shared" si="166"/>
        <v>7959646.9540617624</v>
      </c>
      <c r="S508" s="13">
        <f>IF(Calc!$AD$32="Sim",R508,Q508)</f>
        <v>7959646.9540617624</v>
      </c>
      <c r="T508" s="9">
        <f t="shared" si="167"/>
        <v>504</v>
      </c>
      <c r="U508" s="17">
        <f t="shared" ca="1" si="152"/>
        <v>60845</v>
      </c>
    </row>
    <row r="509" spans="2:21" x14ac:dyDescent="0.2">
      <c r="B509" s="17">
        <f t="shared" ca="1" si="150"/>
        <v>60845</v>
      </c>
      <c r="C509" s="9">
        <f t="shared" si="153"/>
        <v>505</v>
      </c>
      <c r="D509" s="9"/>
      <c r="E509" s="13">
        <f t="shared" si="151"/>
        <v>7793.2092235748041</v>
      </c>
      <c r="F509" s="14">
        <f t="shared" si="154"/>
        <v>1709196.9466454959</v>
      </c>
      <c r="G509" s="15">
        <f t="shared" si="155"/>
        <v>0.2131881918789286</v>
      </c>
      <c r="H509" s="13">
        <f t="shared" si="156"/>
        <v>288877.61389006668</v>
      </c>
      <c r="I509" s="13">
        <f t="shared" si="157"/>
        <v>27598009.646064404</v>
      </c>
      <c r="J509" s="15">
        <f t="shared" si="158"/>
        <v>0.78681180812107143</v>
      </c>
      <c r="K509" s="13">
        <f t="shared" si="159"/>
        <v>6308118.3257508464</v>
      </c>
      <c r="L509" s="13">
        <f t="shared" si="160"/>
        <v>708191899.42123437</v>
      </c>
      <c r="M509" s="15">
        <f t="shared" si="161"/>
        <v>0.78681180812107143</v>
      </c>
      <c r="N509" s="13">
        <f t="shared" si="162"/>
        <v>107698.39828743522</v>
      </c>
      <c r="O509" s="13">
        <f t="shared" si="163"/>
        <v>21289891.320313562</v>
      </c>
      <c r="P509" s="15">
        <f t="shared" si="164"/>
        <v>0.72643877719855332</v>
      </c>
      <c r="Q509" s="7">
        <f t="shared" si="165"/>
        <v>29307206.592709903</v>
      </c>
      <c r="R509" s="7">
        <f t="shared" si="166"/>
        <v>8017315.2723963419</v>
      </c>
      <c r="S509" s="13">
        <f>IF(Calc!$AD$32="Sim",R509,Q509)</f>
        <v>8017315.2723963419</v>
      </c>
      <c r="T509" s="9">
        <f t="shared" si="167"/>
        <v>505</v>
      </c>
      <c r="U509" s="17">
        <f t="shared" ca="1" si="152"/>
        <v>60876</v>
      </c>
    </row>
    <row r="510" spans="2:21" x14ac:dyDescent="0.2">
      <c r="B510" s="17">
        <f t="shared" ca="1" si="150"/>
        <v>60876</v>
      </c>
      <c r="C510" s="9">
        <f t="shared" si="153"/>
        <v>506</v>
      </c>
      <c r="D510" s="9"/>
      <c r="E510" s="13">
        <f t="shared" si="151"/>
        <v>7824.9597226235182</v>
      </c>
      <c r="F510" s="14">
        <f t="shared" si="154"/>
        <v>1717021.9063681194</v>
      </c>
      <c r="G510" s="15">
        <f t="shared" si="155"/>
        <v>0.21262437717011512</v>
      </c>
      <c r="H510" s="13">
        <f t="shared" si="156"/>
        <v>291831.76682858937</v>
      </c>
      <c r="I510" s="13">
        <f t="shared" si="157"/>
        <v>27889841.412892994</v>
      </c>
      <c r="J510" s="15">
        <f t="shared" si="158"/>
        <v>0.78737562282988494</v>
      </c>
      <c r="K510" s="13">
        <f t="shared" si="159"/>
        <v>6358354.629570541</v>
      </c>
      <c r="L510" s="13">
        <f t="shared" si="160"/>
        <v>714550254.05080485</v>
      </c>
      <c r="M510" s="15">
        <f t="shared" si="161"/>
        <v>0.78737562282988482</v>
      </c>
      <c r="N510" s="13">
        <f t="shared" si="162"/>
        <v>108799.57964306975</v>
      </c>
      <c r="O510" s="13">
        <f t="shared" si="163"/>
        <v>21531486.783322453</v>
      </c>
      <c r="P510" s="15">
        <f t="shared" si="164"/>
        <v>0.72724646819694927</v>
      </c>
      <c r="Q510" s="7">
        <f t="shared" si="165"/>
        <v>29606863.319261115</v>
      </c>
      <c r="R510" s="7">
        <f t="shared" si="166"/>
        <v>8075376.5359386606</v>
      </c>
      <c r="S510" s="13">
        <f>IF(Calc!$AD$32="Sim",R510,Q510)</f>
        <v>8075376.5359386606</v>
      </c>
      <c r="T510" s="9">
        <f t="shared" si="167"/>
        <v>506</v>
      </c>
      <c r="U510" s="17">
        <f t="shared" ca="1" si="152"/>
        <v>60906</v>
      </c>
    </row>
    <row r="511" spans="2:21" x14ac:dyDescent="0.2">
      <c r="B511" s="17">
        <f t="shared" ca="1" si="150"/>
        <v>60906</v>
      </c>
      <c r="C511" s="9">
        <f t="shared" si="153"/>
        <v>507</v>
      </c>
      <c r="D511" s="9"/>
      <c r="E511" s="13">
        <f t="shared" si="151"/>
        <v>7856.839577135549</v>
      </c>
      <c r="F511" s="14">
        <f t="shared" si="154"/>
        <v>1724878.745945255</v>
      </c>
      <c r="G511" s="15">
        <f t="shared" si="155"/>
        <v>0.21206221900315703</v>
      </c>
      <c r="H511" s="13">
        <f t="shared" si="156"/>
        <v>294815.65243620862</v>
      </c>
      <c r="I511" s="13">
        <f t="shared" si="157"/>
        <v>28184657.065329202</v>
      </c>
      <c r="J511" s="15">
        <f t="shared" si="158"/>
        <v>0.78793778099684297</v>
      </c>
      <c r="K511" s="13">
        <f t="shared" si="159"/>
        <v>6408954.588693087</v>
      </c>
      <c r="L511" s="13">
        <f t="shared" si="160"/>
        <v>720959208.639498</v>
      </c>
      <c r="M511" s="15">
        <f t="shared" si="161"/>
        <v>0.78793778099684297</v>
      </c>
      <c r="N511" s="13">
        <f t="shared" si="162"/>
        <v>109911.84336197402</v>
      </c>
      <c r="O511" s="13">
        <f t="shared" si="163"/>
        <v>21775702.476636115</v>
      </c>
      <c r="P511" s="15">
        <f t="shared" si="164"/>
        <v>0.7280521708540767</v>
      </c>
      <c r="Q511" s="7">
        <f t="shared" si="165"/>
        <v>29909535.811274458</v>
      </c>
      <c r="R511" s="7">
        <f t="shared" si="166"/>
        <v>8133833.3346383423</v>
      </c>
      <c r="S511" s="13">
        <f>IF(Calc!$AD$32="Sim",R511,Q511)</f>
        <v>8133833.3346383423</v>
      </c>
      <c r="T511" s="9">
        <f t="shared" si="167"/>
        <v>507</v>
      </c>
      <c r="U511" s="17">
        <f t="shared" ca="1" si="152"/>
        <v>60937</v>
      </c>
    </row>
    <row r="512" spans="2:21" x14ac:dyDescent="0.2">
      <c r="B512" s="17">
        <f t="shared" ca="1" si="150"/>
        <v>60937</v>
      </c>
      <c r="C512" s="9">
        <f t="shared" si="153"/>
        <v>508</v>
      </c>
      <c r="D512" s="9"/>
      <c r="E512" s="13">
        <f t="shared" si="151"/>
        <v>7888.8493141210665</v>
      </c>
      <c r="F512" s="14">
        <f t="shared" si="154"/>
        <v>1732767.5952593761</v>
      </c>
      <c r="G512" s="15">
        <f t="shared" si="155"/>
        <v>0.211501711899273</v>
      </c>
      <c r="H512" s="13">
        <f t="shared" si="156"/>
        <v>297829.56806939078</v>
      </c>
      <c r="I512" s="13">
        <f t="shared" si="157"/>
        <v>28482486.633398592</v>
      </c>
      <c r="J512" s="15">
        <f t="shared" si="158"/>
        <v>0.78849828810072697</v>
      </c>
      <c r="K512" s="13">
        <f t="shared" si="159"/>
        <v>6459920.67992868</v>
      </c>
      <c r="L512" s="13">
        <f t="shared" si="160"/>
        <v>727419129.31942666</v>
      </c>
      <c r="M512" s="15">
        <f t="shared" si="161"/>
        <v>0.78849828810072697</v>
      </c>
      <c r="N512" s="13">
        <f t="shared" si="162"/>
        <v>111035.30027606162</v>
      </c>
      <c r="O512" s="13">
        <f t="shared" si="163"/>
        <v>22022565.953469913</v>
      </c>
      <c r="P512" s="15">
        <f t="shared" si="164"/>
        <v>0.72885588804949997</v>
      </c>
      <c r="Q512" s="7">
        <f t="shared" si="165"/>
        <v>30215254.228657968</v>
      </c>
      <c r="R512" s="7">
        <f t="shared" si="166"/>
        <v>8192688.2751880558</v>
      </c>
      <c r="S512" s="13">
        <f>IF(Calc!$AD$32="Sim",R512,Q512)</f>
        <v>8192688.2751880558</v>
      </c>
      <c r="T512" s="9">
        <f t="shared" si="167"/>
        <v>508</v>
      </c>
      <c r="U512" s="17">
        <f t="shared" ca="1" si="152"/>
        <v>60967</v>
      </c>
    </row>
    <row r="513" spans="2:21" x14ac:dyDescent="0.2">
      <c r="B513" s="17">
        <f t="shared" ca="1" si="150"/>
        <v>60967</v>
      </c>
      <c r="C513" s="9">
        <f t="shared" si="153"/>
        <v>509</v>
      </c>
      <c r="D513" s="9"/>
      <c r="E513" s="13">
        <f t="shared" si="151"/>
        <v>7920.9894627373451</v>
      </c>
      <c r="F513" s="14">
        <f t="shared" si="154"/>
        <v>1740688.5847221136</v>
      </c>
      <c r="G513" s="15">
        <f t="shared" si="155"/>
        <v>0.21094285040016056</v>
      </c>
      <c r="H513" s="13">
        <f t="shared" si="156"/>
        <v>300873.81405083009</v>
      </c>
      <c r="I513" s="13">
        <f t="shared" si="157"/>
        <v>28783360.447449423</v>
      </c>
      <c r="J513" s="15">
        <f t="shared" si="158"/>
        <v>0.78905714959983941</v>
      </c>
      <c r="K513" s="13">
        <f t="shared" si="159"/>
        <v>6511255.3964083726</v>
      </c>
      <c r="L513" s="13">
        <f t="shared" si="160"/>
        <v>733930384.71583498</v>
      </c>
      <c r="M513" s="15">
        <f t="shared" si="161"/>
        <v>0.78905714959983941</v>
      </c>
      <c r="N513" s="13">
        <f t="shared" si="162"/>
        <v>112170.06232281934</v>
      </c>
      <c r="O513" s="13">
        <f t="shared" si="163"/>
        <v>22272105.051041052</v>
      </c>
      <c r="P513" s="15">
        <f t="shared" si="164"/>
        <v>0.72965762266882894</v>
      </c>
      <c r="Q513" s="7">
        <f t="shared" si="165"/>
        <v>30524049.032171536</v>
      </c>
      <c r="R513" s="7">
        <f t="shared" si="166"/>
        <v>8251943.9811304864</v>
      </c>
      <c r="S513" s="13">
        <f>IF(Calc!$AD$32="Sim",R513,Q513)</f>
        <v>8251943.9811304864</v>
      </c>
      <c r="T513" s="9">
        <f t="shared" si="167"/>
        <v>509</v>
      </c>
      <c r="U513" s="17">
        <f t="shared" ca="1" si="152"/>
        <v>60998</v>
      </c>
    </row>
    <row r="514" spans="2:21" x14ac:dyDescent="0.2">
      <c r="B514" s="17">
        <f t="shared" ca="1" si="150"/>
        <v>60998</v>
      </c>
      <c r="C514" s="9">
        <f t="shared" si="153"/>
        <v>510</v>
      </c>
      <c r="D514" s="9"/>
      <c r="E514" s="13">
        <f t="shared" si="151"/>
        <v>7953.2605542975116</v>
      </c>
      <c r="F514" s="14">
        <f t="shared" si="154"/>
        <v>1748641.8452764112</v>
      </c>
      <c r="G514" s="15">
        <f t="shared" si="155"/>
        <v>0.21038562906790703</v>
      </c>
      <c r="H514" s="13">
        <f t="shared" si="156"/>
        <v>303948.69369900739</v>
      </c>
      <c r="I514" s="13">
        <f t="shared" si="157"/>
        <v>29087309.141148429</v>
      </c>
      <c r="J514" s="15">
        <f t="shared" si="158"/>
        <v>0.78961437093209297</v>
      </c>
      <c r="K514" s="13">
        <f t="shared" si="159"/>
        <v>6562961.2476895768</v>
      </c>
      <c r="L514" s="13">
        <f t="shared" si="160"/>
        <v>740493345.96352458</v>
      </c>
      <c r="M514" s="15">
        <f t="shared" si="161"/>
        <v>0.78961437093209297</v>
      </c>
      <c r="N514" s="13">
        <f t="shared" si="162"/>
        <v>113316.24255632401</v>
      </c>
      <c r="O514" s="13">
        <f t="shared" si="163"/>
        <v>22524347.893458854</v>
      </c>
      <c r="P514" s="15">
        <f t="shared" si="164"/>
        <v>0.73045737760365914</v>
      </c>
      <c r="Q514" s="7">
        <f t="shared" si="165"/>
        <v>30835950.986424841</v>
      </c>
      <c r="R514" s="7">
        <f t="shared" si="166"/>
        <v>8311603.0929659875</v>
      </c>
      <c r="S514" s="13">
        <f>IF(Calc!$AD$32="Sim",R514,Q514)</f>
        <v>8311603.0929659875</v>
      </c>
      <c r="T514" s="9">
        <f t="shared" si="167"/>
        <v>510</v>
      </c>
      <c r="U514" s="17">
        <f t="shared" ca="1" si="152"/>
        <v>61029</v>
      </c>
    </row>
    <row r="515" spans="2:21" x14ac:dyDescent="0.2">
      <c r="B515" s="17">
        <f t="shared" ca="1" si="150"/>
        <v>61029</v>
      </c>
      <c r="C515" s="9">
        <f t="shared" si="153"/>
        <v>511</v>
      </c>
      <c r="D515" s="9"/>
      <c r="E515" s="13">
        <f t="shared" si="151"/>
        <v>7985.6631222793276</v>
      </c>
      <c r="F515" s="14">
        <f t="shared" si="154"/>
        <v>1756627.5083986905</v>
      </c>
      <c r="G515" s="15">
        <f t="shared" si="155"/>
        <v>0.20983004248490184</v>
      </c>
      <c r="H515" s="13">
        <f t="shared" si="156"/>
        <v>307054.51335804217</v>
      </c>
      <c r="I515" s="13">
        <f t="shared" si="157"/>
        <v>29394363.654506471</v>
      </c>
      <c r="J515" s="15">
        <f t="shared" si="158"/>
        <v>0.79016995751509822</v>
      </c>
      <c r="K515" s="13">
        <f t="shared" si="159"/>
        <v>6615040.7598622162</v>
      </c>
      <c r="L515" s="13">
        <f t="shared" si="160"/>
        <v>747108386.72338676</v>
      </c>
      <c r="M515" s="15">
        <f t="shared" si="161"/>
        <v>0.79016995751509822</v>
      </c>
      <c r="N515" s="13">
        <f t="shared" si="162"/>
        <v>114473.95515836916</v>
      </c>
      <c r="O515" s="13">
        <f t="shared" si="163"/>
        <v>22779322.894644253</v>
      </c>
      <c r="P515" s="15">
        <f t="shared" si="164"/>
        <v>0.73125515575151412</v>
      </c>
      <c r="Q515" s="7">
        <f t="shared" si="165"/>
        <v>31150991.16290516</v>
      </c>
      <c r="R515" s="7">
        <f t="shared" si="166"/>
        <v>8371668.2682609065</v>
      </c>
      <c r="S515" s="13">
        <f>IF(Calc!$AD$32="Sim",R515,Q515)</f>
        <v>8371668.2682609065</v>
      </c>
      <c r="T515" s="9">
        <f t="shared" si="167"/>
        <v>511</v>
      </c>
      <c r="U515" s="17">
        <f t="shared" ca="1" si="152"/>
        <v>61057</v>
      </c>
    </row>
    <row r="516" spans="2:21" x14ac:dyDescent="0.2">
      <c r="B516" s="17">
        <f t="shared" ca="1" si="150"/>
        <v>61057</v>
      </c>
      <c r="C516" s="9">
        <f t="shared" si="153"/>
        <v>512</v>
      </c>
      <c r="D516" s="9"/>
      <c r="E516" s="13">
        <f t="shared" si="151"/>
        <v>8018.1977023340096</v>
      </c>
      <c r="F516" s="14">
        <f t="shared" si="154"/>
        <v>1764645.7061010245</v>
      </c>
      <c r="G516" s="15">
        <f t="shared" si="155"/>
        <v>0.20927608525374855</v>
      </c>
      <c r="H516" s="13">
        <f t="shared" si="156"/>
        <v>310191.58242784266</v>
      </c>
      <c r="I516" s="13">
        <f t="shared" si="157"/>
        <v>29704555.236934315</v>
      </c>
      <c r="J516" s="15">
        <f t="shared" si="158"/>
        <v>0.79072391474625148</v>
      </c>
      <c r="K516" s="13">
        <f t="shared" si="159"/>
        <v>6667496.4756555799</v>
      </c>
      <c r="L516" s="13">
        <f t="shared" si="160"/>
        <v>753775883.19904232</v>
      </c>
      <c r="M516" s="15">
        <f t="shared" si="161"/>
        <v>0.79072391474625148</v>
      </c>
      <c r="N516" s="13">
        <f t="shared" si="162"/>
        <v>115643.3154497025</v>
      </c>
      <c r="O516" s="13">
        <f t="shared" si="163"/>
        <v>23037058.761278734</v>
      </c>
      <c r="P516" s="15">
        <f t="shared" si="164"/>
        <v>0.73205096001578718</v>
      </c>
      <c r="Q516" s="7">
        <f t="shared" si="165"/>
        <v>31469200.943035338</v>
      </c>
      <c r="R516" s="7">
        <f t="shared" si="166"/>
        <v>8432142.1817566045</v>
      </c>
      <c r="S516" s="13">
        <f>IF(Calc!$AD$32="Sim",R516,Q516)</f>
        <v>8432142.1817566045</v>
      </c>
      <c r="T516" s="9">
        <f t="shared" si="167"/>
        <v>512</v>
      </c>
      <c r="U516" s="17">
        <f t="shared" ca="1" si="152"/>
        <v>61088</v>
      </c>
    </row>
    <row r="517" spans="2:21" x14ac:dyDescent="0.2">
      <c r="B517" s="17">
        <f t="shared" ca="1" si="150"/>
        <v>61088</v>
      </c>
      <c r="C517" s="9">
        <f t="shared" si="153"/>
        <v>513</v>
      </c>
      <c r="D517" s="9"/>
      <c r="E517" s="13">
        <f t="shared" si="151"/>
        <v>8050.864832295083</v>
      </c>
      <c r="F517" s="14">
        <f t="shared" si="154"/>
        <v>1772696.5709333196</v>
      </c>
      <c r="G517" s="15">
        <f t="shared" si="155"/>
        <v>0.20872375199717794</v>
      </c>
      <c r="H517" s="13">
        <f t="shared" si="156"/>
        <v>313360.21339455602</v>
      </c>
      <c r="I517" s="13">
        <f t="shared" si="157"/>
        <v>30017915.450328872</v>
      </c>
      <c r="J517" s="15">
        <f t="shared" si="158"/>
        <v>0.79127624800282204</v>
      </c>
      <c r="K517" s="13">
        <f t="shared" si="159"/>
        <v>6720330.9545458481</v>
      </c>
      <c r="L517" s="13">
        <f t="shared" si="160"/>
        <v>760496214.15358818</v>
      </c>
      <c r="M517" s="15">
        <f t="shared" si="161"/>
        <v>0.79127624800282204</v>
      </c>
      <c r="N517" s="13">
        <f t="shared" si="162"/>
        <v>116824.43990137507</v>
      </c>
      <c r="O517" s="13">
        <f t="shared" si="163"/>
        <v>23297584.49578302</v>
      </c>
      <c r="P517" s="15">
        <f t="shared" si="164"/>
        <v>0.73284479330568209</v>
      </c>
      <c r="Q517" s="7">
        <f t="shared" si="165"/>
        <v>31790612.021262188</v>
      </c>
      <c r="R517" s="7">
        <f t="shared" si="166"/>
        <v>8493027.5254791677</v>
      </c>
      <c r="S517" s="13">
        <f>IF(Calc!$AD$32="Sim",R517,Q517)</f>
        <v>8493027.5254791677</v>
      </c>
      <c r="T517" s="9">
        <f t="shared" si="167"/>
        <v>513</v>
      </c>
      <c r="U517" s="17">
        <f t="shared" ca="1" si="152"/>
        <v>61118</v>
      </c>
    </row>
    <row r="518" spans="2:21" x14ac:dyDescent="0.2">
      <c r="B518" s="17">
        <f t="shared" ref="B518:B581" ca="1" si="168">DATE(YEAR(B517),MONTH(B517)+1,1)</f>
        <v>61118</v>
      </c>
      <c r="C518" s="9">
        <f t="shared" si="153"/>
        <v>514</v>
      </c>
      <c r="D518" s="9"/>
      <c r="E518" s="13">
        <f t="shared" ref="E518:E581" si="169">IF($AE$33,IF($AE$34,$E517*(1+Inflação)*(1+Crescimento_Salário),$E517*(1+Inflação)),IF($AE$34,$E517*(1+Crescimento_Salário),$E517))</f>
        <v>8083.6650521872743</v>
      </c>
      <c r="F518" s="14">
        <f t="shared" si="154"/>
        <v>1780780.2359855068</v>
      </c>
      <c r="G518" s="15">
        <f t="shared" si="155"/>
        <v>0.20817303735796114</v>
      </c>
      <c r="H518" s="13">
        <f t="shared" si="156"/>
        <v>316560.72186132183</v>
      </c>
      <c r="I518" s="13">
        <f t="shared" si="157"/>
        <v>30334476.172190193</v>
      </c>
      <c r="J518" s="15">
        <f t="shared" si="158"/>
        <v>0.79182696264203889</v>
      </c>
      <c r="K518" s="13">
        <f t="shared" si="159"/>
        <v>6773546.7728643008</v>
      </c>
      <c r="L518" s="13">
        <f t="shared" si="160"/>
        <v>767269760.92645252</v>
      </c>
      <c r="M518" s="15">
        <f t="shared" si="161"/>
        <v>0.79182696264203889</v>
      </c>
      <c r="N518" s="13">
        <f t="shared" si="162"/>
        <v>118017.44614620387</v>
      </c>
      <c r="O518" s="13">
        <f t="shared" si="163"/>
        <v>23560929.399325889</v>
      </c>
      <c r="P518" s="15">
        <f t="shared" si="164"/>
        <v>0.73363665853615601</v>
      </c>
      <c r="Q518" s="7">
        <f t="shared" si="165"/>
        <v>32115256.408175696</v>
      </c>
      <c r="R518" s="7">
        <f t="shared" si="166"/>
        <v>8554327.0088498071</v>
      </c>
      <c r="S518" s="13">
        <f>IF(Calc!$AD$32="Sim",R518,Q518)</f>
        <v>8554327.0088498071</v>
      </c>
      <c r="T518" s="9">
        <f t="shared" si="167"/>
        <v>514</v>
      </c>
      <c r="U518" s="17">
        <f t="shared" ref="U518:U581" ca="1" si="170">DATE(YEAR(U517),MONTH(U517)+1,1)</f>
        <v>61149</v>
      </c>
    </row>
    <row r="519" spans="2:21" x14ac:dyDescent="0.2">
      <c r="B519" s="17">
        <f t="shared" ca="1" si="168"/>
        <v>61149</v>
      </c>
      <c r="C519" s="9">
        <f t="shared" ref="C519:C582" si="171">C518+1</f>
        <v>515</v>
      </c>
      <c r="D519" s="9"/>
      <c r="E519" s="13">
        <f t="shared" si="169"/>
        <v>8116.5989042354377</v>
      </c>
      <c r="F519" s="14">
        <f t="shared" si="154"/>
        <v>1788896.8348897423</v>
      </c>
      <c r="G519" s="15">
        <f t="shared" si="155"/>
        <v>0.20762393599882342</v>
      </c>
      <c r="H519" s="13">
        <f t="shared" si="156"/>
        <v>319793.42657933204</v>
      </c>
      <c r="I519" s="13">
        <f t="shared" si="157"/>
        <v>30654269.598769527</v>
      </c>
      <c r="J519" s="15">
        <f t="shared" si="158"/>
        <v>0.79237606400117655</v>
      </c>
      <c r="K519" s="13">
        <f t="shared" si="159"/>
        <v>6827146.5239062281</v>
      </c>
      <c r="L519" s="13">
        <f t="shared" si="160"/>
        <v>774096907.45035875</v>
      </c>
      <c r="M519" s="15">
        <f t="shared" si="161"/>
        <v>0.79237606400117655</v>
      </c>
      <c r="N519" s="13">
        <f t="shared" si="162"/>
        <v>119222.45299034839</v>
      </c>
      <c r="O519" s="13">
        <f t="shared" si="163"/>
        <v>23827123.074863296</v>
      </c>
      <c r="P519" s="15">
        <f t="shared" si="164"/>
        <v>0.73442655862786055</v>
      </c>
      <c r="Q519" s="7">
        <f t="shared" si="165"/>
        <v>32443166.433659267</v>
      </c>
      <c r="R519" s="7">
        <f t="shared" si="166"/>
        <v>8616043.3587959707</v>
      </c>
      <c r="S519" s="13">
        <f>IF(Calc!$AD$32="Sim",R519,Q519)</f>
        <v>8616043.3587959707</v>
      </c>
      <c r="T519" s="9">
        <f t="shared" si="167"/>
        <v>515</v>
      </c>
      <c r="U519" s="17">
        <f t="shared" ca="1" si="170"/>
        <v>61179</v>
      </c>
    </row>
    <row r="520" spans="2:21" x14ac:dyDescent="0.2">
      <c r="B520" s="17">
        <f t="shared" ca="1" si="168"/>
        <v>61179</v>
      </c>
      <c r="C520" s="9">
        <f t="shared" si="171"/>
        <v>516</v>
      </c>
      <c r="D520" s="9">
        <v>43</v>
      </c>
      <c r="E520" s="13">
        <f t="shared" si="169"/>
        <v>8149.666932873517</v>
      </c>
      <c r="F520" s="14">
        <f t="shared" si="154"/>
        <v>1797046.5018226157</v>
      </c>
      <c r="G520" s="15">
        <f t="shared" si="155"/>
        <v>0.2070764426023585</v>
      </c>
      <c r="H520" s="13">
        <f t="shared" si="156"/>
        <v>323058.64947920002</v>
      </c>
      <c r="I520" s="13">
        <f t="shared" si="157"/>
        <v>30977328.248248726</v>
      </c>
      <c r="J520" s="15">
        <f t="shared" si="158"/>
        <v>0.79292355739764153</v>
      </c>
      <c r="K520" s="13">
        <f t="shared" si="159"/>
        <v>6881132.8180405321</v>
      </c>
      <c r="L520" s="13">
        <f t="shared" si="160"/>
        <v>780978040.26839924</v>
      </c>
      <c r="M520" s="15">
        <f t="shared" si="161"/>
        <v>0.79292355739764142</v>
      </c>
      <c r="N520" s="13">
        <f t="shared" si="162"/>
        <v>120439.58042500234</v>
      </c>
      <c r="O520" s="13">
        <f t="shared" si="163"/>
        <v>24096195.430208191</v>
      </c>
      <c r="P520" s="15">
        <f t="shared" si="164"/>
        <v>0.73521449650708415</v>
      </c>
      <c r="Q520" s="7">
        <f t="shared" si="165"/>
        <v>32774374.750071339</v>
      </c>
      <c r="R520" s="7">
        <f t="shared" si="166"/>
        <v>8678179.319863148</v>
      </c>
      <c r="S520" s="13">
        <f>IF(Calc!$AD$32="Sim",R520,Q520)</f>
        <v>8678179.319863148</v>
      </c>
      <c r="T520" s="9">
        <f t="shared" si="167"/>
        <v>516</v>
      </c>
      <c r="U520" s="17">
        <f t="shared" ca="1" si="170"/>
        <v>61210</v>
      </c>
    </row>
    <row r="521" spans="2:21" x14ac:dyDescent="0.2">
      <c r="B521" s="17">
        <f t="shared" ca="1" si="168"/>
        <v>61210</v>
      </c>
      <c r="C521" s="9">
        <f t="shared" si="171"/>
        <v>517</v>
      </c>
      <c r="D521" s="9"/>
      <c r="E521" s="13">
        <f t="shared" si="169"/>
        <v>8182.8696847535493</v>
      </c>
      <c r="F521" s="14">
        <f t="shared" si="154"/>
        <v>1805229.3715073692</v>
      </c>
      <c r="G521" s="15">
        <f t="shared" si="155"/>
        <v>0.20653055187094316</v>
      </c>
      <c r="H521" s="13">
        <f t="shared" si="156"/>
        <v>326356.71570264216</v>
      </c>
      <c r="I521" s="13">
        <f t="shared" si="157"/>
        <v>31303684.963951368</v>
      </c>
      <c r="J521" s="15">
        <f t="shared" si="158"/>
        <v>0.79346944812905684</v>
      </c>
      <c r="K521" s="13">
        <f t="shared" si="159"/>
        <v>6935508.2828200217</v>
      </c>
      <c r="L521" s="13">
        <f t="shared" si="160"/>
        <v>787913548.55121922</v>
      </c>
      <c r="M521" s="15">
        <f t="shared" si="161"/>
        <v>0.79346944812905684</v>
      </c>
      <c r="N521" s="13">
        <f t="shared" si="162"/>
        <v>121668.94963820219</v>
      </c>
      <c r="O521" s="13">
        <f t="shared" si="163"/>
        <v>24368176.681131341</v>
      </c>
      <c r="P521" s="15">
        <f t="shared" si="164"/>
        <v>0.73600047510569366</v>
      </c>
      <c r="Q521" s="7">
        <f t="shared" si="165"/>
        <v>33108914.335458733</v>
      </c>
      <c r="R521" s="7">
        <f t="shared" si="166"/>
        <v>8740737.6543273907</v>
      </c>
      <c r="S521" s="13">
        <f>IF(Calc!$AD$32="Sim",R521,Q521)</f>
        <v>8740737.6543273907</v>
      </c>
      <c r="T521" s="9">
        <f t="shared" si="167"/>
        <v>517</v>
      </c>
      <c r="U521" s="17">
        <f t="shared" ca="1" si="170"/>
        <v>61241</v>
      </c>
    </row>
    <row r="522" spans="2:21" x14ac:dyDescent="0.2">
      <c r="B522" s="17">
        <f t="shared" ca="1" si="168"/>
        <v>61241</v>
      </c>
      <c r="C522" s="9">
        <f t="shared" si="171"/>
        <v>518</v>
      </c>
      <c r="D522" s="9"/>
      <c r="E522" s="13">
        <f t="shared" si="169"/>
        <v>8216.2077087546986</v>
      </c>
      <c r="F522" s="14">
        <f t="shared" si="154"/>
        <v>1813445.579216124</v>
      </c>
      <c r="G522" s="15">
        <f t="shared" si="155"/>
        <v>0.2059862585266525</v>
      </c>
      <c r="H522" s="13">
        <f t="shared" si="156"/>
        <v>329687.95363447536</v>
      </c>
      <c r="I522" s="13">
        <f t="shared" si="157"/>
        <v>31633372.917585842</v>
      </c>
      <c r="J522" s="15">
        <f t="shared" si="158"/>
        <v>0.79401374147334747</v>
      </c>
      <c r="K522" s="13">
        <f t="shared" si="159"/>
        <v>6990275.563092418</v>
      </c>
      <c r="L522" s="13">
        <f t="shared" si="160"/>
        <v>794903824.1143117</v>
      </c>
      <c r="M522" s="15">
        <f t="shared" si="161"/>
        <v>0.79401374147334747</v>
      </c>
      <c r="N522" s="13">
        <f t="shared" si="162"/>
        <v>122910.683026753</v>
      </c>
      <c r="O522" s="13">
        <f t="shared" si="163"/>
        <v>24643097.354493417</v>
      </c>
      <c r="P522" s="15">
        <f t="shared" si="164"/>
        <v>0.73678449736107732</v>
      </c>
      <c r="Q522" s="7">
        <f t="shared" si="165"/>
        <v>33446818.496801961</v>
      </c>
      <c r="R522" s="7">
        <f t="shared" si="166"/>
        <v>8803721.1423085425</v>
      </c>
      <c r="S522" s="13">
        <f>IF(Calc!$AD$32="Sim",R522,Q522)</f>
        <v>8803721.1423085425</v>
      </c>
      <c r="T522" s="9">
        <f t="shared" si="167"/>
        <v>518</v>
      </c>
      <c r="U522" s="17">
        <f t="shared" ca="1" si="170"/>
        <v>61271</v>
      </c>
    </row>
    <row r="523" spans="2:21" x14ac:dyDescent="0.2">
      <c r="B523" s="17">
        <f t="shared" ca="1" si="168"/>
        <v>61271</v>
      </c>
      <c r="C523" s="9">
        <f t="shared" si="171"/>
        <v>519</v>
      </c>
      <c r="D523" s="9"/>
      <c r="E523" s="13">
        <f t="shared" si="169"/>
        <v>8249.6815559923307</v>
      </c>
      <c r="F523" s="14">
        <f t="shared" si="154"/>
        <v>1821695.2607721162</v>
      </c>
      <c r="G523" s="15">
        <f t="shared" si="155"/>
        <v>0.2054435573111755</v>
      </c>
      <c r="H523" s="13">
        <f t="shared" si="156"/>
        <v>333052.69493493269</v>
      </c>
      <c r="I523" s="13">
        <f t="shared" si="157"/>
        <v>31966425.612520777</v>
      </c>
      <c r="J523" s="15">
        <f t="shared" si="158"/>
        <v>0.79455644268882453</v>
      </c>
      <c r="K523" s="13">
        <f t="shared" si="159"/>
        <v>7045437.321112074</v>
      </c>
      <c r="L523" s="13">
        <f t="shared" si="160"/>
        <v>801949261.43542373</v>
      </c>
      <c r="M523" s="15">
        <f t="shared" si="161"/>
        <v>0.79455644268882453</v>
      </c>
      <c r="N523" s="13">
        <f t="shared" si="162"/>
        <v>124164.90420827329</v>
      </c>
      <c r="O523" s="13">
        <f t="shared" si="163"/>
        <v>24920988.291408695</v>
      </c>
      <c r="P523" s="15">
        <f t="shared" si="164"/>
        <v>0.73756656621608596</v>
      </c>
      <c r="Q523" s="7">
        <f t="shared" si="165"/>
        <v>33788120.873292886</v>
      </c>
      <c r="R523" s="7">
        <f t="shared" si="166"/>
        <v>8867132.5818841904</v>
      </c>
      <c r="S523" s="13">
        <f>IF(Calc!$AD$32="Sim",R523,Q523)</f>
        <v>8867132.5818841904</v>
      </c>
      <c r="T523" s="9">
        <f t="shared" si="167"/>
        <v>519</v>
      </c>
      <c r="U523" s="17">
        <f t="shared" ca="1" si="170"/>
        <v>61302</v>
      </c>
    </row>
    <row r="524" spans="2:21" x14ac:dyDescent="0.2">
      <c r="B524" s="17">
        <f t="shared" ca="1" si="168"/>
        <v>61302</v>
      </c>
      <c r="C524" s="9">
        <f t="shared" si="171"/>
        <v>520</v>
      </c>
      <c r="D524" s="9"/>
      <c r="E524" s="13">
        <f t="shared" si="169"/>
        <v>8283.2917798271246</v>
      </c>
      <c r="F524" s="14">
        <f t="shared" si="154"/>
        <v>1829978.5525519433</v>
      </c>
      <c r="G524" s="15">
        <f t="shared" si="155"/>
        <v>0.20490244298573101</v>
      </c>
      <c r="H524" s="13">
        <f t="shared" si="156"/>
        <v>336451.27457230148</v>
      </c>
      <c r="I524" s="13">
        <f t="shared" si="157"/>
        <v>32302876.887093078</v>
      </c>
      <c r="J524" s="15">
        <f t="shared" si="158"/>
        <v>0.79509755701426899</v>
      </c>
      <c r="K524" s="13">
        <f t="shared" si="159"/>
        <v>7100996.2366523966</v>
      </c>
      <c r="L524" s="13">
        <f t="shared" si="160"/>
        <v>809050257.67207611</v>
      </c>
      <c r="M524" s="15">
        <f t="shared" si="161"/>
        <v>0.79509755701426899</v>
      </c>
      <c r="N524" s="13">
        <f t="shared" si="162"/>
        <v>125431.73803335959</v>
      </c>
      <c r="O524" s="13">
        <f t="shared" si="163"/>
        <v>25201880.650440667</v>
      </c>
      <c r="P524" s="15">
        <f t="shared" si="164"/>
        <v>0.7383466846189759</v>
      </c>
      <c r="Q524" s="7">
        <f t="shared" si="165"/>
        <v>34132855.439645007</v>
      </c>
      <c r="R524" s="7">
        <f t="shared" si="166"/>
        <v>8930974.7892043404</v>
      </c>
      <c r="S524" s="13">
        <f>IF(Calc!$AD$32="Sim",R524,Q524)</f>
        <v>8930974.7892043404</v>
      </c>
      <c r="T524" s="9">
        <f t="shared" si="167"/>
        <v>520</v>
      </c>
      <c r="U524" s="17">
        <f t="shared" ca="1" si="170"/>
        <v>61332</v>
      </c>
    </row>
    <row r="525" spans="2:21" x14ac:dyDescent="0.2">
      <c r="B525" s="17">
        <f t="shared" ca="1" si="168"/>
        <v>61332</v>
      </c>
      <c r="C525" s="9">
        <f t="shared" si="171"/>
        <v>521</v>
      </c>
      <c r="D525" s="9"/>
      <c r="E525" s="13">
        <f t="shared" si="169"/>
        <v>8317.0389358742177</v>
      </c>
      <c r="F525" s="14">
        <f t="shared" si="154"/>
        <v>1838295.5914878175</v>
      </c>
      <c r="G525" s="15">
        <f t="shared" si="155"/>
        <v>0.20436291033098447</v>
      </c>
      <c r="H525" s="13">
        <f t="shared" si="156"/>
        <v>339884.03085588571</v>
      </c>
      <c r="I525" s="13">
        <f t="shared" si="157"/>
        <v>32642760.917948965</v>
      </c>
      <c r="J525" s="15">
        <f t="shared" si="158"/>
        <v>0.79563708966901547</v>
      </c>
      <c r="K525" s="13">
        <f t="shared" si="159"/>
        <v>7156955.0071189906</v>
      </c>
      <c r="L525" s="13">
        <f t="shared" si="160"/>
        <v>816207212.67919505</v>
      </c>
      <c r="M525" s="15">
        <f t="shared" si="161"/>
        <v>0.79563708966901558</v>
      </c>
      <c r="N525" s="13">
        <f t="shared" si="162"/>
        <v>126711.31059787254</v>
      </c>
      <c r="O525" s="13">
        <f t="shared" si="163"/>
        <v>25485805.910829961</v>
      </c>
      <c r="P525" s="15">
        <f t="shared" si="164"/>
        <v>0.73912485552335117</v>
      </c>
      <c r="Q525" s="7">
        <f t="shared" si="165"/>
        <v>34481056.509436771</v>
      </c>
      <c r="R525" s="7">
        <f t="shared" si="166"/>
        <v>8995250.5986068081</v>
      </c>
      <c r="S525" s="13">
        <f>IF(Calc!$AD$32="Sim",R525,Q525)</f>
        <v>8995250.5986068081</v>
      </c>
      <c r="T525" s="9">
        <f t="shared" si="167"/>
        <v>521</v>
      </c>
      <c r="U525" s="17">
        <f t="shared" ca="1" si="170"/>
        <v>61363</v>
      </c>
    </row>
    <row r="526" spans="2:21" x14ac:dyDescent="0.2">
      <c r="B526" s="17">
        <f t="shared" ca="1" si="168"/>
        <v>61363</v>
      </c>
      <c r="C526" s="9">
        <f t="shared" si="171"/>
        <v>522</v>
      </c>
      <c r="D526" s="9"/>
      <c r="E526" s="13">
        <f t="shared" si="169"/>
        <v>8350.9235820123922</v>
      </c>
      <c r="F526" s="14">
        <f t="shared" si="154"/>
        <v>1846646.5150698298</v>
      </c>
      <c r="G526" s="15">
        <f t="shared" si="155"/>
        <v>0.20382495414696464</v>
      </c>
      <c r="H526" s="13">
        <f t="shared" si="156"/>
        <v>343351.30546929815</v>
      </c>
      <c r="I526" s="13">
        <f t="shared" si="157"/>
        <v>32986112.223418262</v>
      </c>
      <c r="J526" s="15">
        <f t="shared" si="158"/>
        <v>0.79617504585303533</v>
      </c>
      <c r="K526" s="13">
        <f t="shared" si="159"/>
        <v>7213316.3476635311</v>
      </c>
      <c r="L526" s="13">
        <f t="shared" si="160"/>
        <v>823420529.02685857</v>
      </c>
      <c r="M526" s="15">
        <f t="shared" si="161"/>
        <v>0.79617504585303545</v>
      </c>
      <c r="N526" s="13">
        <f t="shared" si="162"/>
        <v>128003.74925534487</v>
      </c>
      <c r="O526" s="13">
        <f t="shared" si="163"/>
        <v>25772795.875754718</v>
      </c>
      <c r="P526" s="15">
        <f t="shared" si="164"/>
        <v>0.73990108188810633</v>
      </c>
      <c r="Q526" s="7">
        <f t="shared" si="165"/>
        <v>34832758.738488078</v>
      </c>
      <c r="R526" s="7">
        <f t="shared" si="166"/>
        <v>9059962.8627333604</v>
      </c>
      <c r="S526" s="13">
        <f>IF(Calc!$AD$32="Sim",R526,Q526)</f>
        <v>9059962.8627333604</v>
      </c>
      <c r="T526" s="9">
        <f t="shared" si="167"/>
        <v>522</v>
      </c>
      <c r="U526" s="17">
        <f t="shared" ca="1" si="170"/>
        <v>61394</v>
      </c>
    </row>
    <row r="527" spans="2:21" x14ac:dyDescent="0.2">
      <c r="B527" s="17">
        <f t="shared" ca="1" si="168"/>
        <v>61394</v>
      </c>
      <c r="C527" s="9">
        <f t="shared" si="171"/>
        <v>523</v>
      </c>
      <c r="D527" s="9"/>
      <c r="E527" s="13">
        <f t="shared" si="169"/>
        <v>8384.9462783932995</v>
      </c>
      <c r="F527" s="14">
        <f t="shared" si="154"/>
        <v>1855031.461348223</v>
      </c>
      <c r="G527" s="15">
        <f t="shared" si="155"/>
        <v>0.20328856925298117</v>
      </c>
      <c r="H527" s="13">
        <f t="shared" si="156"/>
        <v>346853.44350408192</v>
      </c>
      <c r="I527" s="13">
        <f t="shared" si="157"/>
        <v>33332965.666922342</v>
      </c>
      <c r="J527" s="15">
        <f t="shared" si="158"/>
        <v>0.79671143074701889</v>
      </c>
      <c r="K527" s="13">
        <f t="shared" si="159"/>
        <v>7270082.9912983552</v>
      </c>
      <c r="L527" s="13">
        <f t="shared" si="160"/>
        <v>830690612.01815689</v>
      </c>
      <c r="M527" s="15">
        <f t="shared" si="161"/>
        <v>0.79671143074701889</v>
      </c>
      <c r="N527" s="13">
        <f t="shared" si="162"/>
        <v>129309.18262951355</v>
      </c>
      <c r="O527" s="13">
        <f t="shared" si="163"/>
        <v>26062882.675623976</v>
      </c>
      <c r="P527" s="15">
        <f t="shared" si="164"/>
        <v>0.74067536667736833</v>
      </c>
      <c r="Q527" s="7">
        <f t="shared" si="165"/>
        <v>35187997.128270552</v>
      </c>
      <c r="R527" s="7">
        <f t="shared" si="166"/>
        <v>9125114.4526465777</v>
      </c>
      <c r="S527" s="13">
        <f>IF(Calc!$AD$32="Sim",R527,Q527)</f>
        <v>9125114.4526465777</v>
      </c>
      <c r="T527" s="9">
        <f t="shared" si="167"/>
        <v>523</v>
      </c>
      <c r="U527" s="17">
        <f t="shared" ca="1" si="170"/>
        <v>61423</v>
      </c>
    </row>
    <row r="528" spans="2:21" x14ac:dyDescent="0.2">
      <c r="B528" s="17">
        <f t="shared" ca="1" si="168"/>
        <v>61423</v>
      </c>
      <c r="C528" s="9">
        <f t="shared" si="171"/>
        <v>524</v>
      </c>
      <c r="D528" s="9"/>
      <c r="E528" s="13">
        <f t="shared" si="169"/>
        <v>8419.1075874507151</v>
      </c>
      <c r="F528" s="14">
        <f t="shared" si="154"/>
        <v>1863450.5689356737</v>
      </c>
      <c r="G528" s="15">
        <f t="shared" si="155"/>
        <v>0.20275375048754224</v>
      </c>
      <c r="H528" s="13">
        <f t="shared" si="156"/>
        <v>350390.79349366948</v>
      </c>
      <c r="I528" s="13">
        <f t="shared" si="157"/>
        <v>33683356.460416012</v>
      </c>
      <c r="J528" s="15">
        <f t="shared" si="158"/>
        <v>0.79724624951245771</v>
      </c>
      <c r="K528" s="13">
        <f t="shared" si="159"/>
        <v>7327257.689011788</v>
      </c>
      <c r="L528" s="13">
        <f t="shared" si="160"/>
        <v>838017869.7071687</v>
      </c>
      <c r="M528" s="15">
        <f t="shared" si="161"/>
        <v>0.79724624951245771</v>
      </c>
      <c r="N528" s="13">
        <f t="shared" si="162"/>
        <v>130627.74062697626</v>
      </c>
      <c r="O528" s="13">
        <f t="shared" si="163"/>
        <v>26356098.771404207</v>
      </c>
      <c r="P528" s="15">
        <f t="shared" si="164"/>
        <v>0.74144771286044009</v>
      </c>
      <c r="Q528" s="7">
        <f t="shared" si="165"/>
        <v>35546807.029351667</v>
      </c>
      <c r="R528" s="7">
        <f t="shared" si="166"/>
        <v>9190708.2579474617</v>
      </c>
      <c r="S528" s="13">
        <f>IF(Calc!$AD$32="Sim",R528,Q528)</f>
        <v>9190708.2579474617</v>
      </c>
      <c r="T528" s="9">
        <f t="shared" si="167"/>
        <v>524</v>
      </c>
      <c r="U528" s="17">
        <f t="shared" ca="1" si="170"/>
        <v>61454</v>
      </c>
    </row>
    <row r="529" spans="2:21" x14ac:dyDescent="0.2">
      <c r="B529" s="17">
        <f t="shared" ca="1" si="168"/>
        <v>61454</v>
      </c>
      <c r="C529" s="9">
        <f t="shared" si="171"/>
        <v>525</v>
      </c>
      <c r="D529" s="9"/>
      <c r="E529" s="13">
        <f t="shared" si="169"/>
        <v>8453.4080739098426</v>
      </c>
      <c r="F529" s="14">
        <f t="shared" si="154"/>
        <v>1871903.9770095835</v>
      </c>
      <c r="G529" s="15">
        <f t="shared" si="155"/>
        <v>0.20222049270827319</v>
      </c>
      <c r="H529" s="13">
        <f t="shared" si="156"/>
        <v>353963.70744767762</v>
      </c>
      <c r="I529" s="13">
        <f t="shared" si="157"/>
        <v>34037320.167863689</v>
      </c>
      <c r="J529" s="15">
        <f t="shared" si="158"/>
        <v>0.79777950729172686</v>
      </c>
      <c r="K529" s="13">
        <f t="shared" si="159"/>
        <v>7384843.209884204</v>
      </c>
      <c r="L529" s="13">
        <f t="shared" si="160"/>
        <v>845402712.91705287</v>
      </c>
      <c r="M529" s="15">
        <f t="shared" si="161"/>
        <v>0.79777950729172686</v>
      </c>
      <c r="N529" s="13">
        <f t="shared" si="162"/>
        <v>131959.55444997418</v>
      </c>
      <c r="O529" s="13">
        <f t="shared" si="163"/>
        <v>26652476.957979467</v>
      </c>
      <c r="P529" s="15">
        <f t="shared" si="164"/>
        <v>0.74221812341174265</v>
      </c>
      <c r="Q529" s="7">
        <f t="shared" si="165"/>
        <v>35909224.144873254</v>
      </c>
      <c r="R529" s="7">
        <f t="shared" si="166"/>
        <v>9256747.1868937872</v>
      </c>
      <c r="S529" s="13">
        <f>IF(Calc!$AD$32="Sim",R529,Q529)</f>
        <v>9256747.1868937872</v>
      </c>
      <c r="T529" s="9">
        <f t="shared" si="167"/>
        <v>525</v>
      </c>
      <c r="U529" s="17">
        <f t="shared" ca="1" si="170"/>
        <v>61484</v>
      </c>
    </row>
    <row r="530" spans="2:21" x14ac:dyDescent="0.2">
      <c r="B530" s="17">
        <f t="shared" ca="1" si="168"/>
        <v>61484</v>
      </c>
      <c r="C530" s="9">
        <f t="shared" si="171"/>
        <v>526</v>
      </c>
      <c r="D530" s="9"/>
      <c r="E530" s="13">
        <f t="shared" si="169"/>
        <v>8487.8483047966438</v>
      </c>
      <c r="F530" s="14">
        <f t="shared" si="154"/>
        <v>1880391.8253143802</v>
      </c>
      <c r="G530" s="15">
        <f t="shared" si="155"/>
        <v>0.20168879079183483</v>
      </c>
      <c r="H530" s="13">
        <f t="shared" si="156"/>
        <v>357572.54088654567</v>
      </c>
      <c r="I530" s="13">
        <f t="shared" si="157"/>
        <v>34394892.708750233</v>
      </c>
      <c r="J530" s="15">
        <f t="shared" si="158"/>
        <v>0.79831120920816523</v>
      </c>
      <c r="K530" s="13">
        <f t="shared" si="159"/>
        <v>7442842.3412048332</v>
      </c>
      <c r="L530" s="13">
        <f t="shared" si="160"/>
        <v>852845555.25825775</v>
      </c>
      <c r="M530" s="15">
        <f t="shared" si="161"/>
        <v>0.79831120920816512</v>
      </c>
      <c r="N530" s="13">
        <f t="shared" si="162"/>
        <v>133304.7566093021</v>
      </c>
      <c r="O530" s="13">
        <f t="shared" si="163"/>
        <v>26952050.367545377</v>
      </c>
      <c r="P530" s="15">
        <f t="shared" si="164"/>
        <v>0.74298660131075867</v>
      </c>
      <c r="Q530" s="7">
        <f t="shared" si="165"/>
        <v>36275284.534064591</v>
      </c>
      <c r="R530" s="7">
        <f t="shared" si="166"/>
        <v>9323234.1665192135</v>
      </c>
      <c r="S530" s="13">
        <f>IF(Calc!$AD$32="Sim",R530,Q530)</f>
        <v>9323234.1665192135</v>
      </c>
      <c r="T530" s="9">
        <f t="shared" si="167"/>
        <v>526</v>
      </c>
      <c r="U530" s="17">
        <f t="shared" ca="1" si="170"/>
        <v>61515</v>
      </c>
    </row>
    <row r="531" spans="2:21" x14ac:dyDescent="0.2">
      <c r="B531" s="17">
        <f t="shared" ca="1" si="168"/>
        <v>61515</v>
      </c>
      <c r="C531" s="9">
        <f t="shared" si="171"/>
        <v>527</v>
      </c>
      <c r="D531" s="9"/>
      <c r="E531" s="13">
        <f t="shared" si="169"/>
        <v>8522.4288494472148</v>
      </c>
      <c r="F531" s="14">
        <f t="shared" si="154"/>
        <v>1888914.2541638275</v>
      </c>
      <c r="G531" s="15">
        <f t="shared" si="155"/>
        <v>0.20115863963384284</v>
      </c>
      <c r="H531" s="13">
        <f t="shared" si="156"/>
        <v>361217.65287651756</v>
      </c>
      <c r="I531" s="13">
        <f t="shared" si="157"/>
        <v>34756110.361626752</v>
      </c>
      <c r="J531" s="15">
        <f t="shared" si="158"/>
        <v>0.79884136036615716</v>
      </c>
      <c r="K531" s="13">
        <f t="shared" si="159"/>
        <v>7501257.8885893058</v>
      </c>
      <c r="L531" s="13">
        <f t="shared" si="160"/>
        <v>860346813.14684701</v>
      </c>
      <c r="M531" s="15">
        <f t="shared" si="161"/>
        <v>0.79884136036615716</v>
      </c>
      <c r="N531" s="13">
        <f t="shared" si="162"/>
        <v>134663.48093734693</v>
      </c>
      <c r="O531" s="13">
        <f t="shared" si="163"/>
        <v>27254852.473037422</v>
      </c>
      <c r="P531" s="15">
        <f t="shared" si="164"/>
        <v>0.74375314954197491</v>
      </c>
      <c r="Q531" s="7">
        <f t="shared" si="165"/>
        <v>36645024.615790553</v>
      </c>
      <c r="R531" s="7">
        <f t="shared" si="166"/>
        <v>9390172.1427531336</v>
      </c>
      <c r="S531" s="13">
        <f>IF(Calc!$AD$32="Sim",R531,Q531)</f>
        <v>9390172.1427531336</v>
      </c>
      <c r="T531" s="9">
        <f t="shared" si="167"/>
        <v>527</v>
      </c>
      <c r="U531" s="17">
        <f t="shared" ca="1" si="170"/>
        <v>61545</v>
      </c>
    </row>
    <row r="532" spans="2:21" x14ac:dyDescent="0.2">
      <c r="B532" s="17">
        <f t="shared" ca="1" si="168"/>
        <v>61545</v>
      </c>
      <c r="C532" s="9">
        <f t="shared" si="171"/>
        <v>528</v>
      </c>
      <c r="D532" s="9">
        <v>44</v>
      </c>
      <c r="E532" s="13">
        <f t="shared" si="169"/>
        <v>8557.1502795171982</v>
      </c>
      <c r="F532" s="14">
        <f t="shared" si="154"/>
        <v>1897471.4044433448</v>
      </c>
      <c r="G532" s="15">
        <f t="shared" si="155"/>
        <v>0.20063003414878719</v>
      </c>
      <c r="H532" s="13">
        <f t="shared" si="156"/>
        <v>364899.4060649731</v>
      </c>
      <c r="I532" s="13">
        <f t="shared" si="157"/>
        <v>35121009.767691724</v>
      </c>
      <c r="J532" s="15">
        <f t="shared" si="158"/>
        <v>0.79936996585121278</v>
      </c>
      <c r="K532" s="13">
        <f t="shared" si="159"/>
        <v>7560092.6760979583</v>
      </c>
      <c r="L532" s="13">
        <f t="shared" si="160"/>
        <v>867906905.822945</v>
      </c>
      <c r="M532" s="15">
        <f t="shared" si="161"/>
        <v>0.79936996585121278</v>
      </c>
      <c r="N532" s="13">
        <f t="shared" si="162"/>
        <v>136035.86260125643</v>
      </c>
      <c r="O532" s="13">
        <f t="shared" si="163"/>
        <v>27560917.091593735</v>
      </c>
      <c r="P532" s="15">
        <f t="shared" si="164"/>
        <v>0.74451777109482531</v>
      </c>
      <c r="Q532" s="7">
        <f t="shared" si="165"/>
        <v>37018481.17213504</v>
      </c>
      <c r="R532" s="7">
        <f t="shared" si="166"/>
        <v>9457564.0805413034</v>
      </c>
      <c r="S532" s="13">
        <f>IF(Calc!$AD$32="Sim",R532,Q532)</f>
        <v>9457564.0805413034</v>
      </c>
      <c r="T532" s="9">
        <f t="shared" si="167"/>
        <v>528</v>
      </c>
      <c r="U532" s="17">
        <f t="shared" ca="1" si="170"/>
        <v>61576</v>
      </c>
    </row>
    <row r="533" spans="2:21" x14ac:dyDescent="0.2">
      <c r="B533" s="17">
        <f t="shared" ca="1" si="168"/>
        <v>61576</v>
      </c>
      <c r="C533" s="9">
        <f t="shared" si="171"/>
        <v>529</v>
      </c>
      <c r="D533" s="9"/>
      <c r="E533" s="13">
        <f t="shared" si="169"/>
        <v>8592.0131689912323</v>
      </c>
      <c r="F533" s="14">
        <f t="shared" si="154"/>
        <v>1906063.4176123361</v>
      </c>
      <c r="G533" s="15">
        <f t="shared" si="155"/>
        <v>0.20010296926995216</v>
      </c>
      <c r="H533" s="13">
        <f t="shared" si="156"/>
        <v>368618.16671611078</v>
      </c>
      <c r="I533" s="13">
        <f t="shared" si="157"/>
        <v>35489627.934407838</v>
      </c>
      <c r="J533" s="15">
        <f t="shared" si="158"/>
        <v>0.79989703073004781</v>
      </c>
      <c r="K533" s="13">
        <f t="shared" si="159"/>
        <v>7619349.5463548806</v>
      </c>
      <c r="L533" s="13">
        <f t="shared" si="160"/>
        <v>875526255.36929989</v>
      </c>
      <c r="M533" s="15">
        <f t="shared" si="161"/>
        <v>0.79989703073004781</v>
      </c>
      <c r="N533" s="13">
        <f t="shared" si="162"/>
        <v>137422.03811623869</v>
      </c>
      <c r="O533" s="13">
        <f t="shared" si="163"/>
        <v>27870278.388052925</v>
      </c>
      <c r="P533" s="15">
        <f t="shared" si="164"/>
        <v>0.74528046896363509</v>
      </c>
      <c r="Q533" s="7">
        <f t="shared" si="165"/>
        <v>37395691.352020144</v>
      </c>
      <c r="R533" s="7">
        <f t="shared" si="166"/>
        <v>9525412.9639672171</v>
      </c>
      <c r="S533" s="13">
        <f>IF(Calc!$AD$32="Sim",R533,Q533)</f>
        <v>9525412.9639672171</v>
      </c>
      <c r="T533" s="9">
        <f t="shared" si="167"/>
        <v>529</v>
      </c>
      <c r="U533" s="17">
        <f t="shared" ca="1" si="170"/>
        <v>61607</v>
      </c>
    </row>
    <row r="534" spans="2:21" x14ac:dyDescent="0.2">
      <c r="B534" s="17">
        <f t="shared" ca="1" si="168"/>
        <v>61607</v>
      </c>
      <c r="C534" s="9">
        <f t="shared" si="171"/>
        <v>530</v>
      </c>
      <c r="D534" s="9"/>
      <c r="E534" s="13">
        <f t="shared" si="169"/>
        <v>8627.0180941924391</v>
      </c>
      <c r="F534" s="14">
        <f t="shared" si="154"/>
        <v>1914690.4357065286</v>
      </c>
      <c r="G534" s="15">
        <f t="shared" si="155"/>
        <v>0.19957743994933677</v>
      </c>
      <c r="H534" s="13">
        <f t="shared" si="156"/>
        <v>372374.30474698613</v>
      </c>
      <c r="I534" s="13">
        <f t="shared" si="157"/>
        <v>35862002.239154823</v>
      </c>
      <c r="J534" s="15">
        <f t="shared" si="158"/>
        <v>0.80042256005066326</v>
      </c>
      <c r="K534" s="13">
        <f t="shared" si="159"/>
        <v>7679031.3606677381</v>
      </c>
      <c r="L534" s="13">
        <f t="shared" si="160"/>
        <v>883205286.72996759</v>
      </c>
      <c r="M534" s="15">
        <f t="shared" si="161"/>
        <v>0.80042256005066315</v>
      </c>
      <c r="N534" s="13">
        <f t="shared" si="162"/>
        <v>138822.14535899431</v>
      </c>
      <c r="O534" s="13">
        <f t="shared" si="163"/>
        <v>28182970.878487051</v>
      </c>
      <c r="P534" s="15">
        <f t="shared" si="164"/>
        <v>0.74604124614756295</v>
      </c>
      <c r="Q534" s="7">
        <f t="shared" si="165"/>
        <v>37776692.674861319</v>
      </c>
      <c r="R534" s="7">
        <f t="shared" si="166"/>
        <v>9593721.796374267</v>
      </c>
      <c r="S534" s="13">
        <f>IF(Calc!$AD$32="Sim",R534,Q534)</f>
        <v>9593721.796374267</v>
      </c>
      <c r="T534" s="9">
        <f t="shared" si="167"/>
        <v>530</v>
      </c>
      <c r="U534" s="17">
        <f t="shared" ca="1" si="170"/>
        <v>61637</v>
      </c>
    </row>
    <row r="535" spans="2:21" x14ac:dyDescent="0.2">
      <c r="B535" s="17">
        <f t="shared" ca="1" si="168"/>
        <v>61637</v>
      </c>
      <c r="C535" s="9">
        <f t="shared" si="171"/>
        <v>531</v>
      </c>
      <c r="D535" s="9"/>
      <c r="E535" s="13">
        <f t="shared" si="169"/>
        <v>8662.165633791954</v>
      </c>
      <c r="F535" s="14">
        <f t="shared" si="154"/>
        <v>1923352.6013403207</v>
      </c>
      <c r="G535" s="15">
        <f t="shared" si="155"/>
        <v>0.19905344115757562</v>
      </c>
      <c r="H535" s="13">
        <f t="shared" si="156"/>
        <v>376168.19376390899</v>
      </c>
      <c r="I535" s="13">
        <f t="shared" si="157"/>
        <v>36238170.432918735</v>
      </c>
      <c r="J535" s="15">
        <f t="shared" si="158"/>
        <v>0.80094655884242438</v>
      </c>
      <c r="K535" s="13">
        <f t="shared" si="159"/>
        <v>7739140.99914834</v>
      </c>
      <c r="L535" s="13">
        <f t="shared" si="160"/>
        <v>890944427.72911596</v>
      </c>
      <c r="M535" s="15">
        <f t="shared" si="161"/>
        <v>0.80094655884242438</v>
      </c>
      <c r="N535" s="13">
        <f t="shared" si="162"/>
        <v>140236.32358128249</v>
      </c>
      <c r="O535" s="13">
        <f t="shared" si="163"/>
        <v>28499029.433770359</v>
      </c>
      <c r="P535" s="15">
        <f t="shared" si="164"/>
        <v>0.74680010565054544</v>
      </c>
      <c r="Q535" s="7">
        <f t="shared" si="165"/>
        <v>38161523.034259021</v>
      </c>
      <c r="R535" s="7">
        <f t="shared" si="166"/>
        <v>9662493.6004886609</v>
      </c>
      <c r="S535" s="13">
        <f>IF(Calc!$AD$32="Sim",R535,Q535)</f>
        <v>9662493.6004886609</v>
      </c>
      <c r="T535" s="9">
        <f t="shared" si="167"/>
        <v>531</v>
      </c>
      <c r="U535" s="17">
        <f t="shared" ca="1" si="170"/>
        <v>61668</v>
      </c>
    </row>
    <row r="536" spans="2:21" x14ac:dyDescent="0.2">
      <c r="B536" s="17">
        <f t="shared" ca="1" si="168"/>
        <v>61668</v>
      </c>
      <c r="C536" s="9">
        <f t="shared" si="171"/>
        <v>532</v>
      </c>
      <c r="D536" s="9"/>
      <c r="E536" s="13">
        <f t="shared" si="169"/>
        <v>8697.456368818488</v>
      </c>
      <c r="F536" s="14">
        <f t="shared" si="154"/>
        <v>1932050.0577091391</v>
      </c>
      <c r="G536" s="15">
        <f t="shared" si="155"/>
        <v>0.19853096788385996</v>
      </c>
      <c r="H536" s="13">
        <f t="shared" si="156"/>
        <v>380000.21109920315</v>
      </c>
      <c r="I536" s="13">
        <f t="shared" si="157"/>
        <v>36618170.644017935</v>
      </c>
      <c r="J536" s="15">
        <f t="shared" si="158"/>
        <v>0.80146903211614007</v>
      </c>
      <c r="K536" s="13">
        <f t="shared" si="159"/>
        <v>7799681.3608340006</v>
      </c>
      <c r="L536" s="13">
        <f t="shared" si="160"/>
        <v>898744109.08994997</v>
      </c>
      <c r="M536" s="15">
        <f t="shared" si="161"/>
        <v>0.80146903211614007</v>
      </c>
      <c r="N536" s="13">
        <f t="shared" si="162"/>
        <v>141664.71342362184</v>
      </c>
      <c r="O536" s="13">
        <f t="shared" si="163"/>
        <v>28818489.283183903</v>
      </c>
      <c r="P536" s="15">
        <f t="shared" si="164"/>
        <v>0.74755705048123999</v>
      </c>
      <c r="Q536" s="7">
        <f t="shared" si="165"/>
        <v>38550220.70172704</v>
      </c>
      <c r="R536" s="7">
        <f t="shared" si="166"/>
        <v>9731731.4185431395</v>
      </c>
      <c r="S536" s="13">
        <f>IF(Calc!$AD$32="Sim",R536,Q536)</f>
        <v>9731731.4185431395</v>
      </c>
      <c r="T536" s="9">
        <f t="shared" si="167"/>
        <v>532</v>
      </c>
      <c r="U536" s="17">
        <f t="shared" ca="1" si="170"/>
        <v>61698</v>
      </c>
    </row>
    <row r="537" spans="2:21" x14ac:dyDescent="0.2">
      <c r="B537" s="17">
        <f t="shared" ca="1" si="168"/>
        <v>61698</v>
      </c>
      <c r="C537" s="9">
        <f t="shared" si="171"/>
        <v>533</v>
      </c>
      <c r="D537" s="9"/>
      <c r="E537" s="13">
        <f t="shared" si="169"/>
        <v>8732.8908826679344</v>
      </c>
      <c r="F537" s="14">
        <f t="shared" si="154"/>
        <v>1940782.9485918069</v>
      </c>
      <c r="G537" s="15">
        <f t="shared" si="155"/>
        <v>0.19801001513585967</v>
      </c>
      <c r="H537" s="13">
        <f t="shared" si="156"/>
        <v>383870.7378483325</v>
      </c>
      <c r="I537" s="13">
        <f t="shared" si="157"/>
        <v>37002041.381866269</v>
      </c>
      <c r="J537" s="15">
        <f t="shared" si="158"/>
        <v>0.8019899848641403</v>
      </c>
      <c r="K537" s="13">
        <f t="shared" si="159"/>
        <v>7860655.363809648</v>
      </c>
      <c r="L537" s="13">
        <f t="shared" si="160"/>
        <v>906604764.45375967</v>
      </c>
      <c r="M537" s="15">
        <f t="shared" si="161"/>
        <v>0.8019899848641403</v>
      </c>
      <c r="N537" s="13">
        <f t="shared" si="162"/>
        <v>143107.45692912815</v>
      </c>
      <c r="O537" s="13">
        <f t="shared" si="163"/>
        <v>29141386.01805659</v>
      </c>
      <c r="P537" s="15">
        <f t="shared" si="164"/>
        <v>0.74831208365296886</v>
      </c>
      <c r="Q537" s="7">
        <f t="shared" si="165"/>
        <v>38942824.330458045</v>
      </c>
      <c r="R537" s="7">
        <f t="shared" si="166"/>
        <v>9801438.3124014549</v>
      </c>
      <c r="S537" s="13">
        <f>IF(Calc!$AD$32="Sim",R537,Q537)</f>
        <v>9801438.3124014549</v>
      </c>
      <c r="T537" s="9">
        <f t="shared" si="167"/>
        <v>533</v>
      </c>
      <c r="U537" s="17">
        <f t="shared" ca="1" si="170"/>
        <v>61729</v>
      </c>
    </row>
    <row r="538" spans="2:21" x14ac:dyDescent="0.2">
      <c r="B538" s="17">
        <f t="shared" ca="1" si="168"/>
        <v>61729</v>
      </c>
      <c r="C538" s="9">
        <f t="shared" si="171"/>
        <v>534</v>
      </c>
      <c r="D538" s="9"/>
      <c r="E538" s="13">
        <f t="shared" si="169"/>
        <v>8768.4697611130177</v>
      </c>
      <c r="F538" s="14">
        <f t="shared" si="154"/>
        <v>1949551.4183529199</v>
      </c>
      <c r="G538" s="15">
        <f t="shared" si="155"/>
        <v>0.19749057793964489</v>
      </c>
      <c r="H538" s="13">
        <f t="shared" si="156"/>
        <v>387780.15890739666</v>
      </c>
      <c r="I538" s="13">
        <f t="shared" si="157"/>
        <v>37389821.540773667</v>
      </c>
      <c r="J538" s="15">
        <f t="shared" si="158"/>
        <v>0.80250942206035514</v>
      </c>
      <c r="K538" s="13">
        <f t="shared" si="159"/>
        <v>7922065.9453307418</v>
      </c>
      <c r="L538" s="13">
        <f t="shared" si="160"/>
        <v>914526830.39909041</v>
      </c>
      <c r="M538" s="15">
        <f t="shared" si="161"/>
        <v>0.80250942206035514</v>
      </c>
      <c r="N538" s="13">
        <f t="shared" si="162"/>
        <v>144564.69755748953</v>
      </c>
      <c r="O538" s="13">
        <f t="shared" si="163"/>
        <v>29467755.595442891</v>
      </c>
      <c r="P538" s="15">
        <f t="shared" si="164"/>
        <v>0.74906520818366285</v>
      </c>
      <c r="Q538" s="7">
        <f t="shared" si="165"/>
        <v>39339372.959126554</v>
      </c>
      <c r="R538" s="7">
        <f t="shared" si="166"/>
        <v>9871617.3636836614</v>
      </c>
      <c r="S538" s="13">
        <f>IF(Calc!$AD$32="Sim",R538,Q538)</f>
        <v>9871617.3636836614</v>
      </c>
      <c r="T538" s="9">
        <f t="shared" si="167"/>
        <v>534</v>
      </c>
      <c r="U538" s="17">
        <f t="shared" ca="1" si="170"/>
        <v>61760</v>
      </c>
    </row>
    <row r="539" spans="2:21" x14ac:dyDescent="0.2">
      <c r="B539" s="17">
        <f t="shared" ca="1" si="168"/>
        <v>61760</v>
      </c>
      <c r="C539" s="9">
        <f t="shared" si="171"/>
        <v>535</v>
      </c>
      <c r="D539" s="9"/>
      <c r="E539" s="13">
        <f t="shared" si="169"/>
        <v>8804.1935923129695</v>
      </c>
      <c r="F539" s="14">
        <f t="shared" si="154"/>
        <v>1958355.6119452328</v>
      </c>
      <c r="G539" s="15">
        <f t="shared" si="155"/>
        <v>0.1969726513396087</v>
      </c>
      <c r="H539" s="13">
        <f t="shared" si="156"/>
        <v>391728.86301100004</v>
      </c>
      <c r="I539" s="13">
        <f t="shared" si="157"/>
        <v>37781550.40378467</v>
      </c>
      <c r="J539" s="15">
        <f t="shared" si="158"/>
        <v>0.80302734866039127</v>
      </c>
      <c r="K539" s="13">
        <f t="shared" si="159"/>
        <v>7983916.0619469509</v>
      </c>
      <c r="L539" s="13">
        <f t="shared" si="160"/>
        <v>922510746.4610374</v>
      </c>
      <c r="M539" s="15">
        <f t="shared" si="161"/>
        <v>0.80302734866039138</v>
      </c>
      <c r="N539" s="13">
        <f t="shared" si="162"/>
        <v>146036.5801990811</v>
      </c>
      <c r="O539" s="13">
        <f t="shared" si="163"/>
        <v>29797634.341837682</v>
      </c>
      <c r="P539" s="15">
        <f t="shared" si="164"/>
        <v>0.74981642709580565</v>
      </c>
      <c r="Q539" s="7">
        <f t="shared" si="165"/>
        <v>39739906.015729867</v>
      </c>
      <c r="R539" s="7">
        <f t="shared" si="166"/>
        <v>9942271.6738921832</v>
      </c>
      <c r="S539" s="13">
        <f>IF(Calc!$AD$32="Sim",R539,Q539)</f>
        <v>9942271.6738921832</v>
      </c>
      <c r="T539" s="9">
        <f t="shared" si="167"/>
        <v>535</v>
      </c>
      <c r="U539" s="17">
        <f t="shared" ca="1" si="170"/>
        <v>61788</v>
      </c>
    </row>
    <row r="540" spans="2:21" x14ac:dyDescent="0.2">
      <c r="B540" s="17">
        <f t="shared" ca="1" si="168"/>
        <v>61788</v>
      </c>
      <c r="C540" s="9">
        <f t="shared" si="171"/>
        <v>536</v>
      </c>
      <c r="D540" s="9"/>
      <c r="E540" s="13">
        <f t="shared" si="169"/>
        <v>8840.0629668232559</v>
      </c>
      <c r="F540" s="14">
        <f t="shared" si="154"/>
        <v>1967195.6749120562</v>
      </c>
      <c r="G540" s="15">
        <f t="shared" si="155"/>
        <v>0.19645623039839002</v>
      </c>
      <c r="H540" s="13">
        <f t="shared" si="156"/>
        <v>395717.24277049839</v>
      </c>
      <c r="I540" s="13">
        <f t="shared" si="157"/>
        <v>38177267.64655517</v>
      </c>
      <c r="J540" s="15">
        <f t="shared" si="158"/>
        <v>0.80354376960161</v>
      </c>
      <c r="K540" s="13">
        <f t="shared" si="159"/>
        <v>8046208.6896266285</v>
      </c>
      <c r="L540" s="13">
        <f t="shared" si="160"/>
        <v>930556955.15066397</v>
      </c>
      <c r="M540" s="15">
        <f t="shared" si="161"/>
        <v>0.80354376960161</v>
      </c>
      <c r="N540" s="13">
        <f t="shared" si="162"/>
        <v>147523.25118922003</v>
      </c>
      <c r="O540" s="13">
        <f t="shared" si="163"/>
        <v>30131058.956928506</v>
      </c>
      <c r="P540" s="15">
        <f t="shared" si="164"/>
        <v>0.75056574341637716</v>
      </c>
      <c r="Q540" s="7">
        <f t="shared" si="165"/>
        <v>40144463.321467191</v>
      </c>
      <c r="R540" s="7">
        <f t="shared" si="166"/>
        <v>10013404.364538684</v>
      </c>
      <c r="S540" s="13">
        <f>IF(Calc!$AD$32="Sim",R540,Q540)</f>
        <v>10013404.364538684</v>
      </c>
      <c r="T540" s="9">
        <f t="shared" si="167"/>
        <v>536</v>
      </c>
      <c r="U540" s="17">
        <f t="shared" ca="1" si="170"/>
        <v>61819</v>
      </c>
    </row>
    <row r="541" spans="2:21" x14ac:dyDescent="0.2">
      <c r="B541" s="17">
        <f t="shared" ca="1" si="168"/>
        <v>61819</v>
      </c>
      <c r="C541" s="9">
        <f t="shared" si="171"/>
        <v>537</v>
      </c>
      <c r="D541" s="9"/>
      <c r="E541" s="13">
        <f t="shared" si="169"/>
        <v>8876.0784776053388</v>
      </c>
      <c r="F541" s="14">
        <f t="shared" si="154"/>
        <v>1976071.7533896614</v>
      </c>
      <c r="G541" s="15">
        <f t="shared" si="155"/>
        <v>0.19594131019679675</v>
      </c>
      <c r="H541" s="13">
        <f t="shared" si="156"/>
        <v>399745.69471262599</v>
      </c>
      <c r="I541" s="13">
        <f t="shared" si="157"/>
        <v>38577013.341267794</v>
      </c>
      <c r="J541" s="15">
        <f t="shared" si="158"/>
        <v>0.80405868980320327</v>
      </c>
      <c r="K541" s="13">
        <f t="shared" si="159"/>
        <v>8108946.8238820871</v>
      </c>
      <c r="L541" s="13">
        <f t="shared" si="160"/>
        <v>938665901.97454607</v>
      </c>
      <c r="M541" s="15">
        <f t="shared" si="161"/>
        <v>0.80405868980320327</v>
      </c>
      <c r="N541" s="13">
        <f t="shared" si="162"/>
        <v>149024.85832256265</v>
      </c>
      <c r="O541" s="13">
        <f t="shared" si="163"/>
        <v>30468066.517385673</v>
      </c>
      <c r="P541" s="15">
        <f t="shared" si="164"/>
        <v>0.75131316017679806</v>
      </c>
      <c r="Q541" s="7">
        <f t="shared" si="165"/>
        <v>40553085.094657421</v>
      </c>
      <c r="R541" s="7">
        <f t="shared" si="166"/>
        <v>10085018.577271748</v>
      </c>
      <c r="S541" s="13">
        <f>IF(Calc!$AD$32="Sim",R541,Q541)</f>
        <v>10085018.577271748</v>
      </c>
      <c r="T541" s="9">
        <f t="shared" si="167"/>
        <v>537</v>
      </c>
      <c r="U541" s="17">
        <f t="shared" ca="1" si="170"/>
        <v>61849</v>
      </c>
    </row>
    <row r="542" spans="2:21" x14ac:dyDescent="0.2">
      <c r="B542" s="17">
        <f t="shared" ca="1" si="168"/>
        <v>61849</v>
      </c>
      <c r="C542" s="9">
        <f t="shared" si="171"/>
        <v>538</v>
      </c>
      <c r="D542" s="9"/>
      <c r="E542" s="13">
        <f t="shared" si="169"/>
        <v>8912.2407200364796</v>
      </c>
      <c r="F542" s="14">
        <f t="shared" si="154"/>
        <v>1984983.9941096979</v>
      </c>
      <c r="G542" s="15">
        <f t="shared" si="155"/>
        <v>0.19542788583372936</v>
      </c>
      <c r="H542" s="13">
        <f t="shared" si="156"/>
        <v>403814.61931850767</v>
      </c>
      <c r="I542" s="13">
        <f t="shared" si="157"/>
        <v>38980827.960586302</v>
      </c>
      <c r="J542" s="15">
        <f t="shared" si="158"/>
        <v>0.80457211416627061</v>
      </c>
      <c r="K542" s="13">
        <f t="shared" si="159"/>
        <v>8172133.4798956662</v>
      </c>
      <c r="L542" s="13">
        <f t="shared" si="160"/>
        <v>946838035.45444179</v>
      </c>
      <c r="M542" s="15">
        <f t="shared" si="161"/>
        <v>0.80457211416627061</v>
      </c>
      <c r="N542" s="13">
        <f t="shared" si="162"/>
        <v>150541.55086764507</v>
      </c>
      <c r="O542" s="13">
        <f t="shared" si="163"/>
        <v>30808694.480690598</v>
      </c>
      <c r="P542" s="15">
        <f t="shared" si="164"/>
        <v>0.75205868041287438</v>
      </c>
      <c r="Q542" s="7">
        <f t="shared" si="165"/>
        <v>40965811.954695962</v>
      </c>
      <c r="R542" s="7">
        <f t="shared" si="166"/>
        <v>10157117.474005364</v>
      </c>
      <c r="S542" s="13">
        <f>IF(Calc!$AD$32="Sim",R542,Q542)</f>
        <v>10157117.474005364</v>
      </c>
      <c r="T542" s="9">
        <f t="shared" si="167"/>
        <v>538</v>
      </c>
      <c r="U542" s="17">
        <f t="shared" ca="1" si="170"/>
        <v>61880</v>
      </c>
    </row>
    <row r="543" spans="2:21" x14ac:dyDescent="0.2">
      <c r="B543" s="17">
        <f t="shared" ca="1" si="168"/>
        <v>61880</v>
      </c>
      <c r="C543" s="9">
        <f t="shared" si="171"/>
        <v>539</v>
      </c>
      <c r="D543" s="9"/>
      <c r="E543" s="13">
        <f t="shared" si="169"/>
        <v>8948.5502919195787</v>
      </c>
      <c r="F543" s="14">
        <f t="shared" si="154"/>
        <v>1993932.5444016175</v>
      </c>
      <c r="G543" s="15">
        <f t="shared" si="155"/>
        <v>0.19491595242610518</v>
      </c>
      <c r="H543" s="13">
        <f t="shared" si="156"/>
        <v>407924.42106305959</v>
      </c>
      <c r="I543" s="13">
        <f t="shared" si="157"/>
        <v>39388752.38164936</v>
      </c>
      <c r="J543" s="15">
        <f t="shared" si="158"/>
        <v>0.80508404757389485</v>
      </c>
      <c r="K543" s="13">
        <f t="shared" si="159"/>
        <v>8235771.6926466022</v>
      </c>
      <c r="L543" s="13">
        <f t="shared" si="160"/>
        <v>955073807.14708841</v>
      </c>
      <c r="M543" s="15">
        <f t="shared" si="161"/>
        <v>0.80508404757389485</v>
      </c>
      <c r="N543" s="13">
        <f t="shared" si="162"/>
        <v>152073.47958156839</v>
      </c>
      <c r="O543" s="13">
        <f t="shared" si="163"/>
        <v>31152980.689002719</v>
      </c>
      <c r="P543" s="15">
        <f t="shared" si="164"/>
        <v>0.7528023071647415</v>
      </c>
      <c r="Q543" s="7">
        <f t="shared" si="165"/>
        <v>41382684.926050939</v>
      </c>
      <c r="R543" s="7">
        <f t="shared" si="166"/>
        <v>10229704.23704822</v>
      </c>
      <c r="S543" s="13">
        <f>IF(Calc!$AD$32="Sim",R543,Q543)</f>
        <v>10229704.23704822</v>
      </c>
      <c r="T543" s="9">
        <f t="shared" si="167"/>
        <v>539</v>
      </c>
      <c r="U543" s="17">
        <f t="shared" ca="1" si="170"/>
        <v>61910</v>
      </c>
    </row>
    <row r="544" spans="2:21" x14ac:dyDescent="0.2">
      <c r="B544" s="17">
        <f t="shared" ca="1" si="168"/>
        <v>61910</v>
      </c>
      <c r="C544" s="9">
        <f t="shared" si="171"/>
        <v>540</v>
      </c>
      <c r="D544" s="9">
        <v>45</v>
      </c>
      <c r="E544" s="13">
        <f t="shared" si="169"/>
        <v>8985.0077934930614</v>
      </c>
      <c r="F544" s="14">
        <f t="shared" si="154"/>
        <v>2002917.5521951106</v>
      </c>
      <c r="G544" s="15">
        <f t="shared" si="155"/>
        <v>0.19440550510878254</v>
      </c>
      <c r="H544" s="13">
        <f t="shared" si="156"/>
        <v>412075.50845478219</v>
      </c>
      <c r="I544" s="13">
        <f t="shared" si="157"/>
        <v>39800827.890104145</v>
      </c>
      <c r="J544" s="15">
        <f t="shared" si="158"/>
        <v>0.80559449489121748</v>
      </c>
      <c r="K544" s="13">
        <f t="shared" si="159"/>
        <v>8299864.5170387207</v>
      </c>
      <c r="L544" s="13">
        <f t="shared" si="160"/>
        <v>963373671.66412711</v>
      </c>
      <c r="M544" s="15">
        <f t="shared" si="161"/>
        <v>0.80559449489121748</v>
      </c>
      <c r="N544" s="13">
        <f t="shared" si="162"/>
        <v>153620.79672483035</v>
      </c>
      <c r="O544" s="13">
        <f t="shared" si="163"/>
        <v>31500963.373065386</v>
      </c>
      <c r="P544" s="15">
        <f t="shared" si="164"/>
        <v>0.75354404347680926</v>
      </c>
      <c r="Q544" s="7">
        <f t="shared" si="165"/>
        <v>41803745.442299217</v>
      </c>
      <c r="R544" s="7">
        <f t="shared" si="166"/>
        <v>10302782.069233831</v>
      </c>
      <c r="S544" s="13">
        <f>IF(Calc!$AD$32="Sim",R544,Q544)</f>
        <v>10302782.069233831</v>
      </c>
      <c r="T544" s="9">
        <f t="shared" si="167"/>
        <v>540</v>
      </c>
      <c r="U544" s="17">
        <f t="shared" ca="1" si="170"/>
        <v>61941</v>
      </c>
    </row>
    <row r="545" spans="2:21" x14ac:dyDescent="0.2">
      <c r="B545" s="17">
        <f t="shared" ca="1" si="168"/>
        <v>61941</v>
      </c>
      <c r="C545" s="9">
        <f t="shared" si="171"/>
        <v>541</v>
      </c>
      <c r="D545" s="9"/>
      <c r="E545" s="13">
        <f t="shared" si="169"/>
        <v>9021.6138274407967</v>
      </c>
      <c r="F545" s="14">
        <f t="shared" si="154"/>
        <v>2011939.1660225515</v>
      </c>
      <c r="G545" s="15">
        <f t="shared" si="155"/>
        <v>0.1938965390344857</v>
      </c>
      <c r="H545" s="13">
        <f t="shared" si="156"/>
        <v>416268.29407594947</v>
      </c>
      <c r="I545" s="13">
        <f t="shared" si="157"/>
        <v>40217096.184180096</v>
      </c>
      <c r="J545" s="15">
        <f t="shared" si="158"/>
        <v>0.80610346096551433</v>
      </c>
      <c r="K545" s="13">
        <f t="shared" si="159"/>
        <v>8364415.0280289249</v>
      </c>
      <c r="L545" s="13">
        <f t="shared" si="160"/>
        <v>971738086.69215608</v>
      </c>
      <c r="M545" s="15">
        <f t="shared" si="161"/>
        <v>0.80610346096551433</v>
      </c>
      <c r="N545" s="13">
        <f t="shared" si="162"/>
        <v>155183.65607630464</v>
      </c>
      <c r="O545" s="13">
        <f t="shared" si="163"/>
        <v>31852681.156151131</v>
      </c>
      <c r="P545" s="15">
        <f t="shared" si="164"/>
        <v>0.75428389239770566</v>
      </c>
      <c r="Q545" s="7">
        <f t="shared" si="165"/>
        <v>42229035.350202605</v>
      </c>
      <c r="R545" s="7">
        <f t="shared" si="166"/>
        <v>10376354.194051476</v>
      </c>
      <c r="S545" s="13">
        <f>IF(Calc!$AD$32="Sim",R545,Q545)</f>
        <v>10376354.194051476</v>
      </c>
      <c r="T545" s="9">
        <f t="shared" si="167"/>
        <v>541</v>
      </c>
      <c r="U545" s="17">
        <f t="shared" ca="1" si="170"/>
        <v>61972</v>
      </c>
    </row>
    <row r="546" spans="2:21" x14ac:dyDescent="0.2">
      <c r="B546" s="17">
        <f t="shared" ca="1" si="168"/>
        <v>61972</v>
      </c>
      <c r="C546" s="9">
        <f t="shared" si="171"/>
        <v>542</v>
      </c>
      <c r="D546" s="9"/>
      <c r="E546" s="13">
        <f t="shared" si="169"/>
        <v>9058.368998902064</v>
      </c>
      <c r="F546" s="14">
        <f t="shared" si="154"/>
        <v>2020997.5350214536</v>
      </c>
      <c r="G546" s="15">
        <f t="shared" si="155"/>
        <v>0.19338904937373014</v>
      </c>
      <c r="H546" s="13">
        <f t="shared" si="156"/>
        <v>420503.19462319871</v>
      </c>
      <c r="I546" s="13">
        <f t="shared" si="157"/>
        <v>40637599.378803298</v>
      </c>
      <c r="J546" s="15">
        <f t="shared" si="158"/>
        <v>0.80661095062626986</v>
      </c>
      <c r="K546" s="13">
        <f t="shared" si="159"/>
        <v>8429426.3207565192</v>
      </c>
      <c r="L546" s="13">
        <f t="shared" si="160"/>
        <v>980167513.01291263</v>
      </c>
      <c r="M546" s="15">
        <f t="shared" si="161"/>
        <v>0.80661095062626986</v>
      </c>
      <c r="N546" s="13">
        <f t="shared" si="162"/>
        <v>156762.2129483695</v>
      </c>
      <c r="O546" s="13">
        <f t="shared" si="163"/>
        <v>32208173.058046736</v>
      </c>
      <c r="P546" s="15">
        <f t="shared" si="164"/>
        <v>0.75502185698022284</v>
      </c>
      <c r="Q546" s="7">
        <f t="shared" si="165"/>
        <v>42658596.913824707</v>
      </c>
      <c r="R546" s="7">
        <f t="shared" si="166"/>
        <v>10450423.855777973</v>
      </c>
      <c r="S546" s="13">
        <f>IF(Calc!$AD$32="Sim",R546,Q546)</f>
        <v>10450423.855777973</v>
      </c>
      <c r="T546" s="9">
        <f t="shared" si="167"/>
        <v>542</v>
      </c>
      <c r="U546" s="17">
        <f t="shared" ca="1" si="170"/>
        <v>62002</v>
      </c>
    </row>
    <row r="547" spans="2:21" x14ac:dyDescent="0.2">
      <c r="B547" s="17">
        <f t="shared" ca="1" si="168"/>
        <v>62002</v>
      </c>
      <c r="C547" s="9">
        <f t="shared" si="171"/>
        <v>543</v>
      </c>
      <c r="D547" s="9"/>
      <c r="E547" s="13">
        <f t="shared" si="169"/>
        <v>9095.2739154815536</v>
      </c>
      <c r="F547" s="14">
        <f t="shared" si="154"/>
        <v>2030092.8089369352</v>
      </c>
      <c r="G547" s="15">
        <f t="shared" si="155"/>
        <v>0.19288303131474796</v>
      </c>
      <c r="H547" s="13">
        <f t="shared" si="156"/>
        <v>424780.63094852469</v>
      </c>
      <c r="I547" s="13">
        <f t="shared" si="157"/>
        <v>41062380.009751819</v>
      </c>
      <c r="J547" s="15">
        <f t="shared" si="158"/>
        <v>0.80711696868525207</v>
      </c>
      <c r="K547" s="13">
        <f t="shared" si="159"/>
        <v>8494901.5106733516</v>
      </c>
      <c r="L547" s="13">
        <f t="shared" si="160"/>
        <v>988662414.52358603</v>
      </c>
      <c r="M547" s="15">
        <f t="shared" si="161"/>
        <v>0.80711696868525207</v>
      </c>
      <c r="N547" s="13">
        <f t="shared" si="162"/>
        <v>158356.62420218679</v>
      </c>
      <c r="O547" s="13">
        <f t="shared" si="163"/>
        <v>32567478.499078427</v>
      </c>
      <c r="P547" s="15">
        <f t="shared" si="164"/>
        <v>0.75575794028126142</v>
      </c>
      <c r="Q547" s="7">
        <f t="shared" si="165"/>
        <v>43092472.818688713</v>
      </c>
      <c r="R547" s="7">
        <f t="shared" si="166"/>
        <v>10524994.319610287</v>
      </c>
      <c r="S547" s="13">
        <f>IF(Calc!$AD$32="Sim",R547,Q547)</f>
        <v>10524994.319610287</v>
      </c>
      <c r="T547" s="9">
        <f t="shared" si="167"/>
        <v>543</v>
      </c>
      <c r="U547" s="17">
        <f t="shared" ca="1" si="170"/>
        <v>62033</v>
      </c>
    </row>
    <row r="548" spans="2:21" x14ac:dyDescent="0.2">
      <c r="B548" s="17">
        <f t="shared" ca="1" si="168"/>
        <v>62033</v>
      </c>
      <c r="C548" s="9">
        <f t="shared" si="171"/>
        <v>544</v>
      </c>
      <c r="D548" s="9"/>
      <c r="E548" s="13">
        <f t="shared" si="169"/>
        <v>9132.3291872594127</v>
      </c>
      <c r="F548" s="14">
        <f t="shared" si="154"/>
        <v>2039225.1381241945</v>
      </c>
      <c r="G548" s="15">
        <f t="shared" si="155"/>
        <v>0.19237848006341396</v>
      </c>
      <c r="H548" s="13">
        <f t="shared" si="156"/>
        <v>429101.02810068149</v>
      </c>
      <c r="I548" s="13">
        <f t="shared" si="157"/>
        <v>41491481.037852503</v>
      </c>
      <c r="J548" s="15">
        <f t="shared" si="158"/>
        <v>0.80762151993658604</v>
      </c>
      <c r="K548" s="13">
        <f t="shared" si="159"/>
        <v>8560843.7336747833</v>
      </c>
      <c r="L548" s="13">
        <f t="shared" si="160"/>
        <v>997223258.2572608</v>
      </c>
      <c r="M548" s="15">
        <f t="shared" si="161"/>
        <v>0.80762151993658604</v>
      </c>
      <c r="N548" s="13">
        <f t="shared" si="162"/>
        <v>159967.04826313353</v>
      </c>
      <c r="O548" s="13">
        <f t="shared" si="163"/>
        <v>32930637.304177679</v>
      </c>
      <c r="P548" s="15">
        <f t="shared" si="164"/>
        <v>0.75649214536177567</v>
      </c>
      <c r="Q548" s="7">
        <f t="shared" si="165"/>
        <v>43530706.175976656</v>
      </c>
      <c r="R548" s="7">
        <f t="shared" si="166"/>
        <v>10600068.871798977</v>
      </c>
      <c r="S548" s="13">
        <f>IF(Calc!$AD$32="Sim",R548,Q548)</f>
        <v>10600068.871798977</v>
      </c>
      <c r="T548" s="9">
        <f t="shared" si="167"/>
        <v>544</v>
      </c>
      <c r="U548" s="17">
        <f t="shared" ca="1" si="170"/>
        <v>62063</v>
      </c>
    </row>
    <row r="549" spans="2:21" x14ac:dyDescent="0.2">
      <c r="B549" s="17">
        <f t="shared" ca="1" si="168"/>
        <v>62063</v>
      </c>
      <c r="C549" s="9">
        <f t="shared" si="171"/>
        <v>545</v>
      </c>
      <c r="D549" s="9"/>
      <c r="E549" s="13">
        <f t="shared" si="169"/>
        <v>9169.5354268013325</v>
      </c>
      <c r="F549" s="14">
        <f t="shared" si="154"/>
        <v>2048394.6735509958</v>
      </c>
      <c r="G549" s="15">
        <f t="shared" si="155"/>
        <v>0.19187539084317201</v>
      </c>
      <c r="H549" s="13">
        <f t="shared" si="156"/>
        <v>433464.81536699767</v>
      </c>
      <c r="I549" s="13">
        <f t="shared" si="157"/>
        <v>41924945.853219502</v>
      </c>
      <c r="J549" s="15">
        <f t="shared" si="158"/>
        <v>0.80812460915682793</v>
      </c>
      <c r="K549" s="13">
        <f t="shared" si="159"/>
        <v>8627256.1462314986</v>
      </c>
      <c r="L549" s="13">
        <f t="shared" si="160"/>
        <v>1005850514.4034923</v>
      </c>
      <c r="M549" s="15">
        <f t="shared" si="161"/>
        <v>0.80812460915682804</v>
      </c>
      <c r="N549" s="13">
        <f t="shared" si="162"/>
        <v>161593.64513638685</v>
      </c>
      <c r="O549" s="13">
        <f t="shared" si="163"/>
        <v>33297689.706987962</v>
      </c>
      <c r="P549" s="15">
        <f t="shared" si="164"/>
        <v>0.75722447528671866</v>
      </c>
      <c r="Q549" s="7">
        <f t="shared" si="165"/>
        <v>43973340.526770458</v>
      </c>
      <c r="R549" s="7">
        <f t="shared" si="166"/>
        <v>10675650.819782494</v>
      </c>
      <c r="S549" s="13">
        <f>IF(Calc!$AD$32="Sim",R549,Q549)</f>
        <v>10675650.819782494</v>
      </c>
      <c r="T549" s="9">
        <f t="shared" si="167"/>
        <v>545</v>
      </c>
      <c r="U549" s="17">
        <f t="shared" ca="1" si="170"/>
        <v>62094</v>
      </c>
    </row>
    <row r="550" spans="2:21" x14ac:dyDescent="0.2">
      <c r="B550" s="17">
        <f t="shared" ca="1" si="168"/>
        <v>62094</v>
      </c>
      <c r="C550" s="9">
        <f t="shared" si="171"/>
        <v>546</v>
      </c>
      <c r="D550" s="9"/>
      <c r="E550" s="13">
        <f t="shared" si="169"/>
        <v>9206.8932491686701</v>
      </c>
      <c r="F550" s="14">
        <f t="shared" si="154"/>
        <v>2057601.5668001645</v>
      </c>
      <c r="G550" s="15">
        <f t="shared" si="155"/>
        <v>0.19137375889496164</v>
      </c>
      <c r="H550" s="13">
        <f t="shared" si="156"/>
        <v>437872.42631560692</v>
      </c>
      <c r="I550" s="13">
        <f t="shared" si="157"/>
        <v>42362818.279535107</v>
      </c>
      <c r="J550" s="15">
        <f t="shared" si="158"/>
        <v>0.80862624110503833</v>
      </c>
      <c r="K550" s="13">
        <f t="shared" si="159"/>
        <v>8694141.9255221561</v>
      </c>
      <c r="L550" s="13">
        <f t="shared" si="160"/>
        <v>1014544656.3290145</v>
      </c>
      <c r="M550" s="15">
        <f t="shared" si="161"/>
        <v>0.80862624110503845</v>
      </c>
      <c r="N550" s="13">
        <f t="shared" si="162"/>
        <v>163236.5764226644</v>
      </c>
      <c r="O550" s="13">
        <f t="shared" si="163"/>
        <v>33668676.354012914</v>
      </c>
      <c r="P550" s="15">
        <f t="shared" si="164"/>
        <v>0.75795493312498807</v>
      </c>
      <c r="Q550" s="7">
        <f t="shared" si="165"/>
        <v>44420419.846335232</v>
      </c>
      <c r="R550" s="7">
        <f t="shared" si="166"/>
        <v>10751743.49232232</v>
      </c>
      <c r="S550" s="13">
        <f>IF(Calc!$AD$32="Sim",R550,Q550)</f>
        <v>10751743.49232232</v>
      </c>
      <c r="T550" s="9">
        <f t="shared" si="167"/>
        <v>546</v>
      </c>
      <c r="U550" s="17">
        <f t="shared" ca="1" si="170"/>
        <v>62125</v>
      </c>
    </row>
    <row r="551" spans="2:21" x14ac:dyDescent="0.2">
      <c r="B551" s="17">
        <f t="shared" ca="1" si="168"/>
        <v>62125</v>
      </c>
      <c r="C551" s="9">
        <f t="shared" si="171"/>
        <v>547</v>
      </c>
      <c r="D551" s="9"/>
      <c r="E551" s="13">
        <f t="shared" si="169"/>
        <v>9244.4032719286188</v>
      </c>
      <c r="F551" s="14">
        <f t="shared" si="154"/>
        <v>2066845.9700720932</v>
      </c>
      <c r="G551" s="15">
        <f t="shared" si="155"/>
        <v>0.19087357947714517</v>
      </c>
      <c r="H551" s="13">
        <f t="shared" si="156"/>
        <v>442324.29883809993</v>
      </c>
      <c r="I551" s="13">
        <f t="shared" si="157"/>
        <v>42805142.578373209</v>
      </c>
      <c r="J551" s="15">
        <f t="shared" si="158"/>
        <v>0.80912642052285477</v>
      </c>
      <c r="K551" s="13">
        <f t="shared" si="159"/>
        <v>8761504.2695668787</v>
      </c>
      <c r="L551" s="13">
        <f t="shared" si="160"/>
        <v>1023306160.5985814</v>
      </c>
      <c r="M551" s="15">
        <f t="shared" si="161"/>
        <v>0.80912642052285488</v>
      </c>
      <c r="N551" s="13">
        <f t="shared" si="162"/>
        <v>164896.00533412141</v>
      </c>
      <c r="O551" s="13">
        <f t="shared" si="163"/>
        <v>34043638.308806293</v>
      </c>
      <c r="P551" s="15">
        <f t="shared" si="164"/>
        <v>0.75868352194937094</v>
      </c>
      <c r="Q551" s="7">
        <f t="shared" si="165"/>
        <v>44871988.548445262</v>
      </c>
      <c r="R551" s="7">
        <f t="shared" si="166"/>
        <v>10828350.239638971</v>
      </c>
      <c r="S551" s="13">
        <f>IF(Calc!$AD$32="Sim",R551,Q551)</f>
        <v>10828350.239638971</v>
      </c>
      <c r="T551" s="9">
        <f t="shared" si="167"/>
        <v>547</v>
      </c>
      <c r="U551" s="17">
        <f t="shared" ca="1" si="170"/>
        <v>62153</v>
      </c>
    </row>
    <row r="552" spans="2:21" x14ac:dyDescent="0.2">
      <c r="B552" s="17">
        <f t="shared" ca="1" si="168"/>
        <v>62153</v>
      </c>
      <c r="C552" s="9">
        <f t="shared" si="171"/>
        <v>548</v>
      </c>
      <c r="D552" s="9"/>
      <c r="E552" s="13">
        <f t="shared" si="169"/>
        <v>9282.0661151644199</v>
      </c>
      <c r="F552" s="14">
        <f t="shared" si="154"/>
        <v>2076128.0361872576</v>
      </c>
      <c r="G552" s="15">
        <f t="shared" si="155"/>
        <v>0.19037484786543518</v>
      </c>
      <c r="H552" s="13">
        <f t="shared" si="156"/>
        <v>446820.87519260118</v>
      </c>
      <c r="I552" s="13">
        <f t="shared" si="157"/>
        <v>43251963.453565806</v>
      </c>
      <c r="J552" s="15">
        <f t="shared" si="158"/>
        <v>0.80962515213456476</v>
      </c>
      <c r="K552" s="13">
        <f t="shared" si="159"/>
        <v>8829346.3973616045</v>
      </c>
      <c r="L552" s="13">
        <f t="shared" si="160"/>
        <v>1032135506.9959431</v>
      </c>
      <c r="M552" s="15">
        <f t="shared" si="161"/>
        <v>0.80962515213456476</v>
      </c>
      <c r="N552" s="13">
        <f t="shared" si="162"/>
        <v>166572.09671040604</v>
      </c>
      <c r="O552" s="13">
        <f t="shared" si="163"/>
        <v>34422617.056204163</v>
      </c>
      <c r="P552" s="15">
        <f t="shared" si="164"/>
        <v>0.75941024483649</v>
      </c>
      <c r="Q552" s="7">
        <f t="shared" si="165"/>
        <v>45328091.489753023</v>
      </c>
      <c r="R552" s="7">
        <f t="shared" si="166"/>
        <v>10905474.433548862</v>
      </c>
      <c r="S552" s="13">
        <f>IF(Calc!$AD$32="Sim",R552,Q552)</f>
        <v>10905474.433548862</v>
      </c>
      <c r="T552" s="9">
        <f t="shared" si="167"/>
        <v>548</v>
      </c>
      <c r="U552" s="17">
        <f t="shared" ca="1" si="170"/>
        <v>62184</v>
      </c>
    </row>
    <row r="553" spans="2:21" x14ac:dyDescent="0.2">
      <c r="B553" s="17">
        <f t="shared" ca="1" si="168"/>
        <v>62184</v>
      </c>
      <c r="C553" s="9">
        <f t="shared" si="171"/>
        <v>549</v>
      </c>
      <c r="D553" s="9"/>
      <c r="E553" s="13">
        <f t="shared" si="169"/>
        <v>9319.8824014856073</v>
      </c>
      <c r="F553" s="14">
        <f t="shared" si="154"/>
        <v>2085447.9185887433</v>
      </c>
      <c r="G553" s="15">
        <f t="shared" si="155"/>
        <v>0.18987755935282233</v>
      </c>
      <c r="H553" s="13">
        <f t="shared" si="156"/>
        <v>451362.60204727418</v>
      </c>
      <c r="I553" s="13">
        <f t="shared" si="157"/>
        <v>43703326.055613078</v>
      </c>
      <c r="J553" s="15">
        <f t="shared" si="158"/>
        <v>0.81012244064717764</v>
      </c>
      <c r="K553" s="13">
        <f t="shared" si="159"/>
        <v>8897671.5490132906</v>
      </c>
      <c r="L553" s="13">
        <f t="shared" si="160"/>
        <v>1041033178.5449563</v>
      </c>
      <c r="M553" s="15">
        <f t="shared" si="161"/>
        <v>0.81012244064717776</v>
      </c>
      <c r="N553" s="13">
        <f t="shared" si="162"/>
        <v>168265.01703487497</v>
      </c>
      <c r="O553" s="13">
        <f t="shared" si="163"/>
        <v>34805654.506599754</v>
      </c>
      <c r="P553" s="15">
        <f t="shared" si="164"/>
        <v>0.76013510486674929</v>
      </c>
      <c r="Q553" s="7">
        <f t="shared" si="165"/>
        <v>45788773.974201784</v>
      </c>
      <c r="R553" s="7">
        <f t="shared" si="166"/>
        <v>10983119.467602033</v>
      </c>
      <c r="S553" s="13">
        <f>IF(Calc!$AD$32="Sim",R553,Q553)</f>
        <v>10983119.467602033</v>
      </c>
      <c r="T553" s="9">
        <f t="shared" si="167"/>
        <v>549</v>
      </c>
      <c r="U553" s="17">
        <f t="shared" ca="1" si="170"/>
        <v>62214</v>
      </c>
    </row>
    <row r="554" spans="2:21" x14ac:dyDescent="0.2">
      <c r="B554" s="17">
        <f t="shared" ca="1" si="168"/>
        <v>62214</v>
      </c>
      <c r="C554" s="9">
        <f t="shared" si="171"/>
        <v>550</v>
      </c>
      <c r="D554" s="9"/>
      <c r="E554" s="13">
        <f t="shared" si="169"/>
        <v>9357.8527560383063</v>
      </c>
      <c r="F554" s="14">
        <f t="shared" si="154"/>
        <v>2094805.7713447816</v>
      </c>
      <c r="G554" s="15">
        <f t="shared" si="155"/>
        <v>0.1893817092495034</v>
      </c>
      <c r="H554" s="13">
        <f t="shared" si="156"/>
        <v>455949.93052426074</v>
      </c>
      <c r="I554" s="13">
        <f t="shared" si="157"/>
        <v>44159275.986137338</v>
      </c>
      <c r="J554" s="15">
        <f t="shared" si="158"/>
        <v>0.81061829075049663</v>
      </c>
      <c r="K554" s="13">
        <f t="shared" si="159"/>
        <v>8966482.9858759735</v>
      </c>
      <c r="L554" s="13">
        <f t="shared" si="160"/>
        <v>1049999661.5308323</v>
      </c>
      <c r="M554" s="15">
        <f t="shared" si="161"/>
        <v>0.81061829075049663</v>
      </c>
      <c r="N554" s="13">
        <f t="shared" si="162"/>
        <v>169974.93445096983</v>
      </c>
      <c r="O554" s="13">
        <f t="shared" si="163"/>
        <v>35192793.000261329</v>
      </c>
      <c r="P554" s="15">
        <f t="shared" si="164"/>
        <v>0.76085810512427965</v>
      </c>
      <c r="Q554" s="7">
        <f t="shared" si="165"/>
        <v>46254081.757482082</v>
      </c>
      <c r="R554" s="7">
        <f t="shared" si="166"/>
        <v>11061288.757220754</v>
      </c>
      <c r="S554" s="13">
        <f>IF(Calc!$AD$32="Sim",R554,Q554)</f>
        <v>11061288.757220754</v>
      </c>
      <c r="T554" s="9">
        <f t="shared" si="167"/>
        <v>550</v>
      </c>
      <c r="U554" s="17">
        <f t="shared" ca="1" si="170"/>
        <v>62245</v>
      </c>
    </row>
    <row r="555" spans="2:21" x14ac:dyDescent="0.2">
      <c r="B555" s="17">
        <f t="shared" ca="1" si="168"/>
        <v>62245</v>
      </c>
      <c r="C555" s="9">
        <f t="shared" si="171"/>
        <v>551</v>
      </c>
      <c r="D555" s="9"/>
      <c r="E555" s="13">
        <f t="shared" si="169"/>
        <v>9395.9778065155606</v>
      </c>
      <c r="F555" s="14">
        <f t="shared" si="154"/>
        <v>2104201.7491512974</v>
      </c>
      <c r="G555" s="15">
        <f t="shared" si="155"/>
        <v>0.18888729288281009</v>
      </c>
      <c r="H555" s="13">
        <f t="shared" si="156"/>
        <v>460583.31624405709</v>
      </c>
      <c r="I555" s="13">
        <f t="shared" si="157"/>
        <v>44619859.302381396</v>
      </c>
      <c r="J555" s="15">
        <f t="shared" si="158"/>
        <v>0.81111270711718997</v>
      </c>
      <c r="K555" s="13">
        <f t="shared" si="159"/>
        <v>9035783.9906877056</v>
      </c>
      <c r="L555" s="13">
        <f t="shared" si="160"/>
        <v>1059035445.52152</v>
      </c>
      <c r="M555" s="15">
        <f t="shared" si="161"/>
        <v>0.81111270711718997</v>
      </c>
      <c r="N555" s="13">
        <f t="shared" si="162"/>
        <v>171702.01877875757</v>
      </c>
      <c r="O555" s="13">
        <f t="shared" si="163"/>
        <v>35584075.311693653</v>
      </c>
      <c r="P555" s="15">
        <f t="shared" si="164"/>
        <v>0.76157924869688554</v>
      </c>
      <c r="Q555" s="7">
        <f t="shared" si="165"/>
        <v>46724061.051532656</v>
      </c>
      <c r="R555" s="7">
        <f t="shared" si="166"/>
        <v>11139985.739839002</v>
      </c>
      <c r="S555" s="13">
        <f>IF(Calc!$AD$32="Sim",R555,Q555)</f>
        <v>11139985.739839002</v>
      </c>
      <c r="T555" s="9">
        <f t="shared" si="167"/>
        <v>551</v>
      </c>
      <c r="U555" s="17">
        <f t="shared" ca="1" si="170"/>
        <v>62275</v>
      </c>
    </row>
    <row r="556" spans="2:21" x14ac:dyDescent="0.2">
      <c r="B556" s="17">
        <f t="shared" ca="1" si="168"/>
        <v>62275</v>
      </c>
      <c r="C556" s="9">
        <f t="shared" si="171"/>
        <v>552</v>
      </c>
      <c r="D556" s="9">
        <v>46</v>
      </c>
      <c r="E556" s="13">
        <f t="shared" si="169"/>
        <v>9434.258183167718</v>
      </c>
      <c r="F556" s="14">
        <f t="shared" si="154"/>
        <v>2113636.0073344652</v>
      </c>
      <c r="G556" s="15">
        <f t="shared" si="155"/>
        <v>0.18839430559713763</v>
      </c>
      <c r="H556" s="13">
        <f t="shared" si="156"/>
        <v>465263.21937033284</v>
      </c>
      <c r="I556" s="13">
        <f t="shared" si="157"/>
        <v>45085122.521751732</v>
      </c>
      <c r="J556" s="15">
        <f t="shared" si="158"/>
        <v>0.81160569440286234</v>
      </c>
      <c r="K556" s="13">
        <f t="shared" si="159"/>
        <v>9105577.8677083626</v>
      </c>
      <c r="L556" s="13">
        <f t="shared" si="160"/>
        <v>1068141023.3892283</v>
      </c>
      <c r="M556" s="15">
        <f t="shared" si="161"/>
        <v>0.81160569440286234</v>
      </c>
      <c r="N556" s="13">
        <f t="shared" si="162"/>
        <v>173446.44153163483</v>
      </c>
      <c r="O556" s="13">
        <f t="shared" si="163"/>
        <v>35979544.654043332</v>
      </c>
      <c r="P556" s="15">
        <f t="shared" si="164"/>
        <v>0.76229853867599073</v>
      </c>
      <c r="Q556" s="7">
        <f t="shared" si="165"/>
        <v>47198758.529086158</v>
      </c>
      <c r="R556" s="7">
        <f t="shared" si="166"/>
        <v>11219213.875042828</v>
      </c>
      <c r="S556" s="13">
        <f>IF(Calc!$AD$32="Sim",R556,Q556)</f>
        <v>11219213.875042828</v>
      </c>
      <c r="T556" s="9">
        <f t="shared" si="167"/>
        <v>552</v>
      </c>
      <c r="U556" s="17">
        <f t="shared" ca="1" si="170"/>
        <v>62306</v>
      </c>
    </row>
    <row r="557" spans="2:21" x14ac:dyDescent="0.2">
      <c r="B557" s="17">
        <f t="shared" ca="1" si="168"/>
        <v>62306</v>
      </c>
      <c r="C557" s="9">
        <f t="shared" si="171"/>
        <v>553</v>
      </c>
      <c r="D557" s="9"/>
      <c r="E557" s="13">
        <f t="shared" si="169"/>
        <v>9472.6945188128411</v>
      </c>
      <c r="F557" s="14">
        <f t="shared" ref="F557:F604" si="172">F556+E557</f>
        <v>2123108.7018532781</v>
      </c>
      <c r="G557" s="15">
        <f t="shared" ref="G557:G604" si="173">IF(F557&lt;=0,0,F557/S557)</f>
        <v>0.18790274275387431</v>
      </c>
      <c r="H557" s="13">
        <f t="shared" ref="H557:H604" si="174">Q556*Taxa</f>
        <v>469990.10465519561</v>
      </c>
      <c r="I557" s="13">
        <f t="shared" ref="I557:I604" si="175">I556+H557</f>
        <v>45555112.62640693</v>
      </c>
      <c r="J557" s="15">
        <f t="shared" ref="J557:J604" si="176">1-G557</f>
        <v>0.81209725724612569</v>
      </c>
      <c r="K557" s="13">
        <f t="shared" ref="K557:K604" si="177">R557-F557</f>
        <v>9175867.9428583235</v>
      </c>
      <c r="L557" s="13">
        <f t="shared" ref="L557:L604" si="178">L556+K557</f>
        <v>1077316891.3320866</v>
      </c>
      <c r="M557" s="15">
        <f t="shared" ref="M557:M604" si="179">K557/R557</f>
        <v>0.81209725724612558</v>
      </c>
      <c r="N557" s="13">
        <f t="shared" ref="N557:N604" si="180">Q557*Inflação</f>
        <v>175208.37593319925</v>
      </c>
      <c r="O557" s="13">
        <f t="shared" ref="O557:O604" si="181">Q557-R557</f>
        <v>36379244.68354857</v>
      </c>
      <c r="P557" s="15">
        <f t="shared" ref="P557:P604" si="182">O557/Q557</f>
        <v>0.76301597815658462</v>
      </c>
      <c r="Q557" s="7">
        <f t="shared" ref="Q557:Q604" si="183">Q556+E557+H557</f>
        <v>47678221.328260168</v>
      </c>
      <c r="R557" s="7">
        <f t="shared" ref="R557:R604" si="184">(R556+E557)*(1+((1+Taxa)/(1+Inflação)-1))</f>
        <v>11298976.644711602</v>
      </c>
      <c r="S557" s="13">
        <f>IF(Calc!$AD$32="Sim",R557,Q557)</f>
        <v>11298976.644711602</v>
      </c>
      <c r="T557" s="9">
        <f t="shared" ref="T557:T604" si="185">C557</f>
        <v>553</v>
      </c>
      <c r="U557" s="17">
        <f t="shared" ca="1" si="170"/>
        <v>62337</v>
      </c>
    </row>
    <row r="558" spans="2:21" x14ac:dyDescent="0.2">
      <c r="B558" s="17">
        <f t="shared" ca="1" si="168"/>
        <v>62337</v>
      </c>
      <c r="C558" s="9">
        <f t="shared" si="171"/>
        <v>554</v>
      </c>
      <c r="D558" s="9"/>
      <c r="E558" s="13">
        <f t="shared" si="169"/>
        <v>9511.2874488471716</v>
      </c>
      <c r="F558" s="14">
        <f t="shared" si="172"/>
        <v>2132619.9893021253</v>
      </c>
      <c r="G558" s="15">
        <f t="shared" si="173"/>
        <v>0.18741259973133073</v>
      </c>
      <c r="H558" s="13">
        <f t="shared" si="174"/>
        <v>474764.44148490689</v>
      </c>
      <c r="I558" s="13">
        <f t="shared" si="175"/>
        <v>46029877.067891836</v>
      </c>
      <c r="J558" s="15">
        <f t="shared" si="176"/>
        <v>0.81258740026866927</v>
      </c>
      <c r="K558" s="13">
        <f t="shared" si="177"/>
        <v>9246657.5638580546</v>
      </c>
      <c r="L558" s="13">
        <f t="shared" si="178"/>
        <v>1086563548.8959446</v>
      </c>
      <c r="M558" s="15">
        <f t="shared" si="179"/>
        <v>0.81258740026866927</v>
      </c>
      <c r="N558" s="13">
        <f t="shared" si="180"/>
        <v>176987.99693428841</v>
      </c>
      <c r="O558" s="13">
        <f t="shared" si="181"/>
        <v>36783219.504033744</v>
      </c>
      <c r="P558" s="15">
        <f t="shared" si="182"/>
        <v>0.76373157023716898</v>
      </c>
      <c r="Q558" s="7">
        <f t="shared" si="183"/>
        <v>48162497.05719392</v>
      </c>
      <c r="R558" s="7">
        <f t="shared" si="184"/>
        <v>11379277.553160179</v>
      </c>
      <c r="S558" s="13">
        <f>IF(Calc!$AD$32="Sim",R558,Q558)</f>
        <v>11379277.553160179</v>
      </c>
      <c r="T558" s="9">
        <f t="shared" si="185"/>
        <v>554</v>
      </c>
      <c r="U558" s="17">
        <f t="shared" ca="1" si="170"/>
        <v>62367</v>
      </c>
    </row>
    <row r="559" spans="2:21" x14ac:dyDescent="0.2">
      <c r="B559" s="17">
        <f t="shared" ca="1" si="168"/>
        <v>62367</v>
      </c>
      <c r="C559" s="9">
        <f t="shared" si="171"/>
        <v>555</v>
      </c>
      <c r="D559" s="9"/>
      <c r="E559" s="13">
        <f t="shared" si="169"/>
        <v>9550.0376112556351</v>
      </c>
      <c r="F559" s="14">
        <f t="shared" si="172"/>
        <v>2142170.0269133807</v>
      </c>
      <c r="G559" s="15">
        <f t="shared" si="173"/>
        <v>0.18692387192467014</v>
      </c>
      <c r="H559" s="13">
        <f t="shared" si="174"/>
        <v>479586.70392605319</v>
      </c>
      <c r="I559" s="13">
        <f t="shared" si="175"/>
        <v>46509463.771817893</v>
      </c>
      <c r="J559" s="15">
        <f t="shared" si="176"/>
        <v>0.81307612807532981</v>
      </c>
      <c r="K559" s="13">
        <f t="shared" si="177"/>
        <v>9317950.1003685426</v>
      </c>
      <c r="L559" s="13">
        <f t="shared" si="178"/>
        <v>1095881498.9963131</v>
      </c>
      <c r="M559" s="15">
        <f t="shared" si="179"/>
        <v>0.81307612807532992</v>
      </c>
      <c r="N559" s="13">
        <f t="shared" si="180"/>
        <v>178785.48123018877</v>
      </c>
      <c r="O559" s="13">
        <f t="shared" si="181"/>
        <v>37191513.671449304</v>
      </c>
      <c r="P559" s="15">
        <f t="shared" si="182"/>
        <v>0.76444531801970461</v>
      </c>
      <c r="Q559" s="7">
        <f t="shared" si="183"/>
        <v>48651633.79873123</v>
      </c>
      <c r="R559" s="7">
        <f t="shared" si="184"/>
        <v>11460120.127281923</v>
      </c>
      <c r="S559" s="13">
        <f>IF(Calc!$AD$32="Sim",R559,Q559)</f>
        <v>11460120.127281923</v>
      </c>
      <c r="T559" s="9">
        <f t="shared" si="185"/>
        <v>555</v>
      </c>
      <c r="U559" s="17">
        <f t="shared" ca="1" si="170"/>
        <v>62398</v>
      </c>
    </row>
    <row r="560" spans="2:21" x14ac:dyDescent="0.2">
      <c r="B560" s="17">
        <f t="shared" ca="1" si="168"/>
        <v>62398</v>
      </c>
      <c r="C560" s="9">
        <f t="shared" si="171"/>
        <v>556</v>
      </c>
      <c r="D560" s="9"/>
      <c r="E560" s="13">
        <f t="shared" si="169"/>
        <v>9588.9456466223874</v>
      </c>
      <c r="F560" s="14">
        <f t="shared" si="172"/>
        <v>2151758.9725600029</v>
      </c>
      <c r="G560" s="15">
        <f t="shared" si="173"/>
        <v>0.18643655474583851</v>
      </c>
      <c r="H560" s="13">
        <f t="shared" si="174"/>
        <v>484457.37077217695</v>
      </c>
      <c r="I560" s="13">
        <f t="shared" si="175"/>
        <v>46993921.142590068</v>
      </c>
      <c r="J560" s="15">
        <f t="shared" si="176"/>
        <v>0.81356344525416147</v>
      </c>
      <c r="K560" s="13">
        <f t="shared" si="177"/>
        <v>9389748.9441326745</v>
      </c>
      <c r="L560" s="13">
        <f t="shared" si="178"/>
        <v>1105271247.9404457</v>
      </c>
      <c r="M560" s="15">
        <f t="shared" si="179"/>
        <v>0.81356344525416147</v>
      </c>
      <c r="N560" s="13">
        <f t="shared" si="180"/>
        <v>180601.00727801575</v>
      </c>
      <c r="O560" s="13">
        <f t="shared" si="181"/>
        <v>37604172.198457345</v>
      </c>
      <c r="P560" s="15">
        <f t="shared" si="182"/>
        <v>0.76515722460955815</v>
      </c>
      <c r="Q560" s="7">
        <f t="shared" si="183"/>
        <v>49145680.115150027</v>
      </c>
      <c r="R560" s="7">
        <f t="shared" si="184"/>
        <v>11541507.916692678</v>
      </c>
      <c r="S560" s="13">
        <f>IF(Calc!$AD$32="Sim",R560,Q560)</f>
        <v>11541507.916692678</v>
      </c>
      <c r="T560" s="9">
        <f t="shared" si="185"/>
        <v>556</v>
      </c>
      <c r="U560" s="17">
        <f t="shared" ca="1" si="170"/>
        <v>62428</v>
      </c>
    </row>
    <row r="561" spans="2:21" x14ac:dyDescent="0.2">
      <c r="B561" s="17">
        <f t="shared" ca="1" si="168"/>
        <v>62428</v>
      </c>
      <c r="C561" s="9">
        <f t="shared" si="171"/>
        <v>557</v>
      </c>
      <c r="D561" s="9"/>
      <c r="E561" s="13">
        <f t="shared" si="169"/>
        <v>9628.0121981414031</v>
      </c>
      <c r="F561" s="14">
        <f t="shared" si="172"/>
        <v>2161386.9847581442</v>
      </c>
      <c r="G561" s="15">
        <f t="shared" si="173"/>
        <v>0.1859506436234952</v>
      </c>
      <c r="H561" s="13">
        <f t="shared" si="174"/>
        <v>489376.92559087189</v>
      </c>
      <c r="I561" s="13">
        <f t="shared" si="175"/>
        <v>47483298.068180941</v>
      </c>
      <c r="J561" s="15">
        <f t="shared" si="176"/>
        <v>0.81404935637650477</v>
      </c>
      <c r="K561" s="13">
        <f t="shared" si="177"/>
        <v>9462057.5091174822</v>
      </c>
      <c r="L561" s="13">
        <f t="shared" si="178"/>
        <v>1114733305.449563</v>
      </c>
      <c r="M561" s="15">
        <f t="shared" si="179"/>
        <v>0.81404935637650477</v>
      </c>
      <c r="N561" s="13">
        <f t="shared" si="180"/>
        <v>182434.75531426724</v>
      </c>
      <c r="O561" s="13">
        <f t="shared" si="181"/>
        <v>38021240.55906342</v>
      </c>
      <c r="P561" s="15">
        <f t="shared" si="182"/>
        <v>0.7658672931154491</v>
      </c>
      <c r="Q561" s="7">
        <f t="shared" si="183"/>
        <v>49644685.052939042</v>
      </c>
      <c r="R561" s="7">
        <f t="shared" si="184"/>
        <v>11623444.493875626</v>
      </c>
      <c r="S561" s="13">
        <f>IF(Calc!$AD$32="Sim",R561,Q561)</f>
        <v>11623444.493875626</v>
      </c>
      <c r="T561" s="9">
        <f t="shared" si="185"/>
        <v>557</v>
      </c>
      <c r="U561" s="17">
        <f t="shared" ca="1" si="170"/>
        <v>62459</v>
      </c>
    </row>
    <row r="562" spans="2:21" x14ac:dyDescent="0.2">
      <c r="B562" s="17">
        <f t="shared" ca="1" si="168"/>
        <v>62459</v>
      </c>
      <c r="C562" s="9">
        <f t="shared" si="171"/>
        <v>558</v>
      </c>
      <c r="D562" s="9"/>
      <c r="E562" s="13">
        <f t="shared" si="169"/>
        <v>9667.2379116271077</v>
      </c>
      <c r="F562" s="14">
        <f t="shared" si="172"/>
        <v>2171054.2226697714</v>
      </c>
      <c r="G562" s="15">
        <f t="shared" si="173"/>
        <v>0.18546613400294409</v>
      </c>
      <c r="H562" s="13">
        <f t="shared" si="174"/>
        <v>494345.85677134758</v>
      </c>
      <c r="I562" s="13">
        <f t="shared" si="175"/>
        <v>47977643.924952291</v>
      </c>
      <c r="J562" s="15">
        <f t="shared" si="176"/>
        <v>0.81453386599705591</v>
      </c>
      <c r="K562" s="13">
        <f t="shared" si="177"/>
        <v>9534879.2316573039</v>
      </c>
      <c r="L562" s="13">
        <f t="shared" si="178"/>
        <v>1124268184.6812203</v>
      </c>
      <c r="M562" s="15">
        <f t="shared" si="179"/>
        <v>0.81453386599705591</v>
      </c>
      <c r="N562" s="13">
        <f t="shared" si="180"/>
        <v>184286.9073725515</v>
      </c>
      <c r="O562" s="13">
        <f t="shared" si="181"/>
        <v>38442764.693294942</v>
      </c>
      <c r="P562" s="15">
        <f t="shared" si="182"/>
        <v>0.7665755266493961</v>
      </c>
      <c r="Q562" s="7">
        <f t="shared" si="183"/>
        <v>50148698.147622019</v>
      </c>
      <c r="R562" s="7">
        <f t="shared" si="184"/>
        <v>11705933.454327075</v>
      </c>
      <c r="S562" s="13">
        <f>IF(Calc!$AD$32="Sim",R562,Q562)</f>
        <v>11705933.454327075</v>
      </c>
      <c r="T562" s="9">
        <f t="shared" si="185"/>
        <v>558</v>
      </c>
      <c r="U562" s="17">
        <f t="shared" ca="1" si="170"/>
        <v>62490</v>
      </c>
    </row>
    <row r="563" spans="2:21" x14ac:dyDescent="0.2">
      <c r="B563" s="17">
        <f t="shared" ca="1" si="168"/>
        <v>62490</v>
      </c>
      <c r="C563" s="9">
        <f t="shared" si="171"/>
        <v>559</v>
      </c>
      <c r="D563" s="9"/>
      <c r="E563" s="13">
        <f t="shared" si="169"/>
        <v>9706.6234355250544</v>
      </c>
      <c r="F563" s="14">
        <f t="shared" si="172"/>
        <v>2180760.8461052966</v>
      </c>
      <c r="G563" s="15">
        <f t="shared" si="173"/>
        <v>0.18498302134606465</v>
      </c>
      <c r="H563" s="13">
        <f t="shared" si="174"/>
        <v>499364.65757246746</v>
      </c>
      <c r="I563" s="13">
        <f t="shared" si="175"/>
        <v>48477008.582524762</v>
      </c>
      <c r="J563" s="15">
        <f t="shared" si="176"/>
        <v>0.81501697865393541</v>
      </c>
      <c r="K563" s="13">
        <f t="shared" si="177"/>
        <v>9608217.5705978666</v>
      </c>
      <c r="L563" s="13">
        <f t="shared" si="178"/>
        <v>1133876402.2518182</v>
      </c>
      <c r="M563" s="15">
        <f t="shared" si="179"/>
        <v>0.81501697865393541</v>
      </c>
      <c r="N563" s="13">
        <f t="shared" si="180"/>
        <v>186157.64730149214</v>
      </c>
      <c r="O563" s="13">
        <f t="shared" si="181"/>
        <v>38868791.011926852</v>
      </c>
      <c r="P563" s="15">
        <f t="shared" si="182"/>
        <v>0.76728192832666564</v>
      </c>
      <c r="Q563" s="7">
        <f t="shared" si="183"/>
        <v>50657769.428630017</v>
      </c>
      <c r="R563" s="7">
        <f t="shared" si="184"/>
        <v>11788978.416703163</v>
      </c>
      <c r="S563" s="13">
        <f>IF(Calc!$AD$32="Sim",R563,Q563)</f>
        <v>11788978.416703163</v>
      </c>
      <c r="T563" s="9">
        <f t="shared" si="185"/>
        <v>559</v>
      </c>
      <c r="U563" s="17">
        <f t="shared" ca="1" si="170"/>
        <v>62518</v>
      </c>
    </row>
    <row r="564" spans="2:21" x14ac:dyDescent="0.2">
      <c r="B564" s="17">
        <f t="shared" ca="1" si="168"/>
        <v>62518</v>
      </c>
      <c r="C564" s="9">
        <f t="shared" si="171"/>
        <v>560</v>
      </c>
      <c r="D564" s="9"/>
      <c r="E564" s="13">
        <f t="shared" si="169"/>
        <v>9746.1694209226462</v>
      </c>
      <c r="F564" s="14">
        <f t="shared" si="172"/>
        <v>2190507.0155262193</v>
      </c>
      <c r="G564" s="15">
        <f t="shared" si="173"/>
        <v>0.18450130113124391</v>
      </c>
      <c r="H564" s="13">
        <f t="shared" si="174"/>
        <v>504433.82617126568</v>
      </c>
      <c r="I564" s="13">
        <f t="shared" si="175"/>
        <v>48981442.408696026</v>
      </c>
      <c r="J564" s="15">
        <f t="shared" si="176"/>
        <v>0.81549869886875603</v>
      </c>
      <c r="K564" s="13">
        <f t="shared" si="177"/>
        <v>9682076.0074412711</v>
      </c>
      <c r="L564" s="13">
        <f t="shared" si="178"/>
        <v>1143558478.2592595</v>
      </c>
      <c r="M564" s="15">
        <f t="shared" si="179"/>
        <v>0.81549869886875603</v>
      </c>
      <c r="N564" s="13">
        <f t="shared" si="180"/>
        <v>188047.16078281088</v>
      </c>
      <c r="O564" s="13">
        <f t="shared" si="181"/>
        <v>39299366.401254714</v>
      </c>
      <c r="P564" s="15">
        <f t="shared" si="182"/>
        <v>0.76798650126571866</v>
      </c>
      <c r="Q564" s="7">
        <f t="shared" si="183"/>
        <v>51171949.424222201</v>
      </c>
      <c r="R564" s="7">
        <f t="shared" si="184"/>
        <v>11872583.022967491</v>
      </c>
      <c r="S564" s="13">
        <f>IF(Calc!$AD$32="Sim",R564,Q564)</f>
        <v>11872583.022967491</v>
      </c>
      <c r="T564" s="9">
        <f t="shared" si="185"/>
        <v>560</v>
      </c>
      <c r="U564" s="17">
        <f t="shared" ca="1" si="170"/>
        <v>62549</v>
      </c>
    </row>
    <row r="565" spans="2:21" x14ac:dyDescent="0.2">
      <c r="B565" s="17">
        <f t="shared" ca="1" si="168"/>
        <v>62549</v>
      </c>
      <c r="C565" s="9">
        <f t="shared" si="171"/>
        <v>561</v>
      </c>
      <c r="D565" s="9"/>
      <c r="E565" s="13">
        <f t="shared" si="169"/>
        <v>9785.8765215598942</v>
      </c>
      <c r="F565" s="14">
        <f t="shared" si="172"/>
        <v>2200292.8920477792</v>
      </c>
      <c r="G565" s="15">
        <f t="shared" si="173"/>
        <v>0.18402096885330829</v>
      </c>
      <c r="H565" s="13">
        <f t="shared" si="174"/>
        <v>509553.86571194674</v>
      </c>
      <c r="I565" s="13">
        <f t="shared" si="175"/>
        <v>49490996.274407975</v>
      </c>
      <c r="J565" s="15">
        <f t="shared" si="176"/>
        <v>0.81597903114669168</v>
      </c>
      <c r="K565" s="13">
        <f t="shared" si="177"/>
        <v>9756458.0464919228</v>
      </c>
      <c r="L565" s="13">
        <f t="shared" si="178"/>
        <v>1153314936.3057513</v>
      </c>
      <c r="M565" s="15">
        <f t="shared" si="179"/>
        <v>0.81597903114669168</v>
      </c>
      <c r="N565" s="13">
        <f t="shared" si="180"/>
        <v>189955.63534959103</v>
      </c>
      <c r="O565" s="13">
        <f t="shared" si="181"/>
        <v>39734538.227916002</v>
      </c>
      <c r="P565" s="15">
        <f t="shared" si="182"/>
        <v>0.76868924858815746</v>
      </c>
      <c r="Q565" s="7">
        <f t="shared" si="183"/>
        <v>51691289.166455708</v>
      </c>
      <c r="R565" s="7">
        <f t="shared" si="184"/>
        <v>11956750.938539702</v>
      </c>
      <c r="S565" s="13">
        <f>IF(Calc!$AD$32="Sim",R565,Q565)</f>
        <v>11956750.938539702</v>
      </c>
      <c r="T565" s="9">
        <f t="shared" si="185"/>
        <v>561</v>
      </c>
      <c r="U565" s="17">
        <f t="shared" ca="1" si="170"/>
        <v>62579</v>
      </c>
    </row>
    <row r="566" spans="2:21" x14ac:dyDescent="0.2">
      <c r="B566" s="17">
        <f t="shared" ca="1" si="168"/>
        <v>62579</v>
      </c>
      <c r="C566" s="9">
        <f t="shared" si="171"/>
        <v>562</v>
      </c>
      <c r="D566" s="9"/>
      <c r="E566" s="13">
        <f t="shared" si="169"/>
        <v>9825.7453938402268</v>
      </c>
      <c r="F566" s="14">
        <f t="shared" si="172"/>
        <v>2210118.6374416193</v>
      </c>
      <c r="G566" s="15">
        <f t="shared" si="173"/>
        <v>0.18354202002345593</v>
      </c>
      <c r="H566" s="13">
        <f t="shared" si="174"/>
        <v>514725.28435537382</v>
      </c>
      <c r="I566" s="13">
        <f t="shared" si="175"/>
        <v>50005721.558763348</v>
      </c>
      <c r="J566" s="15">
        <f t="shared" si="176"/>
        <v>0.81645797997654412</v>
      </c>
      <c r="K566" s="13">
        <f t="shared" si="177"/>
        <v>9831367.2150033675</v>
      </c>
      <c r="L566" s="13">
        <f t="shared" si="178"/>
        <v>1163146303.5207546</v>
      </c>
      <c r="M566" s="15">
        <f t="shared" si="179"/>
        <v>0.81645797997654401</v>
      </c>
      <c r="N566" s="13">
        <f t="shared" si="180"/>
        <v>191883.26040472227</v>
      </c>
      <c r="O566" s="13">
        <f t="shared" si="181"/>
        <v>40174354.343759939</v>
      </c>
      <c r="P566" s="15">
        <f t="shared" si="182"/>
        <v>0.76939017341867522</v>
      </c>
      <c r="Q566" s="7">
        <f t="shared" si="183"/>
        <v>52215840.196204923</v>
      </c>
      <c r="R566" s="7">
        <f t="shared" si="184"/>
        <v>12041485.852444988</v>
      </c>
      <c r="S566" s="13">
        <f>IF(Calc!$AD$32="Sim",R566,Q566)</f>
        <v>12041485.852444988</v>
      </c>
      <c r="T566" s="9">
        <f t="shared" si="185"/>
        <v>562</v>
      </c>
      <c r="U566" s="17">
        <f t="shared" ca="1" si="170"/>
        <v>62610</v>
      </c>
    </row>
    <row r="567" spans="2:21" x14ac:dyDescent="0.2">
      <c r="B567" s="17">
        <f t="shared" ca="1" si="168"/>
        <v>62610</v>
      </c>
      <c r="C567" s="9">
        <f t="shared" si="171"/>
        <v>563</v>
      </c>
      <c r="D567" s="9"/>
      <c r="E567" s="13">
        <f t="shared" si="169"/>
        <v>9865.7766968413453</v>
      </c>
      <c r="F567" s="14">
        <f t="shared" si="172"/>
        <v>2219984.4141384605</v>
      </c>
      <c r="G567" s="15">
        <f t="shared" si="173"/>
        <v>0.1830644501691896</v>
      </c>
      <c r="H567" s="13">
        <f t="shared" si="174"/>
        <v>519948.59532904904</v>
      </c>
      <c r="I567" s="13">
        <f t="shared" si="175"/>
        <v>50525670.154092394</v>
      </c>
      <c r="J567" s="15">
        <f t="shared" si="176"/>
        <v>0.8169355498308104</v>
      </c>
      <c r="K567" s="13">
        <f t="shared" si="177"/>
        <v>9906807.0633260813</v>
      </c>
      <c r="L567" s="13">
        <f t="shared" si="178"/>
        <v>1173053110.5840807</v>
      </c>
      <c r="M567" s="15">
        <f t="shared" si="179"/>
        <v>0.8169355498308104</v>
      </c>
      <c r="N567" s="13">
        <f t="shared" si="180"/>
        <v>193830.22723952951</v>
      </c>
      <c r="O567" s="13">
        <f t="shared" si="181"/>
        <v>40618863.090766266</v>
      </c>
      <c r="P567" s="15">
        <f t="shared" si="182"/>
        <v>0.77008927888500189</v>
      </c>
      <c r="Q567" s="7">
        <f t="shared" si="183"/>
        <v>52745654.568230808</v>
      </c>
      <c r="R567" s="7">
        <f t="shared" si="184"/>
        <v>12126791.477464542</v>
      </c>
      <c r="S567" s="13">
        <f>IF(Calc!$AD$32="Sim",R567,Q567)</f>
        <v>12126791.477464542</v>
      </c>
      <c r="T567" s="9">
        <f t="shared" si="185"/>
        <v>563</v>
      </c>
      <c r="U567" s="17">
        <f t="shared" ca="1" si="170"/>
        <v>62640</v>
      </c>
    </row>
    <row r="568" spans="2:21" x14ac:dyDescent="0.2">
      <c r="B568" s="17">
        <f t="shared" ca="1" si="168"/>
        <v>62640</v>
      </c>
      <c r="C568" s="9">
        <f t="shared" si="171"/>
        <v>564</v>
      </c>
      <c r="D568" s="9">
        <v>47</v>
      </c>
      <c r="E568" s="13">
        <f t="shared" si="169"/>
        <v>9905.97109232611</v>
      </c>
      <c r="F568" s="14">
        <f t="shared" si="172"/>
        <v>2229890.3852307866</v>
      </c>
      <c r="G568" s="15">
        <f t="shared" si="173"/>
        <v>0.18258825483424934</v>
      </c>
      <c r="H568" s="13">
        <f t="shared" si="174"/>
        <v>525224.31697759242</v>
      </c>
      <c r="I568" s="13">
        <f t="shared" si="175"/>
        <v>51050894.471069984</v>
      </c>
      <c r="J568" s="15">
        <f t="shared" si="176"/>
        <v>0.81741174516575066</v>
      </c>
      <c r="K568" s="13">
        <f t="shared" si="177"/>
        <v>9982781.1650561951</v>
      </c>
      <c r="L568" s="13">
        <f t="shared" si="178"/>
        <v>1183035891.7491369</v>
      </c>
      <c r="M568" s="15">
        <f t="shared" si="179"/>
        <v>0.81741174516575066</v>
      </c>
      <c r="N568" s="13">
        <f t="shared" si="180"/>
        <v>195796.72905258735</v>
      </c>
      <c r="O568" s="13">
        <f t="shared" si="181"/>
        <v>41068113.306013748</v>
      </c>
      <c r="P568" s="15">
        <f t="shared" si="182"/>
        <v>0.77078656811785373</v>
      </c>
      <c r="Q568" s="7">
        <f t="shared" si="183"/>
        <v>53280784.856300727</v>
      </c>
      <c r="R568" s="7">
        <f t="shared" si="184"/>
        <v>12212671.550286982</v>
      </c>
      <c r="S568" s="13">
        <f>IF(Calc!$AD$32="Sim",R568,Q568)</f>
        <v>12212671.550286982</v>
      </c>
      <c r="T568" s="9">
        <f t="shared" si="185"/>
        <v>564</v>
      </c>
      <c r="U568" s="17">
        <f t="shared" ca="1" si="170"/>
        <v>62671</v>
      </c>
    </row>
    <row r="569" spans="2:21" x14ac:dyDescent="0.2">
      <c r="B569" s="17">
        <f t="shared" ca="1" si="168"/>
        <v>62671</v>
      </c>
      <c r="C569" s="9">
        <f t="shared" si="171"/>
        <v>565</v>
      </c>
      <c r="D569" s="9"/>
      <c r="E569" s="13">
        <f t="shared" si="169"/>
        <v>9946.3292447534895</v>
      </c>
      <c r="F569" s="14">
        <f t="shared" si="172"/>
        <v>2239836.71447554</v>
      </c>
      <c r="G569" s="15">
        <f t="shared" si="173"/>
        <v>0.18211342957854623</v>
      </c>
      <c r="H569" s="13">
        <f t="shared" si="174"/>
        <v>530552.97281372326</v>
      </c>
      <c r="I569" s="13">
        <f t="shared" si="175"/>
        <v>51581447.44388371</v>
      </c>
      <c r="J569" s="15">
        <f t="shared" si="176"/>
        <v>0.81788657042145374</v>
      </c>
      <c r="K569" s="13">
        <f t="shared" si="177"/>
        <v>10059293.11718517</v>
      </c>
      <c r="L569" s="13">
        <f t="shared" si="178"/>
        <v>1193095184.866322</v>
      </c>
      <c r="M569" s="15">
        <f t="shared" si="179"/>
        <v>0.81788657042145374</v>
      </c>
      <c r="N569" s="13">
        <f t="shared" si="180"/>
        <v>197782.9609687214</v>
      </c>
      <c r="O569" s="13">
        <f t="shared" si="181"/>
        <v>41522154.326698497</v>
      </c>
      <c r="P569" s="15">
        <f t="shared" si="182"/>
        <v>0.77148204425088063</v>
      </c>
      <c r="Q569" s="7">
        <f t="shared" si="183"/>
        <v>53821284.158359207</v>
      </c>
      <c r="R569" s="7">
        <f t="shared" si="184"/>
        <v>12299129.83166071</v>
      </c>
      <c r="S569" s="13">
        <f>IF(Calc!$AD$32="Sim",R569,Q569)</f>
        <v>12299129.83166071</v>
      </c>
      <c r="T569" s="9">
        <f t="shared" si="185"/>
        <v>565</v>
      </c>
      <c r="U569" s="17">
        <f t="shared" ca="1" si="170"/>
        <v>62702</v>
      </c>
    </row>
    <row r="570" spans="2:21" x14ac:dyDescent="0.2">
      <c r="B570" s="17">
        <f t="shared" ca="1" si="168"/>
        <v>62702</v>
      </c>
      <c r="C570" s="9">
        <f t="shared" si="171"/>
        <v>566</v>
      </c>
      <c r="D570" s="9"/>
      <c r="E570" s="13">
        <f t="shared" si="169"/>
        <v>9986.851821289536</v>
      </c>
      <c r="F570" s="14">
        <f t="shared" si="172"/>
        <v>2249823.5662968294</v>
      </c>
      <c r="G570" s="15">
        <f t="shared" si="173"/>
        <v>0.18163996997809562</v>
      </c>
      <c r="H570" s="13">
        <f t="shared" si="174"/>
        <v>535935.09156974906</v>
      </c>
      <c r="I570" s="13">
        <f t="shared" si="175"/>
        <v>52117382.535453461</v>
      </c>
      <c r="J570" s="15">
        <f t="shared" si="176"/>
        <v>0.81836003002190438</v>
      </c>
      <c r="K570" s="13">
        <f t="shared" si="177"/>
        <v>10136346.54025043</v>
      </c>
      <c r="L570" s="13">
        <f t="shared" si="178"/>
        <v>1203231531.4065726</v>
      </c>
      <c r="M570" s="15">
        <f t="shared" si="179"/>
        <v>0.81836003002190438</v>
      </c>
      <c r="N570" s="13">
        <f t="shared" si="180"/>
        <v>199789.12005819957</v>
      </c>
      <c r="O570" s="13">
        <f t="shared" si="181"/>
        <v>41981035.995202988</v>
      </c>
      <c r="P570" s="15">
        <f t="shared" si="182"/>
        <v>0.77217571042061495</v>
      </c>
      <c r="Q570" s="7">
        <f t="shared" si="183"/>
        <v>54367206.101750247</v>
      </c>
      <c r="R570" s="7">
        <f t="shared" si="184"/>
        <v>12386170.106547259</v>
      </c>
      <c r="S570" s="13">
        <f>IF(Calc!$AD$32="Sim",R570,Q570)</f>
        <v>12386170.106547259</v>
      </c>
      <c r="T570" s="9">
        <f t="shared" si="185"/>
        <v>566</v>
      </c>
      <c r="U570" s="17">
        <f t="shared" ca="1" si="170"/>
        <v>62732</v>
      </c>
    </row>
    <row r="571" spans="2:21" x14ac:dyDescent="0.2">
      <c r="B571" s="17">
        <f t="shared" ca="1" si="168"/>
        <v>62732</v>
      </c>
      <c r="C571" s="9">
        <f t="shared" si="171"/>
        <v>567</v>
      </c>
      <c r="D571" s="9"/>
      <c r="E571" s="13">
        <f t="shared" si="169"/>
        <v>10027.539491818423</v>
      </c>
      <c r="F571" s="14">
        <f t="shared" si="172"/>
        <v>2259851.1057886477</v>
      </c>
      <c r="G571" s="15">
        <f t="shared" si="173"/>
        <v>0.18116787162495138</v>
      </c>
      <c r="H571" s="13">
        <f t="shared" si="174"/>
        <v>541371.20724956738</v>
      </c>
      <c r="I571" s="13">
        <f t="shared" si="175"/>
        <v>52658753.742703028</v>
      </c>
      <c r="J571" s="15">
        <f t="shared" si="176"/>
        <v>0.8188321283750486</v>
      </c>
      <c r="K571" s="13">
        <f t="shared" si="177"/>
        <v>10213945.078486938</v>
      </c>
      <c r="L571" s="13">
        <f t="shared" si="178"/>
        <v>1213445476.4850595</v>
      </c>
      <c r="M571" s="15">
        <f t="shared" si="179"/>
        <v>0.8188321283750486</v>
      </c>
      <c r="N571" s="13">
        <f t="shared" si="180"/>
        <v>201815.40535611389</v>
      </c>
      <c r="O571" s="13">
        <f t="shared" si="181"/>
        <v>42444808.664216042</v>
      </c>
      <c r="P571" s="15">
        <f t="shared" si="182"/>
        <v>0.77286756976641968</v>
      </c>
      <c r="Q571" s="7">
        <f t="shared" si="183"/>
        <v>54918604.848491631</v>
      </c>
      <c r="R571" s="7">
        <f t="shared" si="184"/>
        <v>12473796.184275586</v>
      </c>
      <c r="S571" s="13">
        <f>IF(Calc!$AD$32="Sim",R571,Q571)</f>
        <v>12473796.184275586</v>
      </c>
      <c r="T571" s="9">
        <f t="shared" si="185"/>
        <v>567</v>
      </c>
      <c r="U571" s="17">
        <f t="shared" ca="1" si="170"/>
        <v>62763</v>
      </c>
    </row>
    <row r="572" spans="2:21" x14ac:dyDescent="0.2">
      <c r="B572" s="17">
        <f t="shared" ca="1" si="168"/>
        <v>62763</v>
      </c>
      <c r="C572" s="9">
        <f t="shared" si="171"/>
        <v>568</v>
      </c>
      <c r="D572" s="9"/>
      <c r="E572" s="13">
        <f t="shared" si="169"/>
        <v>10068.392928953514</v>
      </c>
      <c r="F572" s="14">
        <f t="shared" si="172"/>
        <v>2269919.4987176009</v>
      </c>
      <c r="G572" s="15">
        <f t="shared" si="173"/>
        <v>0.1806971301271402</v>
      </c>
      <c r="H572" s="13">
        <f t="shared" si="174"/>
        <v>546861.85918118595</v>
      </c>
      <c r="I572" s="13">
        <f t="shared" si="175"/>
        <v>53205615.601884216</v>
      </c>
      <c r="J572" s="15">
        <f t="shared" si="176"/>
        <v>0.81930286987285983</v>
      </c>
      <c r="K572" s="13">
        <f t="shared" si="177"/>
        <v>10292092.399979763</v>
      </c>
      <c r="L572" s="13">
        <f t="shared" si="178"/>
        <v>1223737568.8850393</v>
      </c>
      <c r="M572" s="15">
        <f t="shared" si="179"/>
        <v>0.81930286987285983</v>
      </c>
      <c r="N572" s="13">
        <f t="shared" si="180"/>
        <v>203862.01788195589</v>
      </c>
      <c r="O572" s="13">
        <f t="shared" si="181"/>
        <v>42913523.201904409</v>
      </c>
      <c r="P572" s="15">
        <f t="shared" si="182"/>
        <v>0.77355762543043782</v>
      </c>
      <c r="Q572" s="7">
        <f t="shared" si="183"/>
        <v>55475535.10060177</v>
      </c>
      <c r="R572" s="7">
        <f t="shared" si="184"/>
        <v>12562011.898697363</v>
      </c>
      <c r="S572" s="13">
        <f>IF(Calc!$AD$32="Sim",R572,Q572)</f>
        <v>12562011.898697363</v>
      </c>
      <c r="T572" s="9">
        <f t="shared" si="185"/>
        <v>568</v>
      </c>
      <c r="U572" s="17">
        <f t="shared" ca="1" si="170"/>
        <v>62793</v>
      </c>
    </row>
    <row r="573" spans="2:21" x14ac:dyDescent="0.2">
      <c r="B573" s="17">
        <f t="shared" ca="1" si="168"/>
        <v>62793</v>
      </c>
      <c r="C573" s="9">
        <f t="shared" si="171"/>
        <v>569</v>
      </c>
      <c r="D573" s="9"/>
      <c r="E573" s="13">
        <f t="shared" si="169"/>
        <v>10109.412808048481</v>
      </c>
      <c r="F573" s="14">
        <f t="shared" si="172"/>
        <v>2280028.9115256495</v>
      </c>
      <c r="G573" s="15">
        <f t="shared" si="173"/>
        <v>0.18022774110859621</v>
      </c>
      <c r="H573" s="13">
        <f t="shared" si="174"/>
        <v>552407.59206976579</v>
      </c>
      <c r="I573" s="13">
        <f t="shared" si="175"/>
        <v>53758023.193953983</v>
      </c>
      <c r="J573" s="15">
        <f t="shared" si="176"/>
        <v>0.81977225889140382</v>
      </c>
      <c r="K573" s="13">
        <f t="shared" si="177"/>
        <v>10370792.19681759</v>
      </c>
      <c r="L573" s="13">
        <f t="shared" si="178"/>
        <v>1234108361.081857</v>
      </c>
      <c r="M573" s="15">
        <f t="shared" si="179"/>
        <v>0.81977225889140382</v>
      </c>
      <c r="N573" s="13">
        <f t="shared" si="180"/>
        <v>205929.16065938646</v>
      </c>
      <c r="O573" s="13">
        <f t="shared" si="181"/>
        <v>43387230.99713634</v>
      </c>
      <c r="P573" s="15">
        <f t="shared" si="182"/>
        <v>0.77424588055753985</v>
      </c>
      <c r="Q573" s="7">
        <f t="shared" si="183"/>
        <v>56038052.105479583</v>
      </c>
      <c r="R573" s="7">
        <f t="shared" si="184"/>
        <v>12650821.10834324</v>
      </c>
      <c r="S573" s="13">
        <f>IF(Calc!$AD$32="Sim",R573,Q573)</f>
        <v>12650821.10834324</v>
      </c>
      <c r="T573" s="9">
        <f t="shared" si="185"/>
        <v>569</v>
      </c>
      <c r="U573" s="17">
        <f t="shared" ca="1" si="170"/>
        <v>62824</v>
      </c>
    </row>
    <row r="574" spans="2:21" x14ac:dyDescent="0.2">
      <c r="B574" s="17">
        <f t="shared" ca="1" si="168"/>
        <v>62824</v>
      </c>
      <c r="C574" s="9">
        <f t="shared" si="171"/>
        <v>570</v>
      </c>
      <c r="D574" s="9"/>
      <c r="E574" s="13">
        <f t="shared" si="169"/>
        <v>10150.599807208469</v>
      </c>
      <c r="F574" s="14">
        <f t="shared" si="172"/>
        <v>2290179.5113328579</v>
      </c>
      <c r="G574" s="15">
        <f t="shared" si="173"/>
        <v>0.17975970020909568</v>
      </c>
      <c r="H574" s="13">
        <f t="shared" si="174"/>
        <v>558008.95605119178</v>
      </c>
      <c r="I574" s="13">
        <f t="shared" si="175"/>
        <v>54316032.150005177</v>
      </c>
      <c r="J574" s="15">
        <f t="shared" si="176"/>
        <v>0.82024029979090429</v>
      </c>
      <c r="K574" s="13">
        <f t="shared" si="177"/>
        <v>10450048.18524725</v>
      </c>
      <c r="L574" s="13">
        <f t="shared" si="178"/>
        <v>1244558409.2671041</v>
      </c>
      <c r="M574" s="15">
        <f t="shared" si="179"/>
        <v>0.82024029979090429</v>
      </c>
      <c r="N574" s="13">
        <f t="shared" si="180"/>
        <v>208017.03873620296</v>
      </c>
      <c r="O574" s="13">
        <f t="shared" si="181"/>
        <v>43865983.964757875</v>
      </c>
      <c r="P574" s="15">
        <f t="shared" si="182"/>
        <v>0.77493233829527441</v>
      </c>
      <c r="Q574" s="7">
        <f t="shared" si="183"/>
        <v>56606211.661337987</v>
      </c>
      <c r="R574" s="7">
        <f t="shared" si="184"/>
        <v>12740227.696580108</v>
      </c>
      <c r="S574" s="13">
        <f>IF(Calc!$AD$32="Sim",R574,Q574)</f>
        <v>12740227.696580108</v>
      </c>
      <c r="T574" s="9">
        <f t="shared" si="185"/>
        <v>570</v>
      </c>
      <c r="U574" s="17">
        <f t="shared" ca="1" si="170"/>
        <v>62855</v>
      </c>
    </row>
    <row r="575" spans="2:21" x14ac:dyDescent="0.2">
      <c r="B575" s="17">
        <f t="shared" ca="1" si="168"/>
        <v>62855</v>
      </c>
      <c r="C575" s="9">
        <f t="shared" si="171"/>
        <v>571</v>
      </c>
      <c r="D575" s="9"/>
      <c r="E575" s="13">
        <f t="shared" si="169"/>
        <v>10191.954607301313</v>
      </c>
      <c r="F575" s="14">
        <f t="shared" si="172"/>
        <v>2300371.4659401593</v>
      </c>
      <c r="G575" s="15">
        <f t="shared" si="173"/>
        <v>0.17929300308419271</v>
      </c>
      <c r="H575" s="13">
        <f t="shared" si="174"/>
        <v>563666.50674617849</v>
      </c>
      <c r="I575" s="13">
        <f t="shared" si="175"/>
        <v>54879698.656751357</v>
      </c>
      <c r="J575" s="15">
        <f t="shared" si="176"/>
        <v>0.82070699691580729</v>
      </c>
      <c r="K575" s="13">
        <f t="shared" si="177"/>
        <v>10529864.105829181</v>
      </c>
      <c r="L575" s="13">
        <f t="shared" si="178"/>
        <v>1255088273.3729334</v>
      </c>
      <c r="M575" s="15">
        <f t="shared" si="179"/>
        <v>0.82070699691580729</v>
      </c>
      <c r="N575" s="13">
        <f t="shared" si="180"/>
        <v>210125.85920450496</v>
      </c>
      <c r="O575" s="13">
        <f t="shared" si="181"/>
        <v>44349834.550922126</v>
      </c>
      <c r="P575" s="15">
        <f t="shared" si="182"/>
        <v>0.77561700179381621</v>
      </c>
      <c r="Q575" s="7">
        <f t="shared" si="183"/>
        <v>57180070.122691467</v>
      </c>
      <c r="R575" s="7">
        <f t="shared" si="184"/>
        <v>12830235.57176934</v>
      </c>
      <c r="S575" s="13">
        <f>IF(Calc!$AD$32="Sim",R575,Q575)</f>
        <v>12830235.57176934</v>
      </c>
      <c r="T575" s="9">
        <f t="shared" si="185"/>
        <v>571</v>
      </c>
      <c r="U575" s="17">
        <f t="shared" ca="1" si="170"/>
        <v>62884</v>
      </c>
    </row>
    <row r="576" spans="2:21" x14ac:dyDescent="0.2">
      <c r="B576" s="17">
        <f t="shared" ca="1" si="168"/>
        <v>62884</v>
      </c>
      <c r="C576" s="9">
        <f t="shared" si="171"/>
        <v>572</v>
      </c>
      <c r="D576" s="9"/>
      <c r="E576" s="13">
        <f t="shared" si="169"/>
        <v>10233.477891968783</v>
      </c>
      <c r="F576" s="14">
        <f t="shared" si="172"/>
        <v>2310604.9438321278</v>
      </c>
      <c r="G576" s="15">
        <f t="shared" si="173"/>
        <v>0.17882764540515442</v>
      </c>
      <c r="H576" s="13">
        <f t="shared" si="174"/>
        <v>569380.80531491281</v>
      </c>
      <c r="I576" s="13">
        <f t="shared" si="175"/>
        <v>55449079.46206627</v>
      </c>
      <c r="J576" s="15">
        <f t="shared" si="176"/>
        <v>0.82117235459484561</v>
      </c>
      <c r="K576" s="13">
        <f t="shared" si="177"/>
        <v>10610243.723593924</v>
      </c>
      <c r="L576" s="13">
        <f t="shared" si="178"/>
        <v>1265698517.0965273</v>
      </c>
      <c r="M576" s="15">
        <f t="shared" si="179"/>
        <v>0.82117235459484561</v>
      </c>
      <c r="N576" s="13">
        <f t="shared" si="180"/>
        <v>212255.83122106106</v>
      </c>
      <c r="O576" s="13">
        <f t="shared" si="181"/>
        <v>44838835.738472298</v>
      </c>
      <c r="P576" s="15">
        <f t="shared" si="182"/>
        <v>0.77629987420591606</v>
      </c>
      <c r="Q576" s="7">
        <f t="shared" si="183"/>
        <v>57759684.405898347</v>
      </c>
      <c r="R576" s="7">
        <f t="shared" si="184"/>
        <v>12920848.667426052</v>
      </c>
      <c r="S576" s="13">
        <f>IF(Calc!$AD$32="Sim",R576,Q576)</f>
        <v>12920848.667426052</v>
      </c>
      <c r="T576" s="9">
        <f t="shared" si="185"/>
        <v>572</v>
      </c>
      <c r="U576" s="17">
        <f t="shared" ca="1" si="170"/>
        <v>62915</v>
      </c>
    </row>
    <row r="577" spans="2:21" x14ac:dyDescent="0.2">
      <c r="B577" s="17">
        <f t="shared" ca="1" si="168"/>
        <v>62915</v>
      </c>
      <c r="C577" s="9">
        <f t="shared" si="171"/>
        <v>573</v>
      </c>
      <c r="D577" s="9"/>
      <c r="E577" s="13">
        <f t="shared" si="169"/>
        <v>10275.170347637893</v>
      </c>
      <c r="F577" s="14">
        <f t="shared" si="172"/>
        <v>2320880.1141797658</v>
      </c>
      <c r="G577" s="15">
        <f t="shared" si="173"/>
        <v>0.17836362285889706</v>
      </c>
      <c r="H577" s="13">
        <f t="shared" si="174"/>
        <v>575152.41851224238</v>
      </c>
      <c r="I577" s="13">
        <f t="shared" si="175"/>
        <v>56024231.88057851</v>
      </c>
      <c r="J577" s="15">
        <f t="shared" si="176"/>
        <v>0.82163637714110294</v>
      </c>
      <c r="K577" s="13">
        <f t="shared" si="177"/>
        <v>10691190.828199595</v>
      </c>
      <c r="L577" s="13">
        <f t="shared" si="178"/>
        <v>1276389707.924727</v>
      </c>
      <c r="M577" s="15">
        <f t="shared" si="179"/>
        <v>0.82163637714110294</v>
      </c>
      <c r="N577" s="13">
        <f t="shared" si="180"/>
        <v>214407.16602787844</v>
      </c>
      <c r="O577" s="13">
        <f t="shared" si="181"/>
        <v>45333041.052378863</v>
      </c>
      <c r="P577" s="15">
        <f t="shared" si="182"/>
        <v>0.7769809586868498</v>
      </c>
      <c r="Q577" s="7">
        <f t="shared" si="183"/>
        <v>58345111.994758226</v>
      </c>
      <c r="R577" s="7">
        <f t="shared" si="184"/>
        <v>13012070.942379361</v>
      </c>
      <c r="S577" s="13">
        <f>IF(Calc!$AD$32="Sim",R577,Q577)</f>
        <v>13012070.942379361</v>
      </c>
      <c r="T577" s="9">
        <f t="shared" si="185"/>
        <v>573</v>
      </c>
      <c r="U577" s="17">
        <f t="shared" ca="1" si="170"/>
        <v>62945</v>
      </c>
    </row>
    <row r="578" spans="2:21" x14ac:dyDescent="0.2">
      <c r="B578" s="17">
        <f t="shared" ca="1" si="168"/>
        <v>62945</v>
      </c>
      <c r="C578" s="9">
        <f t="shared" si="171"/>
        <v>574</v>
      </c>
      <c r="D578" s="9"/>
      <c r="E578" s="13">
        <f t="shared" si="169"/>
        <v>10317.032663532244</v>
      </c>
      <c r="F578" s="14">
        <f t="shared" si="172"/>
        <v>2331197.1468432979</v>
      </c>
      <c r="G578" s="15">
        <f t="shared" si="173"/>
        <v>0.17790093114792221</v>
      </c>
      <c r="H578" s="13">
        <f t="shared" si="174"/>
        <v>580981.91874341341</v>
      </c>
      <c r="I578" s="13">
        <f t="shared" si="175"/>
        <v>56605213.799321927</v>
      </c>
      <c r="J578" s="15">
        <f t="shared" si="176"/>
        <v>0.82209906885207773</v>
      </c>
      <c r="K578" s="13">
        <f t="shared" si="177"/>
        <v>10772709.234090364</v>
      </c>
      <c r="L578" s="13">
        <f t="shared" si="178"/>
        <v>1287162417.1588173</v>
      </c>
      <c r="M578" s="15">
        <f t="shared" si="179"/>
        <v>0.82209906885207784</v>
      </c>
      <c r="N578" s="13">
        <f t="shared" si="180"/>
        <v>216580.07697297714</v>
      </c>
      <c r="O578" s="13">
        <f t="shared" si="181"/>
        <v>45832504.565231517</v>
      </c>
      <c r="P578" s="15">
        <f t="shared" si="182"/>
        <v>0.77766025839436881</v>
      </c>
      <c r="Q578" s="7">
        <f t="shared" si="183"/>
        <v>58936410.946165174</v>
      </c>
      <c r="R578" s="7">
        <f t="shared" si="184"/>
        <v>13103906.380933661</v>
      </c>
      <c r="S578" s="13">
        <f>IF(Calc!$AD$32="Sim",R578,Q578)</f>
        <v>13103906.380933661</v>
      </c>
      <c r="T578" s="9">
        <f t="shared" si="185"/>
        <v>574</v>
      </c>
      <c r="U578" s="17">
        <f t="shared" ca="1" si="170"/>
        <v>62976</v>
      </c>
    </row>
    <row r="579" spans="2:21" x14ac:dyDescent="0.2">
      <c r="B579" s="17">
        <f t="shared" ca="1" si="168"/>
        <v>62976</v>
      </c>
      <c r="C579" s="9">
        <f t="shared" si="171"/>
        <v>575</v>
      </c>
      <c r="D579" s="9"/>
      <c r="E579" s="13">
        <f t="shared" si="169"/>
        <v>10359.065531683416</v>
      </c>
      <c r="F579" s="14">
        <f t="shared" si="172"/>
        <v>2341556.2123749815</v>
      </c>
      <c r="G579" s="15">
        <f t="shared" si="173"/>
        <v>0.17743956599025315</v>
      </c>
      <c r="H579" s="13">
        <f t="shared" si="174"/>
        <v>586869.88412036293</v>
      </c>
      <c r="I579" s="13">
        <f t="shared" si="175"/>
        <v>57192083.683442287</v>
      </c>
      <c r="J579" s="15">
        <f t="shared" si="176"/>
        <v>0.82256043400974688</v>
      </c>
      <c r="K579" s="13">
        <f t="shared" si="177"/>
        <v>10854802.780655945</v>
      </c>
      <c r="L579" s="13">
        <f t="shared" si="178"/>
        <v>1298017219.9394732</v>
      </c>
      <c r="M579" s="15">
        <f t="shared" si="179"/>
        <v>0.82256043400974688</v>
      </c>
      <c r="N579" s="13">
        <f t="shared" si="180"/>
        <v>218774.77953137149</v>
      </c>
      <c r="O579" s="13">
        <f t="shared" si="181"/>
        <v>46337280.902786292</v>
      </c>
      <c r="P579" s="15">
        <f t="shared" si="182"/>
        <v>0.77833777648864888</v>
      </c>
      <c r="Q579" s="7">
        <f t="shared" si="183"/>
        <v>59533639.89581722</v>
      </c>
      <c r="R579" s="7">
        <f t="shared" si="184"/>
        <v>13196358.993030926</v>
      </c>
      <c r="S579" s="13">
        <f>IF(Calc!$AD$32="Sim",R579,Q579)</f>
        <v>13196358.993030926</v>
      </c>
      <c r="T579" s="9">
        <f t="shared" si="185"/>
        <v>575</v>
      </c>
      <c r="U579" s="17">
        <f t="shared" ca="1" si="170"/>
        <v>63006</v>
      </c>
    </row>
    <row r="580" spans="2:21" x14ac:dyDescent="0.2">
      <c r="B580" s="17">
        <f t="shared" ca="1" si="168"/>
        <v>63006</v>
      </c>
      <c r="C580" s="9">
        <f t="shared" si="171"/>
        <v>576</v>
      </c>
      <c r="D580" s="9">
        <v>48</v>
      </c>
      <c r="E580" s="13">
        <f t="shared" si="169"/>
        <v>10401.269646942419</v>
      </c>
      <c r="F580" s="14">
        <f t="shared" si="172"/>
        <v>2351957.4820219241</v>
      </c>
      <c r="G580" s="15">
        <f t="shared" si="173"/>
        <v>0.17697952311937171</v>
      </c>
      <c r="H580" s="13">
        <f t="shared" si="174"/>
        <v>592816.89851857221</v>
      </c>
      <c r="I580" s="13">
        <f t="shared" si="175"/>
        <v>57784900.581960857</v>
      </c>
      <c r="J580" s="15">
        <f t="shared" si="176"/>
        <v>0.82302047688062829</v>
      </c>
      <c r="K580" s="13">
        <f t="shared" si="177"/>
        <v>10937475.332392102</v>
      </c>
      <c r="L580" s="13">
        <f t="shared" si="178"/>
        <v>1308954695.2718654</v>
      </c>
      <c r="M580" s="15">
        <f t="shared" si="179"/>
        <v>0.82302047688062829</v>
      </c>
      <c r="N580" s="13">
        <f t="shared" si="180"/>
        <v>220991.49132626041</v>
      </c>
      <c r="O580" s="13">
        <f t="shared" si="181"/>
        <v>46847425.249568708</v>
      </c>
      <c r="P580" s="15">
        <f t="shared" si="182"/>
        <v>0.77901351613224112</v>
      </c>
      <c r="Q580" s="7">
        <f t="shared" si="183"/>
        <v>60136858.063982733</v>
      </c>
      <c r="R580" s="7">
        <f t="shared" si="184"/>
        <v>13289432.814414026</v>
      </c>
      <c r="S580" s="13">
        <f>IF(Calc!$AD$32="Sim",R580,Q580)</f>
        <v>13289432.814414026</v>
      </c>
      <c r="T580" s="9">
        <f t="shared" si="185"/>
        <v>576</v>
      </c>
      <c r="U580" s="17">
        <f t="shared" ca="1" si="170"/>
        <v>63037</v>
      </c>
    </row>
    <row r="581" spans="2:21" x14ac:dyDescent="0.2">
      <c r="B581" s="17">
        <f t="shared" ca="1" si="168"/>
        <v>63037</v>
      </c>
      <c r="C581" s="9">
        <f t="shared" si="171"/>
        <v>577</v>
      </c>
      <c r="D581" s="9"/>
      <c r="E581" s="13">
        <f t="shared" si="169"/>
        <v>10443.645706991167</v>
      </c>
      <c r="F581" s="14">
        <f t="shared" si="172"/>
        <v>2362401.1277289153</v>
      </c>
      <c r="G581" s="15">
        <f t="shared" si="173"/>
        <v>0.17652079828415546</v>
      </c>
      <c r="H581" s="13">
        <f t="shared" si="174"/>
        <v>598823.55163448653</v>
      </c>
      <c r="I581" s="13">
        <f t="shared" si="175"/>
        <v>58383724.13359534</v>
      </c>
      <c r="J581" s="15">
        <f t="shared" si="176"/>
        <v>0.82347920171584454</v>
      </c>
      <c r="K581" s="13">
        <f t="shared" si="177"/>
        <v>11020730.779062178</v>
      </c>
      <c r="L581" s="13">
        <f t="shared" si="178"/>
        <v>1319975426.0509276</v>
      </c>
      <c r="M581" s="15">
        <f t="shared" si="179"/>
        <v>0.82347920171584454</v>
      </c>
      <c r="N581" s="13">
        <f t="shared" si="180"/>
        <v>223230.43215042868</v>
      </c>
      <c r="O581" s="13">
        <f t="shared" si="181"/>
        <v>47362993.354533114</v>
      </c>
      <c r="P581" s="15">
        <f t="shared" si="182"/>
        <v>0.77968748049002146</v>
      </c>
      <c r="Q581" s="7">
        <f t="shared" si="183"/>
        <v>60746125.261324205</v>
      </c>
      <c r="R581" s="7">
        <f t="shared" si="184"/>
        <v>13383131.906791093</v>
      </c>
      <c r="S581" s="13">
        <f>IF(Calc!$AD$32="Sim",R581,Q581)</f>
        <v>13383131.906791093</v>
      </c>
      <c r="T581" s="9">
        <f t="shared" si="185"/>
        <v>577</v>
      </c>
      <c r="U581" s="17">
        <f t="shared" ca="1" si="170"/>
        <v>63068</v>
      </c>
    </row>
    <row r="582" spans="2:21" x14ac:dyDescent="0.2">
      <c r="B582" s="17">
        <f t="shared" ref="B582:B604" ca="1" si="186">DATE(YEAR(B581),MONTH(B581)+1,1)</f>
        <v>63068</v>
      </c>
      <c r="C582" s="9">
        <f t="shared" si="171"/>
        <v>578</v>
      </c>
      <c r="D582" s="9"/>
      <c r="E582" s="13">
        <f t="shared" ref="E582:E604" si="187">IF($AE$33,IF($AE$34,$E581*(1+Inflação)*(1+Crescimento_Salário),$E581*(1+Inflação)),IF($AE$34,$E581*(1+Crescimento_Salário),$E581))</f>
        <v>10486.194412354016</v>
      </c>
      <c r="F582" s="14">
        <f t="shared" si="172"/>
        <v>2372887.3221412692</v>
      </c>
      <c r="G582" s="15">
        <f t="shared" si="173"/>
        <v>0.17606338724881507</v>
      </c>
      <c r="H582" s="13">
        <f t="shared" si="174"/>
        <v>604890.43904350675</v>
      </c>
      <c r="I582" s="13">
        <f t="shared" si="175"/>
        <v>58988614.572638847</v>
      </c>
      <c r="J582" s="15">
        <f t="shared" si="176"/>
        <v>0.8239366127511849</v>
      </c>
      <c r="K582" s="13">
        <f t="shared" si="177"/>
        <v>11104573.035859648</v>
      </c>
      <c r="L582" s="13">
        <f t="shared" si="178"/>
        <v>1331079999.0867872</v>
      </c>
      <c r="M582" s="15">
        <f t="shared" si="179"/>
        <v>0.8239366127511849</v>
      </c>
      <c r="N582" s="13">
        <f t="shared" si="180"/>
        <v>225491.82398786145</v>
      </c>
      <c r="O582" s="13">
        <f t="shared" si="181"/>
        <v>47884041.536779143</v>
      </c>
      <c r="P582" s="15">
        <f t="shared" si="182"/>
        <v>0.78035967272914109</v>
      </c>
      <c r="Q582" s="7">
        <f t="shared" si="183"/>
        <v>61361501.894780062</v>
      </c>
      <c r="R582" s="7">
        <f t="shared" si="184"/>
        <v>13477460.358000917</v>
      </c>
      <c r="S582" s="13">
        <f>IF(Calc!$AD$32="Sim",R582,Q582)</f>
        <v>13477460.358000917</v>
      </c>
      <c r="T582" s="9">
        <f t="shared" si="185"/>
        <v>578</v>
      </c>
      <c r="U582" s="17">
        <f t="shared" ref="U582:U604" ca="1" si="188">DATE(YEAR(U581),MONTH(U581)+1,1)</f>
        <v>63098</v>
      </c>
    </row>
    <row r="583" spans="2:21" x14ac:dyDescent="0.2">
      <c r="B583" s="17">
        <f t="shared" ca="1" si="186"/>
        <v>63098</v>
      </c>
      <c r="C583" s="9">
        <f t="shared" ref="C583:C604" si="189">C582+1</f>
        <v>579</v>
      </c>
      <c r="D583" s="9"/>
      <c r="E583" s="13">
        <f t="shared" si="187"/>
        <v>10528.916466409348</v>
      </c>
      <c r="F583" s="14">
        <f t="shared" si="172"/>
        <v>2383416.2386076786</v>
      </c>
      <c r="G583" s="15">
        <f t="shared" si="173"/>
        <v>0.17560728579283202</v>
      </c>
      <c r="H583" s="13">
        <f t="shared" si="174"/>
        <v>611018.16225855798</v>
      </c>
      <c r="I583" s="13">
        <f t="shared" si="175"/>
        <v>59599632.734897405</v>
      </c>
      <c r="J583" s="15">
        <f t="shared" si="176"/>
        <v>0.82439271420716798</v>
      </c>
      <c r="K583" s="13">
        <f t="shared" si="177"/>
        <v>11189006.043571718</v>
      </c>
      <c r="L583" s="13">
        <f t="shared" si="178"/>
        <v>1342269005.1303589</v>
      </c>
      <c r="M583" s="15">
        <f t="shared" si="179"/>
        <v>0.82439271420716798</v>
      </c>
      <c r="N583" s="13">
        <f t="shared" si="180"/>
        <v>227775.89103557402</v>
      </c>
      <c r="O583" s="13">
        <f t="shared" si="181"/>
        <v>48410626.691325635</v>
      </c>
      <c r="P583" s="15">
        <f t="shared" si="182"/>
        <v>0.78103009601897777</v>
      </c>
      <c r="Q583" s="7">
        <f t="shared" si="183"/>
        <v>61983048.973505028</v>
      </c>
      <c r="R583" s="7">
        <f t="shared" si="184"/>
        <v>13572422.282179397</v>
      </c>
      <c r="S583" s="13">
        <f>IF(Calc!$AD$32="Sim",R583,Q583)</f>
        <v>13572422.282179397</v>
      </c>
      <c r="T583" s="9">
        <f t="shared" si="185"/>
        <v>579</v>
      </c>
      <c r="U583" s="17">
        <f t="shared" ca="1" si="188"/>
        <v>63129</v>
      </c>
    </row>
    <row r="584" spans="2:21" x14ac:dyDescent="0.2">
      <c r="B584" s="17">
        <f t="shared" ca="1" si="186"/>
        <v>63129</v>
      </c>
      <c r="C584" s="9">
        <f t="shared" si="189"/>
        <v>580</v>
      </c>
      <c r="D584" s="9"/>
      <c r="E584" s="13">
        <f t="shared" si="187"/>
        <v>10571.812575401193</v>
      </c>
      <c r="F584" s="14">
        <f t="shared" si="172"/>
        <v>2393988.0511830798</v>
      </c>
      <c r="G584" s="15">
        <f t="shared" si="173"/>
        <v>0.17515248971089661</v>
      </c>
      <c r="H584" s="13">
        <f t="shared" si="174"/>
        <v>617207.32878924243</v>
      </c>
      <c r="I584" s="13">
        <f t="shared" si="175"/>
        <v>60216840.063686647</v>
      </c>
      <c r="J584" s="15">
        <f t="shared" si="176"/>
        <v>0.82484751028910341</v>
      </c>
      <c r="K584" s="13">
        <f t="shared" si="177"/>
        <v>11274033.768743951</v>
      </c>
      <c r="L584" s="13">
        <f t="shared" si="178"/>
        <v>1353543038.8991029</v>
      </c>
      <c r="M584" s="15">
        <f t="shared" si="179"/>
        <v>0.8248475102891033</v>
      </c>
      <c r="N584" s="13">
        <f t="shared" si="180"/>
        <v>230082.85972565896</v>
      </c>
      <c r="O584" s="13">
        <f t="shared" si="181"/>
        <v>48942806.29494264</v>
      </c>
      <c r="P584" s="15">
        <f t="shared" si="182"/>
        <v>0.78169875353108509</v>
      </c>
      <c r="Q584" s="7">
        <f t="shared" si="183"/>
        <v>62610828.114869669</v>
      </c>
      <c r="R584" s="7">
        <f t="shared" si="184"/>
        <v>13668021.819927031</v>
      </c>
      <c r="S584" s="13">
        <f>IF(Calc!$AD$32="Sim",R584,Q584)</f>
        <v>13668021.819927031</v>
      </c>
      <c r="T584" s="9">
        <f t="shared" si="185"/>
        <v>580</v>
      </c>
      <c r="U584" s="17">
        <f t="shared" ca="1" si="188"/>
        <v>63159</v>
      </c>
    </row>
    <row r="585" spans="2:21" x14ac:dyDescent="0.2">
      <c r="B585" s="17">
        <f t="shared" ca="1" si="186"/>
        <v>63159</v>
      </c>
      <c r="C585" s="9">
        <f t="shared" si="189"/>
        <v>581</v>
      </c>
      <c r="D585" s="9"/>
      <c r="E585" s="13">
        <f t="shared" si="187"/>
        <v>10614.883448450908</v>
      </c>
      <c r="F585" s="14">
        <f t="shared" si="172"/>
        <v>2404602.9346315307</v>
      </c>
      <c r="G585" s="15">
        <f t="shared" si="173"/>
        <v>0.17469899481284637</v>
      </c>
      <c r="H585" s="13">
        <f t="shared" si="174"/>
        <v>623458.55220158061</v>
      </c>
      <c r="I585" s="13">
        <f t="shared" si="175"/>
        <v>60840298.615888231</v>
      </c>
      <c r="J585" s="15">
        <f t="shared" si="176"/>
        <v>0.82530100518715366</v>
      </c>
      <c r="K585" s="13">
        <f t="shared" si="177"/>
        <v>11359660.203845955</v>
      </c>
      <c r="L585" s="13">
        <f t="shared" si="178"/>
        <v>1364902699.1029489</v>
      </c>
      <c r="M585" s="15">
        <f t="shared" si="179"/>
        <v>0.82530100518715366</v>
      </c>
      <c r="N585" s="13">
        <f t="shared" si="180"/>
        <v>232412.958747553</v>
      </c>
      <c r="O585" s="13">
        <f t="shared" si="181"/>
        <v>49480638.412042215</v>
      </c>
      <c r="P585" s="15">
        <f t="shared" si="182"/>
        <v>0.78236564843914469</v>
      </c>
      <c r="Q585" s="7">
        <f t="shared" si="183"/>
        <v>63244901.550519705</v>
      </c>
      <c r="R585" s="7">
        <f t="shared" si="184"/>
        <v>13764263.138477486</v>
      </c>
      <c r="S585" s="13">
        <f>IF(Calc!$AD$32="Sim",R585,Q585)</f>
        <v>13764263.138477486</v>
      </c>
      <c r="T585" s="9">
        <f t="shared" si="185"/>
        <v>581</v>
      </c>
      <c r="U585" s="17">
        <f t="shared" ca="1" si="188"/>
        <v>63190</v>
      </c>
    </row>
    <row r="586" spans="2:21" x14ac:dyDescent="0.2">
      <c r="B586" s="17">
        <f t="shared" ca="1" si="186"/>
        <v>63190</v>
      </c>
      <c r="C586" s="9">
        <f t="shared" si="189"/>
        <v>582</v>
      </c>
      <c r="D586" s="9"/>
      <c r="E586" s="13">
        <f t="shared" si="187"/>
        <v>10658.129797568898</v>
      </c>
      <c r="F586" s="14">
        <f t="shared" si="172"/>
        <v>2415261.0644290997</v>
      </c>
      <c r="G586" s="15">
        <f t="shared" si="173"/>
        <v>0.17424679692360445</v>
      </c>
      <c r="H586" s="13">
        <f t="shared" si="174"/>
        <v>629772.45217834786</v>
      </c>
      <c r="I586" s="13">
        <f t="shared" si="175"/>
        <v>61470071.068066582</v>
      </c>
      <c r="J586" s="15">
        <f t="shared" si="176"/>
        <v>0.82575320307639555</v>
      </c>
      <c r="K586" s="13">
        <f t="shared" si="177"/>
        <v>11445889.367438119</v>
      </c>
      <c r="L586" s="13">
        <f t="shared" si="178"/>
        <v>1376348588.470387</v>
      </c>
      <c r="M586" s="15">
        <f t="shared" si="179"/>
        <v>0.82575320307639544</v>
      </c>
      <c r="N586" s="13">
        <f t="shared" si="180"/>
        <v>234766.41907052539</v>
      </c>
      <c r="O586" s="13">
        <f t="shared" si="181"/>
        <v>50024181.700628407</v>
      </c>
      <c r="P586" s="15">
        <f t="shared" si="182"/>
        <v>0.78303078391891667</v>
      </c>
      <c r="Q586" s="7">
        <f t="shared" si="183"/>
        <v>63885332.132495627</v>
      </c>
      <c r="R586" s="7">
        <f t="shared" si="184"/>
        <v>13861150.43186722</v>
      </c>
      <c r="S586" s="13">
        <f>IF(Calc!$AD$32="Sim",R586,Q586)</f>
        <v>13861150.43186722</v>
      </c>
      <c r="T586" s="9">
        <f t="shared" si="185"/>
        <v>582</v>
      </c>
      <c r="U586" s="17">
        <f t="shared" ca="1" si="188"/>
        <v>63221</v>
      </c>
    </row>
    <row r="587" spans="2:21" x14ac:dyDescent="0.2">
      <c r="B587" s="17">
        <f t="shared" ca="1" si="186"/>
        <v>63221</v>
      </c>
      <c r="C587" s="9">
        <f t="shared" si="189"/>
        <v>583</v>
      </c>
      <c r="D587" s="9"/>
      <c r="E587" s="13">
        <f t="shared" si="187"/>
        <v>10701.552337666384</v>
      </c>
      <c r="F587" s="14">
        <f t="shared" si="172"/>
        <v>2425962.6167667662</v>
      </c>
      <c r="G587" s="15">
        <f t="shared" si="173"/>
        <v>0.17379589188311875</v>
      </c>
      <c r="H587" s="13">
        <f t="shared" si="174"/>
        <v>636149.65458001185</v>
      </c>
      <c r="I587" s="13">
        <f t="shared" si="175"/>
        <v>62106220.722646594</v>
      </c>
      <c r="J587" s="15">
        <f t="shared" si="176"/>
        <v>0.82620410811688128</v>
      </c>
      <c r="K587" s="13">
        <f t="shared" si="177"/>
        <v>11532725.30433942</v>
      </c>
      <c r="L587" s="13">
        <f t="shared" si="178"/>
        <v>1387881313.7747264</v>
      </c>
      <c r="M587" s="15">
        <f t="shared" si="179"/>
        <v>0.82620410811688128</v>
      </c>
      <c r="N587" s="13">
        <f t="shared" si="180"/>
        <v>237143.47396639039</v>
      </c>
      <c r="O587" s="13">
        <f t="shared" si="181"/>
        <v>50573495.418307126</v>
      </c>
      <c r="P587" s="15">
        <f t="shared" si="182"/>
        <v>0.78369416314819074</v>
      </c>
      <c r="Q587" s="7">
        <f t="shared" si="183"/>
        <v>64532183.339413308</v>
      </c>
      <c r="R587" s="7">
        <f t="shared" si="184"/>
        <v>13958687.921106186</v>
      </c>
      <c r="S587" s="13">
        <f>IF(Calc!$AD$32="Sim",R587,Q587)</f>
        <v>13958687.921106186</v>
      </c>
      <c r="T587" s="9">
        <f t="shared" si="185"/>
        <v>583</v>
      </c>
      <c r="U587" s="17">
        <f t="shared" ca="1" si="188"/>
        <v>63249</v>
      </c>
    </row>
    <row r="588" spans="2:21" x14ac:dyDescent="0.2">
      <c r="B588" s="17">
        <f t="shared" ca="1" si="186"/>
        <v>63249</v>
      </c>
      <c r="C588" s="9">
        <f t="shared" si="189"/>
        <v>584</v>
      </c>
      <c r="D588" s="9"/>
      <c r="E588" s="13">
        <f t="shared" si="187"/>
        <v>10745.151786567229</v>
      </c>
      <c r="F588" s="14">
        <f t="shared" si="172"/>
        <v>2436707.7685533334</v>
      </c>
      <c r="G588" s="15">
        <f t="shared" si="173"/>
        <v>0.17334627554630086</v>
      </c>
      <c r="H588" s="13">
        <f t="shared" si="174"/>
        <v>642590.79150627728</v>
      </c>
      <c r="I588" s="13">
        <f t="shared" si="175"/>
        <v>62748811.51415287</v>
      </c>
      <c r="J588" s="15">
        <f t="shared" si="176"/>
        <v>0.82665372445369911</v>
      </c>
      <c r="K588" s="13">
        <f t="shared" si="177"/>
        <v>11620172.085796278</v>
      </c>
      <c r="L588" s="13">
        <f t="shared" si="178"/>
        <v>1399501485.8605227</v>
      </c>
      <c r="M588" s="15">
        <f t="shared" si="179"/>
        <v>0.82665372445369911</v>
      </c>
      <c r="N588" s="13">
        <f t="shared" si="180"/>
        <v>239544.3590324462</v>
      </c>
      <c r="O588" s="13">
        <f t="shared" si="181"/>
        <v>51128639.428356536</v>
      </c>
      <c r="P588" s="15">
        <f t="shared" si="182"/>
        <v>0.78435578930673744</v>
      </c>
      <c r="Q588" s="7">
        <f t="shared" si="183"/>
        <v>65185519.282706149</v>
      </c>
      <c r="R588" s="7">
        <f t="shared" si="184"/>
        <v>14056879.854349611</v>
      </c>
      <c r="S588" s="13">
        <f>IF(Calc!$AD$32="Sim",R588,Q588)</f>
        <v>14056879.854349611</v>
      </c>
      <c r="T588" s="9">
        <f t="shared" si="185"/>
        <v>584</v>
      </c>
      <c r="U588" s="17">
        <f t="shared" ca="1" si="188"/>
        <v>63280</v>
      </c>
    </row>
    <row r="589" spans="2:21" x14ac:dyDescent="0.2">
      <c r="B589" s="17">
        <f t="shared" ca="1" si="186"/>
        <v>63280</v>
      </c>
      <c r="C589" s="9">
        <f t="shared" si="189"/>
        <v>585</v>
      </c>
      <c r="D589" s="9"/>
      <c r="E589" s="13">
        <f t="shared" si="187"/>
        <v>10788.928865019794</v>
      </c>
      <c r="F589" s="14">
        <f t="shared" si="172"/>
        <v>2447496.6974183531</v>
      </c>
      <c r="G589" s="15">
        <f t="shared" si="173"/>
        <v>0.17289794378296583</v>
      </c>
      <c r="H589" s="13">
        <f t="shared" si="174"/>
        <v>649096.50135824247</v>
      </c>
      <c r="I589" s="13">
        <f t="shared" si="175"/>
        <v>63397908.01551111</v>
      </c>
      <c r="J589" s="15">
        <f t="shared" si="176"/>
        <v>0.82710205621703414</v>
      </c>
      <c r="K589" s="13">
        <f t="shared" si="177"/>
        <v>11708233.809652513</v>
      </c>
      <c r="L589" s="13">
        <f t="shared" si="178"/>
        <v>1411209719.6701753</v>
      </c>
      <c r="M589" s="15">
        <f t="shared" si="179"/>
        <v>0.82710205621703414</v>
      </c>
      <c r="N589" s="13">
        <f t="shared" si="180"/>
        <v>241969.31221464198</v>
      </c>
      <c r="O589" s="13">
        <f t="shared" si="181"/>
        <v>51689674.205858544</v>
      </c>
      <c r="P589" s="15">
        <f t="shared" si="182"/>
        <v>0.78501566557626079</v>
      </c>
      <c r="Q589" s="7">
        <f t="shared" si="183"/>
        <v>65845404.712929413</v>
      </c>
      <c r="R589" s="7">
        <f t="shared" si="184"/>
        <v>14155730.507070865</v>
      </c>
      <c r="S589" s="13">
        <f>IF(Calc!$AD$32="Sim",R589,Q589)</f>
        <v>14155730.507070865</v>
      </c>
      <c r="T589" s="9">
        <f t="shared" si="185"/>
        <v>585</v>
      </c>
      <c r="U589" s="17">
        <f t="shared" ca="1" si="188"/>
        <v>63310</v>
      </c>
    </row>
    <row r="590" spans="2:21" x14ac:dyDescent="0.2">
      <c r="B590" s="17">
        <f t="shared" ca="1" si="186"/>
        <v>63310</v>
      </c>
      <c r="C590" s="9">
        <f t="shared" si="189"/>
        <v>586</v>
      </c>
      <c r="D590" s="9"/>
      <c r="E590" s="13">
        <f t="shared" si="187"/>
        <v>10832.884296708862</v>
      </c>
      <c r="F590" s="14">
        <f t="shared" si="172"/>
        <v>2458329.5817150618</v>
      </c>
      <c r="G590" s="15">
        <f t="shared" si="173"/>
        <v>0.17245089247777168</v>
      </c>
      <c r="H590" s="13">
        <f t="shared" si="174"/>
        <v>655667.42890117667</v>
      </c>
      <c r="I590" s="13">
        <f t="shared" si="175"/>
        <v>64053575.444412284</v>
      </c>
      <c r="J590" s="15">
        <f t="shared" si="176"/>
        <v>0.82754910752222832</v>
      </c>
      <c r="K590" s="13">
        <f t="shared" si="177"/>
        <v>11796914.600520365</v>
      </c>
      <c r="L590" s="13">
        <f t="shared" si="178"/>
        <v>1423006634.2706957</v>
      </c>
      <c r="M590" s="15">
        <f t="shared" si="179"/>
        <v>0.82754910752222832</v>
      </c>
      <c r="N590" s="13">
        <f t="shared" si="180"/>
        <v>244418.57383097566</v>
      </c>
      <c r="O590" s="13">
        <f t="shared" si="181"/>
        <v>52256660.843891867</v>
      </c>
      <c r="P590" s="15">
        <f t="shared" si="182"/>
        <v>0.78567379514034874</v>
      </c>
      <c r="Q590" s="7">
        <f t="shared" si="183"/>
        <v>66511905.026127294</v>
      </c>
      <c r="R590" s="7">
        <f t="shared" si="184"/>
        <v>14255244.182235427</v>
      </c>
      <c r="S590" s="13">
        <f>IF(Calc!$AD$32="Sim",R590,Q590)</f>
        <v>14255244.182235427</v>
      </c>
      <c r="T590" s="9">
        <f t="shared" si="185"/>
        <v>586</v>
      </c>
      <c r="U590" s="17">
        <f t="shared" ca="1" si="188"/>
        <v>63341</v>
      </c>
    </row>
    <row r="591" spans="2:21" x14ac:dyDescent="0.2">
      <c r="B591" s="17">
        <f t="shared" ca="1" si="186"/>
        <v>63341</v>
      </c>
      <c r="C591" s="9">
        <f t="shared" si="189"/>
        <v>587</v>
      </c>
      <c r="D591" s="9"/>
      <c r="E591" s="13">
        <f t="shared" si="187"/>
        <v>10877.018808267594</v>
      </c>
      <c r="F591" s="14">
        <f t="shared" si="172"/>
        <v>2469206.6005233293</v>
      </c>
      <c r="G591" s="15">
        <f t="shared" si="173"/>
        <v>0.17200511753015954</v>
      </c>
      <c r="H591" s="13">
        <f t="shared" si="174"/>
        <v>662304.22532792063</v>
      </c>
      <c r="I591" s="13">
        <f t="shared" si="175"/>
        <v>64715879.669740207</v>
      </c>
      <c r="J591" s="15">
        <f t="shared" si="176"/>
        <v>0.82799488246984043</v>
      </c>
      <c r="K591" s="13">
        <f t="shared" si="177"/>
        <v>11886218.60995261</v>
      </c>
      <c r="L591" s="13">
        <f t="shared" si="178"/>
        <v>1434892852.8806484</v>
      </c>
      <c r="M591" s="15">
        <f t="shared" si="179"/>
        <v>0.82799488246984043</v>
      </c>
      <c r="N591" s="13">
        <f t="shared" si="180"/>
        <v>246892.38659512508</v>
      </c>
      <c r="O591" s="13">
        <f t="shared" si="181"/>
        <v>52829661.059787542</v>
      </c>
      <c r="P591" s="15">
        <f t="shared" si="182"/>
        <v>0.78633018118442555</v>
      </c>
      <c r="Q591" s="7">
        <f t="shared" si="183"/>
        <v>67185086.270263478</v>
      </c>
      <c r="R591" s="7">
        <f t="shared" si="184"/>
        <v>14355425.21047594</v>
      </c>
      <c r="S591" s="13">
        <f>IF(Calc!$AD$32="Sim",R591,Q591)</f>
        <v>14355425.21047594</v>
      </c>
      <c r="T591" s="9">
        <f t="shared" si="185"/>
        <v>587</v>
      </c>
      <c r="U591" s="17">
        <f t="shared" ca="1" si="188"/>
        <v>63371</v>
      </c>
    </row>
    <row r="592" spans="2:21" x14ac:dyDescent="0.2">
      <c r="B592" s="17">
        <f t="shared" ca="1" si="186"/>
        <v>63371</v>
      </c>
      <c r="C592" s="9">
        <f t="shared" si="189"/>
        <v>588</v>
      </c>
      <c r="D592" s="9">
        <v>49</v>
      </c>
      <c r="E592" s="13">
        <f t="shared" si="187"/>
        <v>10921.333129289547</v>
      </c>
      <c r="F592" s="14">
        <f t="shared" si="172"/>
        <v>2480127.9336526189</v>
      </c>
      <c r="G592" s="15">
        <f t="shared" si="173"/>
        <v>0.17156061485429408</v>
      </c>
      <c r="H592" s="13">
        <f t="shared" si="174"/>
        <v>669007.5483229208</v>
      </c>
      <c r="I592" s="13">
        <f t="shared" si="175"/>
        <v>65384887.218063131</v>
      </c>
      <c r="J592" s="15">
        <f t="shared" si="176"/>
        <v>0.82843938514570592</v>
      </c>
      <c r="K592" s="13">
        <f t="shared" si="177"/>
        <v>11976150.016615771</v>
      </c>
      <c r="L592" s="13">
        <f t="shared" si="178"/>
        <v>1446869002.8972642</v>
      </c>
      <c r="M592" s="15">
        <f t="shared" si="179"/>
        <v>0.82843938514570592</v>
      </c>
      <c r="N592" s="13">
        <f t="shared" si="180"/>
        <v>249390.99564031416</v>
      </c>
      <c r="O592" s="13">
        <f t="shared" si="181"/>
        <v>53408737.201447293</v>
      </c>
      <c r="P592" s="15">
        <f t="shared" si="182"/>
        <v>0.78698482689570404</v>
      </c>
      <c r="Q592" s="7">
        <f t="shared" si="183"/>
        <v>67865015.151715681</v>
      </c>
      <c r="R592" s="7">
        <f t="shared" si="184"/>
        <v>14456277.95026839</v>
      </c>
      <c r="S592" s="13">
        <f>IF(Calc!$AD$32="Sim",R592,Q592)</f>
        <v>14456277.95026839</v>
      </c>
      <c r="T592" s="9">
        <f t="shared" si="185"/>
        <v>588</v>
      </c>
      <c r="U592" s="17">
        <f t="shared" ca="1" si="188"/>
        <v>63402</v>
      </c>
    </row>
    <row r="593" spans="2:21" x14ac:dyDescent="0.2">
      <c r="B593" s="17">
        <f t="shared" ca="1" si="186"/>
        <v>63402</v>
      </c>
      <c r="C593" s="9">
        <f t="shared" si="189"/>
        <v>589</v>
      </c>
      <c r="D593" s="9"/>
      <c r="E593" s="13">
        <f t="shared" si="187"/>
        <v>10965.827992340732</v>
      </c>
      <c r="F593" s="14">
        <f t="shared" si="172"/>
        <v>2491093.7616449594</v>
      </c>
      <c r="G593" s="15">
        <f t="shared" si="173"/>
        <v>0.17111738037900384</v>
      </c>
      <c r="H593" s="13">
        <f t="shared" si="174"/>
        <v>675778.06212689902</v>
      </c>
      <c r="I593" s="13">
        <f t="shared" si="175"/>
        <v>66060665.280190028</v>
      </c>
      <c r="J593" s="15">
        <f t="shared" si="176"/>
        <v>0.82888261962099619</v>
      </c>
      <c r="K593" s="13">
        <f t="shared" si="177"/>
        <v>12066713.026464436</v>
      </c>
      <c r="L593" s="13">
        <f t="shared" si="178"/>
        <v>1458935715.9237287</v>
      </c>
      <c r="M593" s="15">
        <f t="shared" si="179"/>
        <v>0.82888261962099619</v>
      </c>
      <c r="N593" s="13">
        <f t="shared" si="180"/>
        <v>251914.6485434169</v>
      </c>
      <c r="O593" s="13">
        <f t="shared" si="181"/>
        <v>53993952.253725529</v>
      </c>
      <c r="P593" s="15">
        <f t="shared" si="182"/>
        <v>0.78763773546313764</v>
      </c>
      <c r="Q593" s="7">
        <f t="shared" si="183"/>
        <v>68551759.041834921</v>
      </c>
      <c r="R593" s="7">
        <f t="shared" si="184"/>
        <v>14557806.788109396</v>
      </c>
      <c r="S593" s="13">
        <f>IF(Calc!$AD$32="Sim",R593,Q593)</f>
        <v>14557806.788109396</v>
      </c>
      <c r="T593" s="9">
        <f t="shared" si="185"/>
        <v>589</v>
      </c>
      <c r="U593" s="17">
        <f t="shared" ca="1" si="188"/>
        <v>63433</v>
      </c>
    </row>
    <row r="594" spans="2:21" x14ac:dyDescent="0.2">
      <c r="B594" s="17">
        <f t="shared" ca="1" si="186"/>
        <v>63433</v>
      </c>
      <c r="C594" s="9">
        <f t="shared" si="189"/>
        <v>590</v>
      </c>
      <c r="D594" s="9"/>
      <c r="E594" s="13">
        <f t="shared" si="187"/>
        <v>11010.504132971724</v>
      </c>
      <c r="F594" s="14">
        <f t="shared" si="172"/>
        <v>2502104.2657779311</v>
      </c>
      <c r="G594" s="15">
        <f t="shared" si="173"/>
        <v>0.17067541004772246</v>
      </c>
      <c r="H594" s="13">
        <f t="shared" si="174"/>
        <v>682616.43760216818</v>
      </c>
      <c r="I594" s="13">
        <f t="shared" si="175"/>
        <v>66743281.717792198</v>
      </c>
      <c r="J594" s="15">
        <f t="shared" si="176"/>
        <v>0.82932458995227754</v>
      </c>
      <c r="K594" s="13">
        <f t="shared" si="177"/>
        <v>12157911.872916678</v>
      </c>
      <c r="L594" s="13">
        <f t="shared" si="178"/>
        <v>1471093627.7966454</v>
      </c>
      <c r="M594" s="15">
        <f t="shared" si="179"/>
        <v>0.82932458995227754</v>
      </c>
      <c r="N594" s="13">
        <f t="shared" si="180"/>
        <v>254463.59534930144</v>
      </c>
      <c r="O594" s="13">
        <f t="shared" si="181"/>
        <v>54585369.844875447</v>
      </c>
      <c r="P594" s="15">
        <f t="shared" si="182"/>
        <v>0.78828891007737312</v>
      </c>
      <c r="Q594" s="7">
        <f t="shared" si="183"/>
        <v>69245385.983570054</v>
      </c>
      <c r="R594" s="7">
        <f t="shared" si="184"/>
        <v>14660016.138694609</v>
      </c>
      <c r="S594" s="13">
        <f>IF(Calc!$AD$32="Sim",R594,Q594)</f>
        <v>14660016.138694609</v>
      </c>
      <c r="T594" s="9">
        <f t="shared" si="185"/>
        <v>590</v>
      </c>
      <c r="U594" s="17">
        <f t="shared" ca="1" si="188"/>
        <v>63463</v>
      </c>
    </row>
    <row r="595" spans="2:21" x14ac:dyDescent="0.2">
      <c r="B595" s="17">
        <f t="shared" ca="1" si="186"/>
        <v>63463</v>
      </c>
      <c r="C595" s="9">
        <f t="shared" si="189"/>
        <v>591</v>
      </c>
      <c r="D595" s="9"/>
      <c r="E595" s="13">
        <f t="shared" si="187"/>
        <v>11055.362289729823</v>
      </c>
      <c r="F595" s="14">
        <f t="shared" si="172"/>
        <v>2513159.6280676611</v>
      </c>
      <c r="G595" s="15">
        <f t="shared" si="173"/>
        <v>0.17023469981842962</v>
      </c>
      <c r="H595" s="13">
        <f t="shared" si="174"/>
        <v>689523.35229859746</v>
      </c>
      <c r="I595" s="13">
        <f t="shared" si="175"/>
        <v>67432805.070090801</v>
      </c>
      <c r="J595" s="15">
        <f t="shared" si="176"/>
        <v>0.82976530018157035</v>
      </c>
      <c r="K595" s="13">
        <f t="shared" si="177"/>
        <v>12249750.817030596</v>
      </c>
      <c r="L595" s="13">
        <f t="shared" si="178"/>
        <v>1483343378.6136761</v>
      </c>
      <c r="M595" s="15">
        <f t="shared" si="179"/>
        <v>0.82976530018157035</v>
      </c>
      <c r="N595" s="13">
        <f t="shared" si="180"/>
        <v>257038.08859541657</v>
      </c>
      <c r="O595" s="13">
        <f t="shared" si="181"/>
        <v>55183054.253060125</v>
      </c>
      <c r="P595" s="15">
        <f t="shared" si="182"/>
        <v>0.78893835393070288</v>
      </c>
      <c r="Q595" s="7">
        <f t="shared" si="183"/>
        <v>69945964.698158383</v>
      </c>
      <c r="R595" s="7">
        <f t="shared" si="184"/>
        <v>14762910.445098257</v>
      </c>
      <c r="S595" s="13">
        <f>IF(Calc!$AD$32="Sim",R595,Q595)</f>
        <v>14762910.445098257</v>
      </c>
      <c r="T595" s="9">
        <f t="shared" si="185"/>
        <v>591</v>
      </c>
      <c r="U595" s="17">
        <f t="shared" ca="1" si="188"/>
        <v>63494</v>
      </c>
    </row>
    <row r="596" spans="2:21" x14ac:dyDescent="0.2">
      <c r="B596" s="17">
        <f t="shared" ca="1" si="186"/>
        <v>63494</v>
      </c>
      <c r="C596" s="9">
        <f t="shared" si="189"/>
        <v>592</v>
      </c>
      <c r="D596" s="9"/>
      <c r="E596" s="13">
        <f t="shared" si="187"/>
        <v>11100.40320417126</v>
      </c>
      <c r="F596" s="14">
        <f t="shared" si="172"/>
        <v>2524260.0312718325</v>
      </c>
      <c r="G596" s="15">
        <f t="shared" si="173"/>
        <v>0.16979524566359264</v>
      </c>
      <c r="H596" s="13">
        <f t="shared" si="174"/>
        <v>696499.49052023434</v>
      </c>
      <c r="I596" s="13">
        <f t="shared" si="175"/>
        <v>68129304.560611039</v>
      </c>
      <c r="J596" s="15">
        <f t="shared" si="176"/>
        <v>0.83020475433640739</v>
      </c>
      <c r="K596" s="13">
        <f t="shared" si="177"/>
        <v>12342234.147681981</v>
      </c>
      <c r="L596" s="13">
        <f t="shared" si="178"/>
        <v>1495685612.761358</v>
      </c>
      <c r="M596" s="15">
        <f t="shared" si="179"/>
        <v>0.83020475433640739</v>
      </c>
      <c r="N596" s="13">
        <f t="shared" si="180"/>
        <v>259638.38333662317</v>
      </c>
      <c r="O596" s="13">
        <f t="shared" si="181"/>
        <v>55787070.412928984</v>
      </c>
      <c r="P596" s="15">
        <f t="shared" si="182"/>
        <v>0.78958607021701799</v>
      </c>
      <c r="Q596" s="7">
        <f t="shared" si="183"/>
        <v>70653564.591882795</v>
      </c>
      <c r="R596" s="7">
        <f t="shared" si="184"/>
        <v>14866494.178953813</v>
      </c>
      <c r="S596" s="13">
        <f>IF(Calc!$AD$32="Sim",R596,Q596)</f>
        <v>14866494.178953813</v>
      </c>
      <c r="T596" s="9">
        <f t="shared" si="185"/>
        <v>592</v>
      </c>
      <c r="U596" s="17">
        <f t="shared" ca="1" si="188"/>
        <v>63524</v>
      </c>
    </row>
    <row r="597" spans="2:21" x14ac:dyDescent="0.2">
      <c r="B597" s="17">
        <f t="shared" ca="1" si="186"/>
        <v>63524</v>
      </c>
      <c r="C597" s="9">
        <f t="shared" si="189"/>
        <v>593</v>
      </c>
      <c r="D597" s="9"/>
      <c r="E597" s="13">
        <f t="shared" si="187"/>
        <v>11145.62762087346</v>
      </c>
      <c r="F597" s="14">
        <f t="shared" si="172"/>
        <v>2535405.658892706</v>
      </c>
      <c r="G597" s="15">
        <f t="shared" si="173"/>
        <v>0.16935704357010795</v>
      </c>
      <c r="H597" s="13">
        <f t="shared" si="174"/>
        <v>703545.54339259118</v>
      </c>
      <c r="I597" s="13">
        <f t="shared" si="175"/>
        <v>68832850.104003638</v>
      </c>
      <c r="J597" s="15">
        <f t="shared" si="176"/>
        <v>0.83064295642989205</v>
      </c>
      <c r="K597" s="13">
        <f t="shared" si="177"/>
        <v>12435366.181743115</v>
      </c>
      <c r="L597" s="13">
        <f t="shared" si="178"/>
        <v>1508120978.9431012</v>
      </c>
      <c r="M597" s="15">
        <f t="shared" si="179"/>
        <v>0.83064295642989205</v>
      </c>
      <c r="N597" s="13">
        <f t="shared" si="180"/>
        <v>262264.73717027268</v>
      </c>
      <c r="O597" s="13">
        <f t="shared" si="181"/>
        <v>56397483.922260448</v>
      </c>
      <c r="P597" s="15">
        <f t="shared" si="182"/>
        <v>0.79023206213176089</v>
      </c>
      <c r="Q597" s="7">
        <f t="shared" si="183"/>
        <v>71368255.76289627</v>
      </c>
      <c r="R597" s="7">
        <f t="shared" si="184"/>
        <v>14970771.840635821</v>
      </c>
      <c r="S597" s="13">
        <f>IF(Calc!$AD$32="Sim",R597,Q597)</f>
        <v>14970771.840635821</v>
      </c>
      <c r="T597" s="9">
        <f t="shared" si="185"/>
        <v>593</v>
      </c>
      <c r="U597" s="17">
        <f t="shared" ca="1" si="188"/>
        <v>63555</v>
      </c>
    </row>
    <row r="598" spans="2:21" x14ac:dyDescent="0.2">
      <c r="B598" s="17">
        <f t="shared" ca="1" si="186"/>
        <v>63555</v>
      </c>
      <c r="C598" s="9">
        <f t="shared" si="189"/>
        <v>594</v>
      </c>
      <c r="D598" s="9"/>
      <c r="E598" s="13">
        <f t="shared" si="187"/>
        <v>11191.036287447349</v>
      </c>
      <c r="F598" s="14">
        <f t="shared" si="172"/>
        <v>2546596.6951801535</v>
      </c>
      <c r="G598" s="15">
        <f t="shared" si="173"/>
        <v>0.16892008953924345</v>
      </c>
      <c r="H598" s="13">
        <f t="shared" si="174"/>
        <v>710662.20893060043</v>
      </c>
      <c r="I598" s="13">
        <f t="shared" si="175"/>
        <v>69543512.312934235</v>
      </c>
      <c r="J598" s="15">
        <f t="shared" si="176"/>
        <v>0.83107991046075658</v>
      </c>
      <c r="K598" s="13">
        <f t="shared" si="177"/>
        <v>12529151.2642627</v>
      </c>
      <c r="L598" s="13">
        <f t="shared" si="178"/>
        <v>1520650130.2073638</v>
      </c>
      <c r="M598" s="15">
        <f t="shared" si="179"/>
        <v>0.83107991046075658</v>
      </c>
      <c r="N598" s="13">
        <f t="shared" si="180"/>
        <v>264917.41026153578</v>
      </c>
      <c r="O598" s="13">
        <f t="shared" si="181"/>
        <v>57014361.048671454</v>
      </c>
      <c r="P598" s="15">
        <f t="shared" si="182"/>
        <v>0.79087633287187897</v>
      </c>
      <c r="Q598" s="7">
        <f t="shared" si="183"/>
        <v>72090109.008114308</v>
      </c>
      <c r="R598" s="7">
        <f t="shared" si="184"/>
        <v>15075747.959442854</v>
      </c>
      <c r="S598" s="13">
        <f>IF(Calc!$AD$32="Sim",R598,Q598)</f>
        <v>15075747.959442854</v>
      </c>
      <c r="T598" s="9">
        <f t="shared" si="185"/>
        <v>594</v>
      </c>
      <c r="U598" s="17">
        <f t="shared" ca="1" si="188"/>
        <v>63586</v>
      </c>
    </row>
    <row r="599" spans="2:21" x14ac:dyDescent="0.2">
      <c r="B599" s="17">
        <f t="shared" ca="1" si="186"/>
        <v>63586</v>
      </c>
      <c r="C599" s="9">
        <f t="shared" si="189"/>
        <v>595</v>
      </c>
      <c r="D599" s="9"/>
      <c r="E599" s="13">
        <f t="shared" si="187"/>
        <v>11236.62995454971</v>
      </c>
      <c r="F599" s="14">
        <f t="shared" si="172"/>
        <v>2557833.325134703</v>
      </c>
      <c r="G599" s="15">
        <f t="shared" si="173"/>
        <v>0.16848437958658041</v>
      </c>
      <c r="H599" s="13">
        <f t="shared" si="174"/>
        <v>717850.19210724789</v>
      </c>
      <c r="I599" s="13">
        <f t="shared" si="175"/>
        <v>70261362.50504148</v>
      </c>
      <c r="J599" s="15">
        <f t="shared" si="176"/>
        <v>0.83151562041341953</v>
      </c>
      <c r="K599" s="13">
        <f t="shared" si="177"/>
        <v>12623593.768646941</v>
      </c>
      <c r="L599" s="13">
        <f t="shared" si="178"/>
        <v>1533273723.9760108</v>
      </c>
      <c r="M599" s="15">
        <f t="shared" si="179"/>
        <v>0.83151562041341953</v>
      </c>
      <c r="N599" s="13">
        <f t="shared" si="180"/>
        <v>267596.66536898311</v>
      </c>
      <c r="O599" s="13">
        <f t="shared" si="181"/>
        <v>57637768.736394458</v>
      </c>
      <c r="P599" s="15">
        <f t="shared" si="182"/>
        <v>0.79151888563577766</v>
      </c>
      <c r="Q599" s="7">
        <f t="shared" si="183"/>
        <v>72819195.8301761</v>
      </c>
      <c r="R599" s="7">
        <f t="shared" si="184"/>
        <v>15181427.093781644</v>
      </c>
      <c r="S599" s="13">
        <f>IF(Calc!$AD$32="Sim",R599,Q599)</f>
        <v>15181427.093781644</v>
      </c>
      <c r="T599" s="9">
        <f t="shared" si="185"/>
        <v>595</v>
      </c>
      <c r="U599" s="17">
        <f t="shared" ca="1" si="188"/>
        <v>63614</v>
      </c>
    </row>
    <row r="600" spans="2:21" x14ac:dyDescent="0.2">
      <c r="B600" s="17">
        <f t="shared" ca="1" si="186"/>
        <v>63614</v>
      </c>
      <c r="C600" s="9">
        <f t="shared" si="189"/>
        <v>596</v>
      </c>
      <c r="D600" s="9"/>
      <c r="E600" s="13">
        <f t="shared" si="187"/>
        <v>11282.409375895597</v>
      </c>
      <c r="F600" s="14">
        <f t="shared" si="172"/>
        <v>2569115.7345105987</v>
      </c>
      <c r="G600" s="15">
        <f t="shared" si="173"/>
        <v>0.16804990974195641</v>
      </c>
      <c r="H600" s="13">
        <f t="shared" si="174"/>
        <v>725110.20492288959</v>
      </c>
      <c r="I600" s="13">
        <f t="shared" si="175"/>
        <v>70986472.709964365</v>
      </c>
      <c r="J600" s="15">
        <f t="shared" si="176"/>
        <v>0.83195009025804356</v>
      </c>
      <c r="K600" s="13">
        <f t="shared" si="177"/>
        <v>12718698.096841773</v>
      </c>
      <c r="L600" s="13">
        <f t="shared" si="178"/>
        <v>1545992422.0728526</v>
      </c>
      <c r="M600" s="15">
        <f t="shared" si="179"/>
        <v>0.83195009025804356</v>
      </c>
      <c r="N600" s="13">
        <f t="shared" si="180"/>
        <v>270302.76787042053</v>
      </c>
      <c r="O600" s="13">
        <f t="shared" si="181"/>
        <v>58267774.613122508</v>
      </c>
      <c r="P600" s="15">
        <f t="shared" si="182"/>
        <v>0.79215972362327403</v>
      </c>
      <c r="Q600" s="7">
        <f t="shared" si="183"/>
        <v>73555588.444474876</v>
      </c>
      <c r="R600" s="7">
        <f t="shared" si="184"/>
        <v>15287813.831352372</v>
      </c>
      <c r="S600" s="13">
        <f>IF(Calc!$AD$32="Sim",R600,Q600)</f>
        <v>15287813.831352372</v>
      </c>
      <c r="T600" s="9">
        <f t="shared" si="185"/>
        <v>596</v>
      </c>
      <c r="U600" s="17">
        <f t="shared" ca="1" si="188"/>
        <v>63645</v>
      </c>
    </row>
    <row r="601" spans="2:21" x14ac:dyDescent="0.2">
      <c r="B601" s="17">
        <f t="shared" ca="1" si="186"/>
        <v>63645</v>
      </c>
      <c r="C601" s="9">
        <f t="shared" si="189"/>
        <v>597</v>
      </c>
      <c r="D601" s="9"/>
      <c r="E601" s="13">
        <f t="shared" si="187"/>
        <v>11328.37530827079</v>
      </c>
      <c r="F601" s="14">
        <f t="shared" si="172"/>
        <v>2580444.1098188693</v>
      </c>
      <c r="G601" s="15">
        <f t="shared" si="173"/>
        <v>0.16761667604940761</v>
      </c>
      <c r="H601" s="13">
        <f t="shared" si="174"/>
        <v>732442.96647525788</v>
      </c>
      <c r="I601" s="13">
        <f t="shared" si="175"/>
        <v>71718915.676439628</v>
      </c>
      <c r="J601" s="15">
        <f t="shared" si="176"/>
        <v>0.83238332395059245</v>
      </c>
      <c r="K601" s="13">
        <f t="shared" si="177"/>
        <v>12814468.679516263</v>
      </c>
      <c r="L601" s="13">
        <f t="shared" si="178"/>
        <v>1558806890.7523689</v>
      </c>
      <c r="M601" s="15">
        <f t="shared" si="179"/>
        <v>0.83238332395059234</v>
      </c>
      <c r="N601" s="13">
        <f t="shared" si="180"/>
        <v>273035.98578898219</v>
      </c>
      <c r="O601" s="13">
        <f t="shared" si="181"/>
        <v>58904446.996923283</v>
      </c>
      <c r="P601" s="15">
        <f t="shared" si="182"/>
        <v>0.79279885003555028</v>
      </c>
      <c r="Q601" s="7">
        <f t="shared" si="183"/>
        <v>74299359.786258414</v>
      </c>
      <c r="R601" s="7">
        <f t="shared" si="184"/>
        <v>15394912.789335134</v>
      </c>
      <c r="S601" s="13">
        <f>IF(Calc!$AD$32="Sim",R601,Q601)</f>
        <v>15394912.789335134</v>
      </c>
      <c r="T601" s="9">
        <f t="shared" si="185"/>
        <v>597</v>
      </c>
      <c r="U601" s="17">
        <f t="shared" ca="1" si="188"/>
        <v>63675</v>
      </c>
    </row>
    <row r="602" spans="2:21" x14ac:dyDescent="0.2">
      <c r="B602" s="17">
        <f t="shared" ca="1" si="186"/>
        <v>63675</v>
      </c>
      <c r="C602" s="9">
        <f t="shared" si="189"/>
        <v>598</v>
      </c>
      <c r="D602" s="9"/>
      <c r="E602" s="13">
        <f t="shared" si="187"/>
        <v>11374.528511544311</v>
      </c>
      <c r="F602" s="14">
        <f t="shared" si="172"/>
        <v>2591818.6383304135</v>
      </c>
      <c r="G602" s="15">
        <f t="shared" si="173"/>
        <v>0.16718467456711239</v>
      </c>
      <c r="H602" s="13">
        <f t="shared" si="174"/>
        <v>739849.20303016552</v>
      </c>
      <c r="I602" s="13">
        <f t="shared" si="175"/>
        <v>72458764.879469797</v>
      </c>
      <c r="J602" s="15">
        <f t="shared" si="176"/>
        <v>0.83281532543288761</v>
      </c>
      <c r="K602" s="13">
        <f t="shared" si="177"/>
        <v>12910909.976247165</v>
      </c>
      <c r="L602" s="13">
        <f t="shared" si="178"/>
        <v>1571717800.728616</v>
      </c>
      <c r="M602" s="15">
        <f t="shared" si="179"/>
        <v>0.83281532543288761</v>
      </c>
      <c r="N602" s="13">
        <f t="shared" si="180"/>
        <v>275796.58981948294</v>
      </c>
      <c r="O602" s="13">
        <f t="shared" si="181"/>
        <v>59547854.903222546</v>
      </c>
      <c r="P602" s="15">
        <f t="shared" si="182"/>
        <v>0.79343626807510803</v>
      </c>
      <c r="Q602" s="7">
        <f t="shared" si="183"/>
        <v>75050583.517800122</v>
      </c>
      <c r="R602" s="7">
        <f t="shared" si="184"/>
        <v>15502728.614577578</v>
      </c>
      <c r="S602" s="13">
        <f>IF(Calc!$AD$32="Sim",R602,Q602)</f>
        <v>15502728.614577578</v>
      </c>
      <c r="T602" s="9">
        <f t="shared" si="185"/>
        <v>598</v>
      </c>
      <c r="U602" s="17">
        <f t="shared" ca="1" si="188"/>
        <v>63706</v>
      </c>
    </row>
    <row r="603" spans="2:21" x14ac:dyDescent="0.2">
      <c r="B603" s="17">
        <f t="shared" ca="1" si="186"/>
        <v>63706</v>
      </c>
      <c r="C603" s="9">
        <f t="shared" si="189"/>
        <v>599</v>
      </c>
      <c r="D603" s="9"/>
      <c r="E603" s="13">
        <f t="shared" si="187"/>
        <v>11420.86974868098</v>
      </c>
      <c r="F603" s="14">
        <f t="shared" si="172"/>
        <v>2603239.5080790943</v>
      </c>
      <c r="G603" s="15">
        <f t="shared" si="173"/>
        <v>0.16675390136733426</v>
      </c>
      <c r="H603" s="13">
        <f t="shared" si="174"/>
        <v>747329.64809291391</v>
      </c>
      <c r="I603" s="13">
        <f t="shared" si="175"/>
        <v>73206094.527562708</v>
      </c>
      <c r="J603" s="15">
        <f t="shared" si="176"/>
        <v>0.83324609863266574</v>
      </c>
      <c r="K603" s="13">
        <f t="shared" si="177"/>
        <v>13008026.475704646</v>
      </c>
      <c r="L603" s="13">
        <f t="shared" si="178"/>
        <v>1584725827.2043207</v>
      </c>
      <c r="M603" s="15">
        <f t="shared" si="179"/>
        <v>0.83324609863266574</v>
      </c>
      <c r="N603" s="13">
        <f t="shared" si="180"/>
        <v>278584.8533550335</v>
      </c>
      <c r="O603" s="13">
        <f t="shared" si="181"/>
        <v>60198068.051857978</v>
      </c>
      <c r="P603" s="15">
        <f t="shared" si="182"/>
        <v>0.79407198094572218</v>
      </c>
      <c r="Q603" s="7">
        <f t="shared" si="183"/>
        <v>75809334.035641715</v>
      </c>
      <c r="R603" s="7">
        <f t="shared" si="184"/>
        <v>15611265.983783741</v>
      </c>
      <c r="S603" s="13">
        <f>IF(Calc!$AD$32="Sim",R603,Q603)</f>
        <v>15611265.983783741</v>
      </c>
      <c r="T603" s="9">
        <f t="shared" si="185"/>
        <v>599</v>
      </c>
      <c r="U603" s="17">
        <f t="shared" ca="1" si="188"/>
        <v>63736</v>
      </c>
    </row>
    <row r="604" spans="2:21" x14ac:dyDescent="0.2">
      <c r="B604" s="17">
        <f t="shared" ca="1" si="186"/>
        <v>63736</v>
      </c>
      <c r="C604" s="9">
        <f t="shared" si="189"/>
        <v>600</v>
      </c>
      <c r="D604" s="9">
        <v>50</v>
      </c>
      <c r="E604" s="13">
        <f t="shared" si="187"/>
        <v>11467.399785754031</v>
      </c>
      <c r="F604" s="14">
        <f t="shared" si="172"/>
        <v>2614706.9078648482</v>
      </c>
      <c r="G604" s="15">
        <f t="shared" si="173"/>
        <v>0.16632435253636571</v>
      </c>
      <c r="H604" s="13">
        <f t="shared" si="174"/>
        <v>754885.0424804124</v>
      </c>
      <c r="I604" s="13">
        <f t="shared" si="175"/>
        <v>73960979.570043117</v>
      </c>
      <c r="J604" s="15">
        <f t="shared" si="176"/>
        <v>0.83367564746363432</v>
      </c>
      <c r="K604" s="13">
        <f t="shared" si="177"/>
        <v>13105822.695839215</v>
      </c>
      <c r="L604" s="13">
        <f t="shared" si="178"/>
        <v>1597831649.9001598</v>
      </c>
      <c r="M604" s="15">
        <f t="shared" si="179"/>
        <v>0.83367564746363432</v>
      </c>
      <c r="N604" s="13">
        <f t="shared" si="180"/>
        <v>281401.05251392099</v>
      </c>
      <c r="O604" s="13">
        <f t="shared" si="181"/>
        <v>60855156.874203816</v>
      </c>
      <c r="P604" s="15">
        <f t="shared" si="182"/>
        <v>0.79470599185239499</v>
      </c>
      <c r="Q604" s="7">
        <f t="shared" si="183"/>
        <v>76575686.477907881</v>
      </c>
      <c r="R604" s="7">
        <f t="shared" si="184"/>
        <v>15720529.603704063</v>
      </c>
      <c r="S604" s="13">
        <f>IF(Calc!$AD$32="Sim",R604,Q604)</f>
        <v>15720529.603704063</v>
      </c>
      <c r="T604" s="9">
        <f t="shared" si="185"/>
        <v>600</v>
      </c>
      <c r="U604" s="17">
        <f t="shared" ca="1" si="188"/>
        <v>63767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K46"/>
  <sheetViews>
    <sheetView showGridLines="0" workbookViewId="0">
      <selection activeCell="B2" sqref="B2"/>
    </sheetView>
  </sheetViews>
  <sheetFormatPr defaultColWidth="8.85546875" defaultRowHeight="15" x14ac:dyDescent="0.25"/>
  <cols>
    <col min="1" max="1" width="5.85546875" customWidth="1"/>
    <col min="2" max="2" width="17.42578125" customWidth="1"/>
    <col min="10" max="10" width="31" customWidth="1"/>
  </cols>
  <sheetData>
    <row r="2" spans="2:11" ht="18.75" x14ac:dyDescent="0.3">
      <c r="B2" s="1" t="s">
        <v>112</v>
      </c>
      <c r="D2" s="200" t="s">
        <v>113</v>
      </c>
    </row>
    <row r="4" spans="2:11" x14ac:dyDescent="0.25">
      <c r="B4" s="3" t="s">
        <v>28</v>
      </c>
      <c r="C4" s="2"/>
      <c r="D4" s="2"/>
      <c r="I4" s="3" t="s">
        <v>140</v>
      </c>
    </row>
    <row r="5" spans="2:11" x14ac:dyDescent="0.25">
      <c r="B5" s="2" t="s">
        <v>69</v>
      </c>
      <c r="C5" s="21" t="s">
        <v>59</v>
      </c>
      <c r="I5" s="37" t="b">
        <v>0</v>
      </c>
      <c r="J5" s="37" t="str">
        <f>Calc!AC26</f>
        <v>Capital Inicial</v>
      </c>
      <c r="K5" s="37" t="s">
        <v>34</v>
      </c>
    </row>
    <row r="6" spans="2:11" x14ac:dyDescent="0.25">
      <c r="B6" s="2" t="s">
        <v>70</v>
      </c>
      <c r="C6" s="21" t="s">
        <v>58</v>
      </c>
      <c r="I6" s="37" t="b">
        <v>0</v>
      </c>
      <c r="J6" s="37" t="str">
        <f>Calc!AC27</f>
        <v>Aportes</v>
      </c>
      <c r="K6" s="37" t="s">
        <v>120</v>
      </c>
    </row>
    <row r="7" spans="2:11" x14ac:dyDescent="0.25">
      <c r="B7" s="2" t="s">
        <v>68</v>
      </c>
      <c r="C7" s="21" t="s">
        <v>66</v>
      </c>
      <c r="I7" s="37" t="b">
        <v>0</v>
      </c>
      <c r="J7" s="37" t="str">
        <f>Calc!AC28</f>
        <v>Taxa da Aplicação</v>
      </c>
      <c r="K7" s="37" t="s">
        <v>121</v>
      </c>
    </row>
    <row r="8" spans="2:11" x14ac:dyDescent="0.25">
      <c r="B8" s="2" t="s">
        <v>67</v>
      </c>
      <c r="C8" s="21" t="s">
        <v>73</v>
      </c>
      <c r="I8" s="37" t="b">
        <v>0</v>
      </c>
      <c r="J8" s="37" t="str">
        <f>Calc!AC29</f>
        <v>Período de Aplicação</v>
      </c>
      <c r="K8" s="37" t="s">
        <v>118</v>
      </c>
    </row>
    <row r="9" spans="2:11" x14ac:dyDescent="0.25">
      <c r="B9" s="2" t="s">
        <v>72</v>
      </c>
      <c r="C9" s="21" t="s">
        <v>71</v>
      </c>
      <c r="I9" s="38" t="b">
        <v>0</v>
      </c>
      <c r="J9" s="38" t="str">
        <f>Calc!AC30</f>
        <v>Inflação</v>
      </c>
      <c r="K9" s="38" t="s">
        <v>119</v>
      </c>
    </row>
    <row r="10" spans="2:11" x14ac:dyDescent="0.25">
      <c r="B10" s="2" t="s">
        <v>133</v>
      </c>
      <c r="C10" s="21" t="s">
        <v>103</v>
      </c>
      <c r="I10" s="37" t="b">
        <v>0</v>
      </c>
      <c r="J10" s="37" t="str">
        <f>Calc!AC31</f>
        <v>Começar planejamento</v>
      </c>
      <c r="K10" s="37" t="s">
        <v>122</v>
      </c>
    </row>
    <row r="11" spans="2:11" x14ac:dyDescent="0.25">
      <c r="B11" s="2" t="s">
        <v>134</v>
      </c>
      <c r="C11" s="21" t="s">
        <v>104</v>
      </c>
      <c r="I11" s="37" t="b">
        <v>0</v>
      </c>
      <c r="J11" s="37" t="str">
        <f>Calc!AC32</f>
        <v>Corrigir Patrimônio pela inflação?</v>
      </c>
      <c r="K11" s="37" t="s">
        <v>123</v>
      </c>
    </row>
    <row r="12" spans="2:11" x14ac:dyDescent="0.25">
      <c r="B12" s="2" t="s">
        <v>135</v>
      </c>
      <c r="C12" s="21" t="s">
        <v>129</v>
      </c>
      <c r="I12" s="37" t="b">
        <v>0</v>
      </c>
      <c r="J12" s="37" t="str">
        <f>Calc!AC33</f>
        <v>Corrigir Aportes pela inflação?</v>
      </c>
      <c r="K12" s="37" t="s">
        <v>35</v>
      </c>
    </row>
    <row r="13" spans="2:11" x14ac:dyDescent="0.25">
      <c r="B13" s="2" t="s">
        <v>136</v>
      </c>
      <c r="C13" s="21" t="s">
        <v>130</v>
      </c>
      <c r="I13" s="37" t="b">
        <v>0</v>
      </c>
      <c r="J13" s="37" t="str">
        <f>Calc!AC35</f>
        <v>Crescimento Salário</v>
      </c>
      <c r="K13" s="37" t="s">
        <v>125</v>
      </c>
    </row>
    <row r="14" spans="2:11" x14ac:dyDescent="0.25">
      <c r="I14" s="37" t="b">
        <v>0</v>
      </c>
      <c r="J14" s="37" t="str">
        <f>Calc!AC36</f>
        <v>Incluir Imposto de Renda?</v>
      </c>
      <c r="K14" s="37" t="s">
        <v>126</v>
      </c>
    </row>
    <row r="15" spans="2:11" x14ac:dyDescent="0.25">
      <c r="B15" s="3" t="s">
        <v>27</v>
      </c>
      <c r="C15" s="2"/>
    </row>
    <row r="16" spans="2:11" x14ac:dyDescent="0.25">
      <c r="B16" s="2" t="s">
        <v>69</v>
      </c>
      <c r="C16" s="21" t="s">
        <v>56</v>
      </c>
    </row>
    <row r="17" spans="2:3" x14ac:dyDescent="0.25">
      <c r="B17" s="2" t="s">
        <v>70</v>
      </c>
      <c r="C17" s="21" t="s">
        <v>57</v>
      </c>
    </row>
    <row r="18" spans="2:3" x14ac:dyDescent="0.25">
      <c r="B18" s="2" t="s">
        <v>68</v>
      </c>
      <c r="C18" s="21" t="s">
        <v>65</v>
      </c>
    </row>
    <row r="19" spans="2:3" x14ac:dyDescent="0.25">
      <c r="B19" s="2" t="s">
        <v>67</v>
      </c>
      <c r="C19" s="21" t="s">
        <v>74</v>
      </c>
    </row>
    <row r="20" spans="2:3" x14ac:dyDescent="0.25">
      <c r="B20" s="2" t="s">
        <v>72</v>
      </c>
      <c r="C20" s="21" t="s">
        <v>75</v>
      </c>
    </row>
    <row r="21" spans="2:3" x14ac:dyDescent="0.25">
      <c r="B21" s="2" t="s">
        <v>133</v>
      </c>
      <c r="C21" s="21" t="s">
        <v>105</v>
      </c>
    </row>
    <row r="22" spans="2:3" x14ac:dyDescent="0.25">
      <c r="B22" s="2" t="s">
        <v>134</v>
      </c>
      <c r="C22" s="21" t="s">
        <v>106</v>
      </c>
    </row>
    <row r="23" spans="2:3" x14ac:dyDescent="0.25">
      <c r="B23" s="2" t="s">
        <v>135</v>
      </c>
      <c r="C23" s="21" t="s">
        <v>131</v>
      </c>
    </row>
    <row r="24" spans="2:3" x14ac:dyDescent="0.25">
      <c r="B24" s="2" t="s">
        <v>136</v>
      </c>
      <c r="C24" s="21" t="s">
        <v>132</v>
      </c>
    </row>
    <row r="26" spans="2:3" x14ac:dyDescent="0.25">
      <c r="B26" s="3" t="s">
        <v>60</v>
      </c>
    </row>
    <row r="27" spans="2:3" x14ac:dyDescent="0.25">
      <c r="B27" s="2" t="str">
        <f ca="1">MID(CELL("filename",Calc!A1),FIND("[",CELL("filename",Calc!A1))+1,FIND("]", CELL("filename",Calc!A1))-FIND("[",CELL("filename",Calc!A1))-1)</f>
        <v>M1_E.xlsm</v>
      </c>
    </row>
    <row r="28" spans="2:3" x14ac:dyDescent="0.25">
      <c r="B28" s="2" t="s">
        <v>29</v>
      </c>
    </row>
    <row r="30" spans="2:3" x14ac:dyDescent="0.25">
      <c r="B30" s="3" t="s">
        <v>166</v>
      </c>
    </row>
    <row r="31" spans="2:3" x14ac:dyDescent="0.25">
      <c r="B31" s="2" t="s">
        <v>33</v>
      </c>
      <c r="C31" s="2" t="s">
        <v>145</v>
      </c>
    </row>
    <row r="32" spans="2:3" x14ac:dyDescent="0.25">
      <c r="B32" s="2" t="s">
        <v>146</v>
      </c>
      <c r="C32" s="2" t="s">
        <v>147</v>
      </c>
    </row>
    <row r="33" spans="2:3" x14ac:dyDescent="0.25">
      <c r="B33" s="2" t="s">
        <v>148</v>
      </c>
      <c r="C33" s="2" t="s">
        <v>149</v>
      </c>
    </row>
    <row r="34" spans="2:3" x14ac:dyDescent="0.25">
      <c r="B34" s="2" t="s">
        <v>67</v>
      </c>
      <c r="C34" s="2" t="s">
        <v>150</v>
      </c>
    </row>
    <row r="35" spans="2:3" x14ac:dyDescent="0.25">
      <c r="B35" s="2" t="s">
        <v>133</v>
      </c>
      <c r="C35" s="2" t="s">
        <v>151</v>
      </c>
    </row>
    <row r="36" spans="2:3" x14ac:dyDescent="0.25">
      <c r="B36" s="2" t="s">
        <v>135</v>
      </c>
      <c r="C36" s="2" t="s">
        <v>152</v>
      </c>
    </row>
    <row r="37" spans="2:3" x14ac:dyDescent="0.25">
      <c r="B37" s="2" t="s">
        <v>68</v>
      </c>
      <c r="C37" s="2" t="s">
        <v>153</v>
      </c>
    </row>
    <row r="38" spans="2:3" x14ac:dyDescent="0.25">
      <c r="B38" s="2" t="s">
        <v>1</v>
      </c>
      <c r="C38" s="2" t="s">
        <v>154</v>
      </c>
    </row>
    <row r="39" spans="2:3" x14ac:dyDescent="0.25">
      <c r="B39" s="2" t="s">
        <v>155</v>
      </c>
      <c r="C39" s="2" t="s">
        <v>156</v>
      </c>
    </row>
    <row r="40" spans="2:3" x14ac:dyDescent="0.25">
      <c r="B40" s="2" t="s">
        <v>72</v>
      </c>
      <c r="C40" s="2" t="s">
        <v>157</v>
      </c>
    </row>
    <row r="41" spans="2:3" x14ac:dyDescent="0.25">
      <c r="B41" s="2" t="s">
        <v>134</v>
      </c>
      <c r="C41" s="2" t="s">
        <v>158</v>
      </c>
    </row>
    <row r="42" spans="2:3" x14ac:dyDescent="0.25">
      <c r="B42" s="2" t="s">
        <v>136</v>
      </c>
      <c r="C42" s="2" t="s">
        <v>159</v>
      </c>
    </row>
    <row r="43" spans="2:3" x14ac:dyDescent="0.25">
      <c r="B43" s="2" t="s">
        <v>160</v>
      </c>
      <c r="C43" s="2" t="s">
        <v>161</v>
      </c>
    </row>
    <row r="44" spans="2:3" x14ac:dyDescent="0.25">
      <c r="B44" s="2" t="s">
        <v>162</v>
      </c>
      <c r="C44" s="2" t="s">
        <v>163</v>
      </c>
    </row>
    <row r="45" spans="2:3" x14ac:dyDescent="0.25">
      <c r="B45" s="2" t="s">
        <v>70</v>
      </c>
      <c r="C45" s="2" t="s">
        <v>164</v>
      </c>
    </row>
    <row r="46" spans="2:3" x14ac:dyDescent="0.25">
      <c r="B46" s="2" t="s">
        <v>69</v>
      </c>
      <c r="C46" s="2" t="s">
        <v>165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4"/>
  </sheetPr>
  <dimension ref="A1:Q42"/>
  <sheetViews>
    <sheetView showGridLines="0" showRowColHeaders="0" workbookViewId="0">
      <selection activeCell="B2" sqref="B2"/>
    </sheetView>
  </sheetViews>
  <sheetFormatPr defaultColWidth="0" defaultRowHeight="15" zeroHeight="1" x14ac:dyDescent="0.25"/>
  <cols>
    <col min="1" max="1" width="5.7109375" customWidth="1"/>
    <col min="2" max="2" width="34.140625" customWidth="1"/>
    <col min="3" max="3" width="2.85546875" customWidth="1"/>
    <col min="4" max="4" width="27.42578125" customWidth="1"/>
    <col min="5" max="5" width="2.85546875" customWidth="1"/>
    <col min="6" max="6" width="8" customWidth="1"/>
    <col min="7" max="7" width="10.140625" bestFit="1" customWidth="1"/>
    <col min="8" max="8" width="11.42578125" customWidth="1"/>
    <col min="9" max="9" width="14.28515625" customWidth="1"/>
    <col min="10" max="10" width="3.28515625" customWidth="1"/>
    <col min="11" max="11" width="3.140625" customWidth="1"/>
    <col min="12" max="12" width="5.7109375" customWidth="1"/>
    <col min="13" max="13" width="12.28515625" bestFit="1" customWidth="1"/>
    <col min="14" max="14" width="21.28515625" customWidth="1"/>
    <col min="15" max="15" width="8.7109375" customWidth="1"/>
    <col min="16" max="16" width="5.7109375" customWidth="1"/>
    <col min="17" max="17" width="9.140625" customWidth="1"/>
    <col min="18" max="16384" width="9.140625" hidden="1"/>
  </cols>
  <sheetData>
    <row r="1" spans="2:15" ht="9" customHeight="1" x14ac:dyDescent="0.25"/>
    <row r="2" spans="2:15" ht="23.25" x14ac:dyDescent="0.35">
      <c r="B2" s="211" t="s">
        <v>128</v>
      </c>
      <c r="C2" s="47"/>
      <c r="D2" s="163" t="s">
        <v>96</v>
      </c>
      <c r="E2" s="47"/>
      <c r="J2" s="132"/>
      <c r="L2" s="208" t="s">
        <v>81</v>
      </c>
      <c r="M2" s="28"/>
      <c r="N2" s="28"/>
      <c r="O2" s="28"/>
    </row>
    <row r="3" spans="2:15" ht="15.75" thickBot="1" x14ac:dyDescent="0.3">
      <c r="C3" s="150"/>
      <c r="J3" s="132"/>
      <c r="L3" s="152" t="s">
        <v>82</v>
      </c>
    </row>
    <row r="4" spans="2:15" ht="21.75" thickBot="1" x14ac:dyDescent="0.3">
      <c r="B4" s="220" t="str">
        <f>"Seu patrimônio em " &amp; Calc!$AD$29 &amp; " anos será:"</f>
        <v>Seu patrimônio em 20 anos será:</v>
      </c>
      <c r="C4" s="52"/>
      <c r="D4" s="214">
        <f ca="1">Calc!AC14</f>
        <v>996852.32943230704</v>
      </c>
      <c r="E4" s="52"/>
      <c r="J4" s="132"/>
      <c r="L4" s="128" t="s">
        <v>5</v>
      </c>
      <c r="M4" s="190" t="s">
        <v>42</v>
      </c>
      <c r="N4" s="191" t="s">
        <v>76</v>
      </c>
      <c r="O4" s="137" t="s">
        <v>43</v>
      </c>
    </row>
    <row r="5" spans="2:15" x14ac:dyDescent="0.25">
      <c r="B5" s="168"/>
      <c r="D5" s="27"/>
      <c r="J5" s="132"/>
      <c r="L5" s="138">
        <f>Calc!AA40</f>
        <v>5</v>
      </c>
      <c r="M5" s="139">
        <f>Calc!AE40</f>
        <v>0.7744975876219784</v>
      </c>
      <c r="N5" s="48"/>
      <c r="O5" s="143">
        <f>Calc!AF40</f>
        <v>0.2255024123780216</v>
      </c>
    </row>
    <row r="6" spans="2:15" ht="18.75" x14ac:dyDescent="0.25">
      <c r="B6" s="221" t="s">
        <v>85</v>
      </c>
      <c r="C6" s="52"/>
      <c r="D6" s="259">
        <f ca="1">Calc!AB21</f>
        <v>52810</v>
      </c>
      <c r="E6" s="52"/>
      <c r="F6" s="153" t="str">
        <f ca="1">Calc!AC21</f>
        <v>Aprox. 20 anos ou 240 meses</v>
      </c>
      <c r="H6" s="51"/>
      <c r="J6" s="132"/>
      <c r="L6" s="140">
        <v>10</v>
      </c>
      <c r="M6" s="139">
        <f>Calc!AE41</f>
        <v>0.63650889780073838</v>
      </c>
      <c r="N6" s="49"/>
      <c r="O6" s="143">
        <f>Calc!AF41</f>
        <v>0.36349110219926162</v>
      </c>
    </row>
    <row r="7" spans="2:15" x14ac:dyDescent="0.25">
      <c r="B7" s="168"/>
      <c r="D7" s="27"/>
      <c r="J7" s="132"/>
      <c r="L7" s="140">
        <v>15</v>
      </c>
      <c r="M7" s="139">
        <f>Calc!AE42</f>
        <v>0.52978096766951255</v>
      </c>
      <c r="N7" s="49"/>
      <c r="O7" s="143">
        <f>Calc!AF42</f>
        <v>0.47021903233048745</v>
      </c>
    </row>
    <row r="8" spans="2:15" ht="15.75" x14ac:dyDescent="0.25">
      <c r="B8" s="219" t="s">
        <v>79</v>
      </c>
      <c r="C8" s="54"/>
      <c r="D8" s="215">
        <f ca="1">Calc!AC11</f>
        <v>442457.78302295093</v>
      </c>
      <c r="E8" s="216"/>
      <c r="F8" s="217">
        <f ca="1">D8/$D$4</f>
        <v>0.44385489200283479</v>
      </c>
      <c r="G8" s="53" t="s">
        <v>78</v>
      </c>
      <c r="J8" s="132"/>
      <c r="L8" s="140">
        <v>20</v>
      </c>
      <c r="M8" s="139">
        <f>Calc!AE43</f>
        <v>0.44385489200283479</v>
      </c>
      <c r="N8" s="49"/>
      <c r="O8" s="143">
        <f>Calc!AF43</f>
        <v>0.55614510799716521</v>
      </c>
    </row>
    <row r="9" spans="2:15" x14ac:dyDescent="0.25">
      <c r="B9" s="168"/>
      <c r="D9" s="218"/>
      <c r="E9" s="200"/>
      <c r="F9" s="200"/>
      <c r="J9" s="132"/>
      <c r="L9" s="140">
        <v>25</v>
      </c>
      <c r="M9" s="139">
        <f>Calc!AE44</f>
        <v>0.37363520279833029</v>
      </c>
      <c r="N9" s="49"/>
      <c r="O9" s="143">
        <f>Calc!AF44</f>
        <v>0.62636479720166971</v>
      </c>
    </row>
    <row r="10" spans="2:15" ht="15.75" x14ac:dyDescent="0.25">
      <c r="B10" s="219" t="s">
        <v>80</v>
      </c>
      <c r="C10" s="54"/>
      <c r="D10" s="215">
        <f ca="1">Calc!AC10</f>
        <v>554394.54640935617</v>
      </c>
      <c r="E10" s="216"/>
      <c r="F10" s="217">
        <f ca="1">D10/$D$4</f>
        <v>0.55614510799716532</v>
      </c>
      <c r="G10" s="53" t="s">
        <v>77</v>
      </c>
      <c r="J10" s="132"/>
      <c r="L10" s="140">
        <v>30</v>
      </c>
      <c r="M10" s="139">
        <f>Calc!AE45</f>
        <v>0.31576961348567806</v>
      </c>
      <c r="N10" s="49"/>
      <c r="O10" s="143">
        <f>Calc!AF45</f>
        <v>0.684230386514322</v>
      </c>
    </row>
    <row r="11" spans="2:15" x14ac:dyDescent="0.25">
      <c r="B11" s="161"/>
      <c r="C11" s="161"/>
      <c r="D11" s="161"/>
      <c r="E11" s="161"/>
      <c r="F11" s="161"/>
      <c r="G11" s="161"/>
      <c r="H11" s="161"/>
      <c r="I11" s="161"/>
      <c r="J11" s="226"/>
      <c r="L11" s="140">
        <v>35</v>
      </c>
      <c r="M11" s="139">
        <f>Calc!AE46</f>
        <v>0.26779959594760205</v>
      </c>
      <c r="N11" s="49"/>
      <c r="O11" s="143">
        <f>Calc!AF46</f>
        <v>0.73220040405239795</v>
      </c>
    </row>
    <row r="12" spans="2:15" ht="15" customHeight="1" x14ac:dyDescent="0.25">
      <c r="I12" s="213" t="s">
        <v>94</v>
      </c>
      <c r="J12" s="132"/>
      <c r="L12" s="140">
        <v>40</v>
      </c>
      <c r="M12" s="139">
        <f>Calc!AE47</f>
        <v>0.22783839125989255</v>
      </c>
      <c r="N12" s="49"/>
      <c r="O12" s="143">
        <f>Calc!AF47</f>
        <v>0.77216160874010742</v>
      </c>
    </row>
    <row r="13" spans="2:15" ht="15" customHeight="1" x14ac:dyDescent="0.3">
      <c r="B13" s="208" t="s">
        <v>84</v>
      </c>
      <c r="D13" s="160" t="s">
        <v>127</v>
      </c>
      <c r="I13" s="212" t="str">
        <f>Calc!AG13</f>
        <v>Patrimônio Real | Com Crescimento Salárial | Com IR</v>
      </c>
      <c r="J13" s="132"/>
      <c r="L13" s="140">
        <v>45</v>
      </c>
      <c r="M13" s="139">
        <f>Calc!AE48</f>
        <v>0.19440550510878254</v>
      </c>
      <c r="N13" s="49"/>
      <c r="O13" s="143">
        <f>Calc!AF48</f>
        <v>0.80559449489121748</v>
      </c>
    </row>
    <row r="14" spans="2:15" ht="15" customHeight="1" x14ac:dyDescent="0.25">
      <c r="J14" s="132"/>
      <c r="L14" s="141">
        <v>50</v>
      </c>
      <c r="M14" s="142">
        <f>Calc!AE49</f>
        <v>0.16632435253636571</v>
      </c>
      <c r="N14" s="50"/>
      <c r="O14" s="144">
        <f>Calc!AF49</f>
        <v>0.83367564746363432</v>
      </c>
    </row>
    <row r="15" spans="2:15" ht="15" customHeight="1" x14ac:dyDescent="0.25">
      <c r="J15" s="132"/>
      <c r="K15" s="161"/>
      <c r="L15" s="162"/>
      <c r="M15" s="162"/>
      <c r="N15" s="162"/>
      <c r="O15" s="162"/>
    </row>
    <row r="16" spans="2:15" ht="15" customHeight="1" x14ac:dyDescent="0.25">
      <c r="J16" s="132"/>
    </row>
    <row r="17" spans="2:15" ht="15" customHeight="1" x14ac:dyDescent="0.3">
      <c r="J17" s="132"/>
      <c r="L17" s="208" t="s">
        <v>95</v>
      </c>
      <c r="M17" s="28"/>
      <c r="N17" s="28"/>
      <c r="O17" s="28"/>
    </row>
    <row r="18" spans="2:15" ht="15" customHeight="1" x14ac:dyDescent="0.25">
      <c r="J18" s="132"/>
      <c r="L18" s="152" t="s">
        <v>83</v>
      </c>
    </row>
    <row r="19" spans="2:15" ht="15" customHeight="1" x14ac:dyDescent="0.25">
      <c r="J19" s="132"/>
      <c r="L19" s="128" t="s">
        <v>5</v>
      </c>
      <c r="M19" s="128" t="s">
        <v>38</v>
      </c>
      <c r="N19" s="148"/>
      <c r="O19" s="149"/>
    </row>
    <row r="20" spans="2:15" ht="15" customHeight="1" x14ac:dyDescent="0.25">
      <c r="J20" s="132"/>
      <c r="L20" s="138">
        <f>Calc!AA40</f>
        <v>5</v>
      </c>
      <c r="M20" s="145">
        <f ca="1">Calc!AD40</f>
        <v>133105.66892095667</v>
      </c>
      <c r="N20" s="135"/>
      <c r="O20" s="133"/>
    </row>
    <row r="21" spans="2:15" ht="15" customHeight="1" x14ac:dyDescent="0.25">
      <c r="J21" s="132"/>
      <c r="L21" s="140">
        <f>Calc!AA41</f>
        <v>10</v>
      </c>
      <c r="M21" s="146">
        <f ca="1">Calc!AD41</f>
        <v>298490.80913825921</v>
      </c>
      <c r="N21" s="135"/>
      <c r="O21" s="134"/>
    </row>
    <row r="22" spans="2:15" ht="15" customHeight="1" x14ac:dyDescent="0.25">
      <c r="J22" s="132"/>
      <c r="L22" s="140">
        <f>Calc!AA42</f>
        <v>15</v>
      </c>
      <c r="M22" s="146">
        <f ca="1">Calc!AD42</f>
        <v>567977.2229586537</v>
      </c>
      <c r="N22" s="135"/>
      <c r="O22" s="134"/>
    </row>
    <row r="23" spans="2:15" ht="15" customHeight="1" x14ac:dyDescent="0.25">
      <c r="B23" s="136"/>
      <c r="C23" s="136"/>
      <c r="E23" s="136"/>
      <c r="J23" s="132"/>
      <c r="L23" s="140">
        <f>Calc!AA43</f>
        <v>20</v>
      </c>
      <c r="M23" s="146">
        <f ca="1">Calc!AD43</f>
        <v>996852.32943230704</v>
      </c>
      <c r="N23" s="135"/>
      <c r="O23" s="133"/>
    </row>
    <row r="24" spans="2:15" x14ac:dyDescent="0.25">
      <c r="D24" s="45"/>
      <c r="F24" s="46"/>
      <c r="J24" s="132"/>
      <c r="L24" s="140">
        <f>Calc!AA44</f>
        <v>25</v>
      </c>
      <c r="M24" s="146">
        <f ca="1">Calc!AD44</f>
        <v>1667725.2860024006</v>
      </c>
      <c r="N24" s="135"/>
      <c r="O24" s="133"/>
    </row>
    <row r="25" spans="2:15" x14ac:dyDescent="0.25">
      <c r="J25" s="132"/>
      <c r="L25" s="140">
        <f>Calc!AA45</f>
        <v>30</v>
      </c>
      <c r="M25" s="146">
        <f ca="1">Calc!AD45</f>
        <v>2703546.5506300251</v>
      </c>
      <c r="N25" s="135"/>
      <c r="O25" s="133"/>
    </row>
    <row r="26" spans="2:15" x14ac:dyDescent="0.25">
      <c r="J26" s="132"/>
      <c r="L26" s="140">
        <f>Calc!AA46</f>
        <v>35</v>
      </c>
      <c r="M26" s="146">
        <f ca="1">Calc!AD46</f>
        <v>4286709.1930370051</v>
      </c>
      <c r="N26" s="133"/>
      <c r="O26" s="133"/>
    </row>
    <row r="27" spans="2:15" x14ac:dyDescent="0.25">
      <c r="J27" s="132"/>
      <c r="L27" s="140">
        <f>Calc!AA47</f>
        <v>40</v>
      </c>
      <c r="M27" s="146">
        <f ca="1">Calc!AD47</f>
        <v>6687040.6485756859</v>
      </c>
      <c r="N27" s="133"/>
      <c r="O27" s="133"/>
    </row>
    <row r="28" spans="2:15" x14ac:dyDescent="0.25">
      <c r="J28" s="132"/>
      <c r="L28" s="140">
        <f>Calc!AA48</f>
        <v>45</v>
      </c>
      <c r="M28" s="146">
        <f ca="1">Calc!AD48</f>
        <v>10302782.069233831</v>
      </c>
      <c r="N28" s="133"/>
      <c r="O28" s="133"/>
    </row>
    <row r="29" spans="2:15" x14ac:dyDescent="0.25">
      <c r="J29" s="132"/>
      <c r="L29" s="141">
        <f>Calc!AA49</f>
        <v>50</v>
      </c>
      <c r="M29" s="147">
        <f ca="1">Calc!AD49</f>
        <v>15720529.603704063</v>
      </c>
      <c r="N29" s="133"/>
      <c r="O29" s="133"/>
    </row>
    <row r="30" spans="2:15" x14ac:dyDescent="0.25">
      <c r="B30" s="28"/>
      <c r="C30" s="28"/>
      <c r="D30" s="28"/>
      <c r="E30" s="28"/>
      <c r="F30" s="28"/>
      <c r="G30" s="28"/>
      <c r="H30" s="28"/>
      <c r="I30" s="28"/>
      <c r="J30" s="197"/>
      <c r="K30" s="28"/>
      <c r="L30" s="28"/>
      <c r="M30" s="28"/>
      <c r="N30" s="28"/>
      <c r="O30" s="28"/>
    </row>
    <row r="31" spans="2:15" x14ac:dyDescent="0.25"/>
    <row r="32" spans="2:15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1" ht="15" hidden="1" customHeight="1" x14ac:dyDescent="0.25"/>
    <row r="42" ht="15" hidden="1" customHeight="1" x14ac:dyDescent="0.25"/>
  </sheetData>
  <sheetProtection sheet="1" objects="1" scenarios="1"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AG604"/>
  <sheetViews>
    <sheetView showGridLines="0" topLeftCell="P1" workbookViewId="0">
      <selection activeCell="AC22" sqref="AC22"/>
    </sheetView>
  </sheetViews>
  <sheetFormatPr defaultColWidth="9.140625" defaultRowHeight="12.75" x14ac:dyDescent="0.2"/>
  <cols>
    <col min="1" max="1" width="5.7109375" style="2" customWidth="1"/>
    <col min="2" max="2" width="6.7109375" style="2" bestFit="1" customWidth="1"/>
    <col min="3" max="3" width="4.28515625" style="2" bestFit="1" customWidth="1"/>
    <col min="4" max="4" width="4" style="2" bestFit="1" customWidth="1"/>
    <col min="5" max="5" width="9.42578125" style="2" bestFit="1" customWidth="1"/>
    <col min="6" max="6" width="10.42578125" style="2" bestFit="1" customWidth="1"/>
    <col min="7" max="7" width="8.85546875" style="2" bestFit="1" customWidth="1"/>
    <col min="8" max="8" width="9.42578125" style="2" bestFit="1" customWidth="1"/>
    <col min="9" max="9" width="11.85546875" style="2" bestFit="1" customWidth="1"/>
    <col min="10" max="10" width="9.85546875" style="2" bestFit="1" customWidth="1"/>
    <col min="11" max="11" width="11.85546875" style="2" bestFit="1" customWidth="1"/>
    <col min="12" max="12" width="14" style="2" bestFit="1" customWidth="1"/>
    <col min="13" max="13" width="5.140625" style="2" customWidth="1"/>
    <col min="14" max="14" width="9.42578125" style="2" bestFit="1" customWidth="1"/>
    <col min="15" max="15" width="11.85546875" style="2" bestFit="1" customWidth="1"/>
    <col min="16" max="16" width="4.7109375" style="2" customWidth="1"/>
    <col min="17" max="17" width="11.42578125" style="2" customWidth="1"/>
    <col min="18" max="18" width="12.42578125" style="2" bestFit="1" customWidth="1"/>
    <col min="19" max="19" width="16.28515625" style="2" bestFit="1" customWidth="1"/>
    <col min="20" max="20" width="4.28515625" style="2" bestFit="1" customWidth="1"/>
    <col min="21" max="21" width="6.7109375" style="2" bestFit="1" customWidth="1"/>
    <col min="22" max="22" width="12.85546875" style="2" bestFit="1" customWidth="1"/>
    <col min="23" max="23" width="4" style="2" bestFit="1" customWidth="1"/>
    <col min="24" max="24" width="6.42578125" style="2" bestFit="1" customWidth="1"/>
    <col min="25" max="26" width="5.7109375" style="2" customWidth="1"/>
    <col min="27" max="27" width="12" style="44" customWidth="1"/>
    <col min="28" max="28" width="11.140625" style="44" customWidth="1"/>
    <col min="29" max="30" width="12.42578125" style="2" customWidth="1"/>
    <col min="31" max="31" width="11.28515625" style="2" bestFit="1" customWidth="1"/>
    <col min="32" max="16384" width="9.140625" style="2"/>
  </cols>
  <sheetData>
    <row r="1" spans="2:33" x14ac:dyDescent="0.2">
      <c r="G1" s="5"/>
      <c r="H1" s="5"/>
      <c r="I1" s="5"/>
      <c r="J1" s="5"/>
      <c r="K1" s="5"/>
      <c r="L1" s="5"/>
      <c r="M1" s="5"/>
      <c r="N1" s="5"/>
      <c r="O1" s="5"/>
      <c r="P1" s="20"/>
      <c r="Q1" s="20"/>
      <c r="R1" s="20"/>
      <c r="S1" s="20"/>
    </row>
    <row r="2" spans="2:33" ht="18.75" x14ac:dyDescent="0.3">
      <c r="B2" s="1" t="s">
        <v>15</v>
      </c>
    </row>
    <row r="3" spans="2:33" ht="13.5" thickBot="1" x14ac:dyDescent="0.25">
      <c r="AA3" s="55" t="s">
        <v>55</v>
      </c>
    </row>
    <row r="4" spans="2:33" x14ac:dyDescent="0.2">
      <c r="B4" s="4" t="s">
        <v>4</v>
      </c>
      <c r="C4" s="4" t="s">
        <v>4</v>
      </c>
      <c r="D4" s="4" t="s">
        <v>5</v>
      </c>
      <c r="E4" s="4" t="s">
        <v>6</v>
      </c>
      <c r="F4" s="4" t="s">
        <v>7</v>
      </c>
      <c r="G4" s="4" t="s">
        <v>30</v>
      </c>
      <c r="H4" s="4" t="s">
        <v>8</v>
      </c>
      <c r="I4" s="4" t="s">
        <v>7</v>
      </c>
      <c r="J4" s="4" t="s">
        <v>31</v>
      </c>
      <c r="K4" s="4" t="s">
        <v>39</v>
      </c>
      <c r="L4" s="4" t="s">
        <v>40</v>
      </c>
      <c r="M4" s="4" t="s">
        <v>41</v>
      </c>
      <c r="N4" s="4" t="s">
        <v>1</v>
      </c>
      <c r="O4" s="4" t="s">
        <v>7</v>
      </c>
      <c r="P4" s="4" t="s">
        <v>32</v>
      </c>
      <c r="Q4" s="4" t="s">
        <v>9</v>
      </c>
      <c r="R4" s="4" t="s">
        <v>10</v>
      </c>
      <c r="S4" s="4" t="s">
        <v>11</v>
      </c>
      <c r="T4" s="4" t="s">
        <v>4</v>
      </c>
      <c r="U4" s="4" t="s">
        <v>4</v>
      </c>
      <c r="V4" s="4" t="s">
        <v>38</v>
      </c>
      <c r="W4" s="4" t="s">
        <v>5</v>
      </c>
      <c r="X4" s="4" t="s">
        <v>5</v>
      </c>
      <c r="AA4" s="2"/>
      <c r="AB4" s="128" t="s">
        <v>63</v>
      </c>
      <c r="AC4" s="129">
        <f>$AF$29*12-1</f>
        <v>239</v>
      </c>
      <c r="AE4" s="19" t="s">
        <v>25</v>
      </c>
      <c r="AF4" s="18">
        <f ca="1">DATE(YEAR(TODAY()),MONTH(TODAY()),1)</f>
        <v>45505</v>
      </c>
      <c r="AG4" s="251"/>
    </row>
    <row r="5" spans="2:33" x14ac:dyDescent="0.2">
      <c r="B5" s="16">
        <f ca="1">DATE(YEAR(Mês_Atual_2),MONTH(Mês_Atual_2)+$AE$31,1)</f>
        <v>45505</v>
      </c>
      <c r="C5" s="8">
        <v>1</v>
      </c>
      <c r="D5" s="8"/>
      <c r="E5" s="10">
        <f>IF($AE$33,IF($AE$34,Aportes_2*(1+Inflação_2)*(1+Crescimento_Salário_2),Aportes_2*(1+Inflação_2)),IF($AE$34,Aportes_2*(1+Crescimento_Salário_2),Aportes_2))</f>
        <v>1004.0741237836484</v>
      </c>
      <c r="F5" s="11">
        <f>Capital_Inicial_2+E5</f>
        <v>36004.074123783648</v>
      </c>
      <c r="G5" s="12">
        <f>IF(F5&lt;=0,0,F5/S5)</f>
        <v>0.9910364906745508</v>
      </c>
      <c r="H5" s="10">
        <f>Capital_Inicial_2*Taxa_2</f>
        <v>455.45674736700295</v>
      </c>
      <c r="I5" s="10">
        <f>H5</f>
        <v>455.45674736700295</v>
      </c>
      <c r="J5" s="12">
        <f t="shared" ref="J5:J68" si="0">1-G5</f>
        <v>8.9635093254492038E-3</v>
      </c>
      <c r="K5" s="13">
        <f>R5-F5</f>
        <v>325.64174699867726</v>
      </c>
      <c r="L5" s="10">
        <f>K5</f>
        <v>325.64174699867726</v>
      </c>
      <c r="M5" s="12">
        <f>K5/R5</f>
        <v>8.963509325449202E-3</v>
      </c>
      <c r="N5" s="10">
        <f t="shared" ref="N5:N68" si="1">Q5*Inflação_2</f>
        <v>133.98182678082199</v>
      </c>
      <c r="O5" s="10">
        <f>Q5-R5</f>
        <v>129.81500036832585</v>
      </c>
      <c r="P5" s="12">
        <f t="shared" ref="P5:P68" si="2">O5/Q5</f>
        <v>3.5605230584863238E-3</v>
      </c>
      <c r="Q5" s="6">
        <f>Capital_Inicial_2+E5+H5</f>
        <v>36459.530871150651</v>
      </c>
      <c r="R5" s="6">
        <f>AD26+E5+AD26*((1+Taxa_2)/(1+Inflação_2)-1)</f>
        <v>36329.715870782326</v>
      </c>
      <c r="S5" s="10">
        <f>IF('Calc (2)'!$AD$32="Sim",R5,Q5)</f>
        <v>36329.715870782326</v>
      </c>
      <c r="T5" s="8">
        <f>C5</f>
        <v>1</v>
      </c>
      <c r="U5" s="16">
        <f ca="1">DATE(YEAR(AF4),MONTH(AF4)+1,1)</f>
        <v>45536</v>
      </c>
      <c r="V5" s="123">
        <f t="shared" ref="V5:V54" si="3">INDEX($S$5:$S$997,Y5,0)</f>
        <v>52191.609492815631</v>
      </c>
      <c r="W5" s="67">
        <v>1</v>
      </c>
      <c r="X5" s="131">
        <f ca="1">DATE(YEAR(TODAY())+W5,MONTH(TODAY()),1)</f>
        <v>45870</v>
      </c>
      <c r="Y5" s="5">
        <f>W5*12</f>
        <v>12</v>
      </c>
      <c r="Z5" s="5"/>
      <c r="AB5" s="128" t="s">
        <v>4</v>
      </c>
      <c r="AC5" s="126">
        <f ca="1">INDEX($U$5:$U$1000,AC4+1,0)</f>
        <v>52810</v>
      </c>
    </row>
    <row r="6" spans="2:33" x14ac:dyDescent="0.2">
      <c r="B6" s="17">
        <f t="shared" ref="B6:B69" ca="1" si="4">DATE(YEAR(B5),MONTH(B5)+1,1)</f>
        <v>45536</v>
      </c>
      <c r="C6" s="9">
        <f>C5+1</f>
        <v>2</v>
      </c>
      <c r="D6" s="9"/>
      <c r="E6" s="13">
        <f t="shared" ref="E6:E69" si="5">IF($AE$33,IF($AE$34,$E5*(1+Inflação_2)*(1+Crescimento_Salário_2),$E5*(1+Inflação_2)),IF($AE$34,$E5*(1+Crescimento_Salário_2),$E5))</f>
        <v>1008.1648460519012</v>
      </c>
      <c r="F6" s="14">
        <f>F5+E6</f>
        <v>37012.238969835547</v>
      </c>
      <c r="G6" s="15">
        <f t="shared" ref="G6:G69" si="6">IF(F6&lt;=0,0,F6/S6)</f>
        <v>0.98214063007999441</v>
      </c>
      <c r="H6" s="13">
        <f t="shared" ref="H6:H69" si="7">Q5*Taxa_2</f>
        <v>474.44969546003165</v>
      </c>
      <c r="I6" s="13">
        <f t="shared" ref="I6:I69" si="8">I5+H6</f>
        <v>929.90644282703465</v>
      </c>
      <c r="J6" s="15">
        <f t="shared" si="0"/>
        <v>1.7859369920005586E-2</v>
      </c>
      <c r="K6" s="13">
        <f t="shared" ref="K6:K69" si="9">R6-F6</f>
        <v>673.03525288033416</v>
      </c>
      <c r="L6" s="13">
        <f>L5+K6</f>
        <v>998.67699987901142</v>
      </c>
      <c r="M6" s="15">
        <f t="shared" ref="M6:M69" si="10">K6/R6</f>
        <v>1.7859369920005592E-2</v>
      </c>
      <c r="N6" s="13">
        <f t="shared" si="1"/>
        <v>139.43015263519442</v>
      </c>
      <c r="O6" s="13">
        <f t="shared" ref="O6:O69" si="11">Q6-R6</f>
        <v>256.87118994670163</v>
      </c>
      <c r="P6" s="15">
        <f t="shared" si="2"/>
        <v>6.7700755229559316E-3</v>
      </c>
      <c r="Q6" s="7">
        <f t="shared" ref="Q6:Q69" si="12">Q5+E6+H6</f>
        <v>37942.145412662583</v>
      </c>
      <c r="R6" s="7">
        <f t="shared" ref="R6:R69" si="13">(R5+E6)*(1+((1+Taxa_2)/(1+Inflação_2)-1))</f>
        <v>37685.274222715881</v>
      </c>
      <c r="S6" s="13">
        <f>IF('Calc (2)'!$AD$32="Sim",R6,Q6)</f>
        <v>37685.274222715881</v>
      </c>
      <c r="T6" s="9">
        <f t="shared" ref="T6:T69" si="14">C6</f>
        <v>2</v>
      </c>
      <c r="U6" s="17">
        <f t="shared" ref="U6:U69" ca="1" si="15">DATE(YEAR(U5),MONTH(U5)+1,1)</f>
        <v>45566</v>
      </c>
      <c r="V6" s="124">
        <f t="shared" si="3"/>
        <v>72068.711492972681</v>
      </c>
      <c r="W6" s="68">
        <v>2</v>
      </c>
      <c r="X6" s="125">
        <f t="shared" ref="X6:X54" ca="1" si="16">DATE(YEAR(TODAY())+W6,MONTH(TODAY()),1)</f>
        <v>46235</v>
      </c>
      <c r="Y6" s="5">
        <f t="shared" ref="Y6:Y54" si="17">W6*12</f>
        <v>24</v>
      </c>
      <c r="Z6" s="5"/>
      <c r="AB6" s="128" t="s">
        <v>64</v>
      </c>
      <c r="AC6" s="130">
        <f>$AF$29-1</f>
        <v>19</v>
      </c>
      <c r="AE6" s="55" t="s">
        <v>86</v>
      </c>
    </row>
    <row r="7" spans="2:33" x14ac:dyDescent="0.2">
      <c r="B7" s="17">
        <f t="shared" ca="1" si="4"/>
        <v>45566</v>
      </c>
      <c r="C7" s="9">
        <f t="shared" ref="C7:C70" si="18">C6+1</f>
        <v>3</v>
      </c>
      <c r="D7" s="9"/>
      <c r="E7" s="13">
        <f t="shared" si="5"/>
        <v>1012.2722344290395</v>
      </c>
      <c r="F7" s="14">
        <f t="shared" ref="F7:F70" si="19">F6+E7</f>
        <v>38024.511204264585</v>
      </c>
      <c r="G7" s="15">
        <f t="shared" si="6"/>
        <v>0.97354984915532206</v>
      </c>
      <c r="H7" s="13">
        <f t="shared" si="7"/>
        <v>493.74303250791866</v>
      </c>
      <c r="I7" s="13">
        <f t="shared" si="8"/>
        <v>1423.6494753349534</v>
      </c>
      <c r="J7" s="15">
        <f t="shared" si="0"/>
        <v>2.6450150844677944E-2</v>
      </c>
      <c r="K7" s="13">
        <f t="shared" si="9"/>
        <v>1033.0791566765329</v>
      </c>
      <c r="L7" s="13">
        <f t="shared" ref="L7:L70" si="20">L6+K7</f>
        <v>2031.7561565555443</v>
      </c>
      <c r="M7" s="15">
        <f t="shared" si="10"/>
        <v>2.6450150844677972E-2</v>
      </c>
      <c r="N7" s="13">
        <f t="shared" si="1"/>
        <v>144.96447169533576</v>
      </c>
      <c r="O7" s="13">
        <f t="shared" si="11"/>
        <v>390.57031865842146</v>
      </c>
      <c r="P7" s="15">
        <f t="shared" si="2"/>
        <v>9.900849923793871E-3</v>
      </c>
      <c r="Q7" s="7">
        <f t="shared" si="12"/>
        <v>39448.160679599539</v>
      </c>
      <c r="R7" s="7">
        <f t="shared" si="13"/>
        <v>39057.590360941118</v>
      </c>
      <c r="S7" s="13">
        <f>IF('Calc (2)'!$AD$32="Sim",R7,Q7)</f>
        <v>39057.590360941118</v>
      </c>
      <c r="T7" s="9">
        <f t="shared" si="14"/>
        <v>3</v>
      </c>
      <c r="U7" s="17">
        <f t="shared" ca="1" si="15"/>
        <v>45597</v>
      </c>
      <c r="V7" s="124">
        <f t="shared" si="3"/>
        <v>94969.342573813134</v>
      </c>
      <c r="W7" s="68">
        <v>3</v>
      </c>
      <c r="X7" s="125">
        <f t="shared" ca="1" si="16"/>
        <v>46600</v>
      </c>
      <c r="Y7" s="5">
        <f t="shared" si="17"/>
        <v>36</v>
      </c>
      <c r="Z7" s="5"/>
      <c r="AB7" s="128" t="s">
        <v>5</v>
      </c>
      <c r="AC7" s="127">
        <f ca="1">DATE(YEAR(TODAY())+Período_2,MONTH(TODAY()),1)</f>
        <v>52810</v>
      </c>
      <c r="AE7" s="157" t="s">
        <v>87</v>
      </c>
      <c r="AF7" s="154"/>
      <c r="AG7" s="151" t="str">
        <f>IF(AE32,AE7,AE8)</f>
        <v>Patrimônio Real</v>
      </c>
    </row>
    <row r="8" spans="2:33" x14ac:dyDescent="0.2">
      <c r="B8" s="17">
        <f t="shared" ca="1" si="4"/>
        <v>45597</v>
      </c>
      <c r="C8" s="9">
        <f t="shared" si="18"/>
        <v>4</v>
      </c>
      <c r="D8" s="9"/>
      <c r="E8" s="13">
        <f t="shared" si="5"/>
        <v>1016.3963568148537</v>
      </c>
      <c r="F8" s="14">
        <f t="shared" si="19"/>
        <v>39040.907561079439</v>
      </c>
      <c r="G8" s="15">
        <f t="shared" si="6"/>
        <v>0.9652400624993811</v>
      </c>
      <c r="H8" s="13">
        <f t="shared" si="7"/>
        <v>513.34088436403738</v>
      </c>
      <c r="I8" s="13">
        <f t="shared" si="8"/>
        <v>1936.9903596989907</v>
      </c>
      <c r="J8" s="15">
        <f t="shared" si="0"/>
        <v>3.4759937500618898E-2</v>
      </c>
      <c r="K8" s="13">
        <f t="shared" si="9"/>
        <v>1405.9295293614414</v>
      </c>
      <c r="L8" s="13">
        <f t="shared" si="20"/>
        <v>3437.6856859169857</v>
      </c>
      <c r="M8" s="15">
        <f t="shared" si="10"/>
        <v>3.4759937500618947E-2</v>
      </c>
      <c r="N8" s="13">
        <f t="shared" si="1"/>
        <v>150.58596448941827</v>
      </c>
      <c r="O8" s="13">
        <f t="shared" si="11"/>
        <v>531.0608303375484</v>
      </c>
      <c r="P8" s="15">
        <f t="shared" si="2"/>
        <v>1.2959689424875706E-2</v>
      </c>
      <c r="Q8" s="7">
        <f t="shared" si="12"/>
        <v>40977.897920778429</v>
      </c>
      <c r="R8" s="7">
        <f t="shared" si="13"/>
        <v>40446.83709044088</v>
      </c>
      <c r="S8" s="13">
        <f>IF('Calc (2)'!$AD$32="Sim",R8,Q8)</f>
        <v>40446.83709044088</v>
      </c>
      <c r="T8" s="9">
        <f t="shared" si="14"/>
        <v>4</v>
      </c>
      <c r="U8" s="17">
        <f t="shared" ca="1" si="15"/>
        <v>45627</v>
      </c>
      <c r="V8" s="124">
        <f t="shared" si="3"/>
        <v>121283.25288749815</v>
      </c>
      <c r="W8" s="68">
        <v>4</v>
      </c>
      <c r="X8" s="125">
        <f t="shared" ca="1" si="16"/>
        <v>46966</v>
      </c>
      <c r="Y8" s="5">
        <f t="shared" si="17"/>
        <v>48</v>
      </c>
      <c r="Z8" s="5"/>
      <c r="AA8" s="92"/>
      <c r="AB8" s="94" t="s">
        <v>51</v>
      </c>
      <c r="AC8" s="121">
        <f ca="1">OFFSET('Calc (2)'!I5,'Calc (2)'!$AC$4,0)</f>
        <v>2539623.2077020556</v>
      </c>
      <c r="AE8" s="158" t="s">
        <v>88</v>
      </c>
      <c r="AF8" s="155"/>
      <c r="AG8" s="151"/>
    </row>
    <row r="9" spans="2:33" x14ac:dyDescent="0.2">
      <c r="B9" s="17">
        <f t="shared" ca="1" si="4"/>
        <v>45627</v>
      </c>
      <c r="C9" s="9">
        <f t="shared" si="18"/>
        <v>5</v>
      </c>
      <c r="D9" s="9"/>
      <c r="E9" s="13">
        <f t="shared" si="5"/>
        <v>1020.5372813857666</v>
      </c>
      <c r="F9" s="14">
        <f t="shared" si="19"/>
        <v>40061.444842465207</v>
      </c>
      <c r="G9" s="15">
        <f t="shared" si="6"/>
        <v>0.95718978415434031</v>
      </c>
      <c r="H9" s="13">
        <f t="shared" si="7"/>
        <v>533.24743145528043</v>
      </c>
      <c r="I9" s="13">
        <f t="shared" si="8"/>
        <v>2470.2377911542712</v>
      </c>
      <c r="J9" s="15">
        <f t="shared" si="0"/>
        <v>4.2810215845659694E-2</v>
      </c>
      <c r="K9" s="13">
        <f t="shared" si="9"/>
        <v>1791.7440503297184</v>
      </c>
      <c r="L9" s="13">
        <f t="shared" si="20"/>
        <v>5229.4297362467041</v>
      </c>
      <c r="M9" s="15">
        <f t="shared" si="10"/>
        <v>4.2810215845659715E-2</v>
      </c>
      <c r="N9" s="13">
        <f t="shared" si="1"/>
        <v>156.29582715842164</v>
      </c>
      <c r="O9" s="13">
        <f t="shared" si="11"/>
        <v>678.49374082455324</v>
      </c>
      <c r="P9" s="15">
        <f t="shared" si="2"/>
        <v>1.5952666313940586E-2</v>
      </c>
      <c r="Q9" s="7">
        <f t="shared" si="12"/>
        <v>42531.682633619479</v>
      </c>
      <c r="R9" s="7">
        <f t="shared" si="13"/>
        <v>41853.188892794926</v>
      </c>
      <c r="S9" s="13">
        <f>IF('Calc (2)'!$AD$32="Sim",R9,Q9)</f>
        <v>41853.188892794926</v>
      </c>
      <c r="T9" s="9">
        <f t="shared" si="14"/>
        <v>5</v>
      </c>
      <c r="U9" s="17">
        <f t="shared" ca="1" si="15"/>
        <v>45658</v>
      </c>
      <c r="V9" s="124">
        <f t="shared" si="3"/>
        <v>151447.72273019093</v>
      </c>
      <c r="W9" s="68">
        <v>5</v>
      </c>
      <c r="X9" s="125">
        <f t="shared" ca="1" si="16"/>
        <v>47331</v>
      </c>
      <c r="Y9" s="5">
        <f t="shared" si="17"/>
        <v>60</v>
      </c>
      <c r="Z9" s="5"/>
      <c r="AA9" s="98"/>
      <c r="AB9" s="100" t="s">
        <v>52</v>
      </c>
      <c r="AC9" s="122">
        <f ca="1">AC13-AC11</f>
        <v>1155290.374355772</v>
      </c>
      <c r="AE9" s="158" t="s">
        <v>91</v>
      </c>
      <c r="AF9" s="155"/>
      <c r="AG9" s="151" t="str">
        <f>IF(AE34,AE9,AE10)</f>
        <v>Com Crescimento Salárial</v>
      </c>
    </row>
    <row r="10" spans="2:33" x14ac:dyDescent="0.2">
      <c r="B10" s="17">
        <f t="shared" ca="1" si="4"/>
        <v>45658</v>
      </c>
      <c r="C10" s="9">
        <f t="shared" si="18"/>
        <v>6</v>
      </c>
      <c r="D10" s="9"/>
      <c r="E10" s="13">
        <f t="shared" si="5"/>
        <v>1024.6950765959602</v>
      </c>
      <c r="F10" s="14">
        <f t="shared" si="19"/>
        <v>41086.13991906117</v>
      </c>
      <c r="G10" s="15">
        <f t="shared" si="6"/>
        <v>0.94937978519006738</v>
      </c>
      <c r="H10" s="13">
        <f t="shared" si="7"/>
        <v>553.46690949582785</v>
      </c>
      <c r="I10" s="13">
        <f t="shared" si="8"/>
        <v>3023.7047006500989</v>
      </c>
      <c r="J10" s="15">
        <f t="shared" si="0"/>
        <v>5.0620214809932618E-2</v>
      </c>
      <c r="K10" s="13">
        <f t="shared" si="9"/>
        <v>2190.682022998255</v>
      </c>
      <c r="L10" s="13">
        <f t="shared" si="20"/>
        <v>7420.1117592449591</v>
      </c>
      <c r="M10" s="15">
        <f t="shared" si="10"/>
        <v>5.0620214809932652E-2</v>
      </c>
      <c r="N10" s="13">
        <f t="shared" si="1"/>
        <v>162.09527166032385</v>
      </c>
      <c r="O10" s="13">
        <f t="shared" si="11"/>
        <v>833.02267765184661</v>
      </c>
      <c r="P10" s="15">
        <f t="shared" si="2"/>
        <v>1.8885187305320853E-2</v>
      </c>
      <c r="Q10" s="7">
        <f t="shared" si="12"/>
        <v>44109.844619711272</v>
      </c>
      <c r="R10" s="7">
        <f t="shared" si="13"/>
        <v>43276.821942059425</v>
      </c>
      <c r="S10" s="13">
        <f>IF('Calc (2)'!$AD$32="Sim",R10,Q10)</f>
        <v>43276.821942059425</v>
      </c>
      <c r="T10" s="9">
        <f t="shared" si="14"/>
        <v>6</v>
      </c>
      <c r="U10" s="17">
        <f t="shared" ca="1" si="15"/>
        <v>45689</v>
      </c>
      <c r="V10" s="124">
        <f t="shared" si="3"/>
        <v>185953.23526112753</v>
      </c>
      <c r="W10" s="68">
        <v>6</v>
      </c>
      <c r="X10" s="125">
        <f t="shared" ca="1" si="16"/>
        <v>47696</v>
      </c>
      <c r="Y10" s="5">
        <f t="shared" si="17"/>
        <v>72</v>
      </c>
      <c r="Z10" s="5"/>
      <c r="AA10" s="98"/>
      <c r="AB10" s="100" t="s">
        <v>139</v>
      </c>
      <c r="AC10" s="122">
        <f ca="1">IF(AE32,AC9,AC8)</f>
        <v>1155290.374355772</v>
      </c>
      <c r="AE10" s="158" t="s">
        <v>92</v>
      </c>
      <c r="AF10" s="155"/>
      <c r="AG10" s="151"/>
    </row>
    <row r="11" spans="2:33" x14ac:dyDescent="0.2">
      <c r="B11" s="17">
        <f t="shared" ca="1" si="4"/>
        <v>45689</v>
      </c>
      <c r="C11" s="9">
        <f t="shared" si="18"/>
        <v>7</v>
      </c>
      <c r="D11" s="9"/>
      <c r="E11" s="13">
        <f t="shared" si="5"/>
        <v>1028.8698111785072</v>
      </c>
      <c r="F11" s="14">
        <f t="shared" si="19"/>
        <v>42115.009730239675</v>
      </c>
      <c r="G11" s="15">
        <f t="shared" si="6"/>
        <v>0.94179280403096388</v>
      </c>
      <c r="H11" s="13">
        <f t="shared" si="7"/>
        <v>574.00361021021695</v>
      </c>
      <c r="I11" s="13">
        <f t="shared" si="8"/>
        <v>3597.7083108603156</v>
      </c>
      <c r="J11" s="15">
        <f t="shared" si="0"/>
        <v>5.8207195969036118E-2</v>
      </c>
      <c r="K11" s="13">
        <f t="shared" si="9"/>
        <v>2602.9043905556609</v>
      </c>
      <c r="L11" s="13">
        <f t="shared" si="20"/>
        <v>10023.01614980062</v>
      </c>
      <c r="M11" s="15">
        <f t="shared" si="10"/>
        <v>5.8207195969036105E-2</v>
      </c>
      <c r="N11" s="13">
        <f t="shared" si="1"/>
        <v>167.98552597695351</v>
      </c>
      <c r="O11" s="13">
        <f t="shared" si="11"/>
        <v>994.80392030465737</v>
      </c>
      <c r="P11" s="15">
        <f t="shared" si="2"/>
        <v>2.1762082040499887E-2</v>
      </c>
      <c r="Q11" s="7">
        <f t="shared" si="12"/>
        <v>45712.718041099994</v>
      </c>
      <c r="R11" s="7">
        <f t="shared" si="13"/>
        <v>44717.914120795336</v>
      </c>
      <c r="S11" s="13">
        <f>IF('Calc (2)'!$AD$32="Sim",R11,Q11)</f>
        <v>44717.914120795336</v>
      </c>
      <c r="T11" s="9">
        <f t="shared" si="14"/>
        <v>7</v>
      </c>
      <c r="U11" s="17">
        <f t="shared" ca="1" si="15"/>
        <v>45717</v>
      </c>
      <c r="V11" s="124">
        <f t="shared" si="3"/>
        <v>225349.82030383471</v>
      </c>
      <c r="W11" s="68">
        <v>7</v>
      </c>
      <c r="X11" s="125">
        <f t="shared" ca="1" si="16"/>
        <v>48061</v>
      </c>
      <c r="Y11" s="5">
        <f t="shared" si="17"/>
        <v>84</v>
      </c>
      <c r="Z11" s="5"/>
      <c r="AA11" s="98"/>
      <c r="AB11" s="100" t="s">
        <v>50</v>
      </c>
      <c r="AC11" s="122">
        <f ca="1">OFFSET('Calc (2)'!F5,'Calc (2)'!$AC$4,0)</f>
        <v>442457.78302295093</v>
      </c>
      <c r="AE11" s="158" t="s">
        <v>89</v>
      </c>
      <c r="AF11" s="155"/>
      <c r="AG11" s="151" t="str">
        <f>IF(AF36,AE11,AE12)</f>
        <v>Com IR</v>
      </c>
    </row>
    <row r="12" spans="2:33" x14ac:dyDescent="0.2">
      <c r="B12" s="17">
        <f t="shared" ca="1" si="4"/>
        <v>45717</v>
      </c>
      <c r="C12" s="9">
        <f t="shared" si="18"/>
        <v>8</v>
      </c>
      <c r="D12" s="9"/>
      <c r="E12" s="13">
        <f t="shared" si="5"/>
        <v>1033.0615541465074</v>
      </c>
      <c r="F12" s="14">
        <f t="shared" si="19"/>
        <v>43148.071284386184</v>
      </c>
      <c r="G12" s="15">
        <f t="shared" si="6"/>
        <v>0.93441330028451541</v>
      </c>
      <c r="H12" s="13">
        <f t="shared" si="7"/>
        <v>594.86188206583768</v>
      </c>
      <c r="I12" s="13">
        <f t="shared" si="8"/>
        <v>4192.5701929261531</v>
      </c>
      <c r="J12" s="15">
        <f t="shared" si="0"/>
        <v>6.5586699715484587E-2</v>
      </c>
      <c r="K12" s="13">
        <f t="shared" si="9"/>
        <v>3028.5737518608585</v>
      </c>
      <c r="L12" s="13">
        <f t="shared" si="20"/>
        <v>13051.589901661479</v>
      </c>
      <c r="M12" s="15">
        <f t="shared" si="10"/>
        <v>6.5586699715484628E-2</v>
      </c>
      <c r="N12" s="13">
        <f t="shared" si="1"/>
        <v>173.96783432353811</v>
      </c>
      <c r="O12" s="13">
        <f t="shared" si="11"/>
        <v>1163.9964410652974</v>
      </c>
      <c r="P12" s="15">
        <f t="shared" si="2"/>
        <v>2.4587677833286952E-2</v>
      </c>
      <c r="Q12" s="7">
        <f t="shared" si="12"/>
        <v>47340.64147731234</v>
      </c>
      <c r="R12" s="7">
        <f t="shared" si="13"/>
        <v>46176.645036247042</v>
      </c>
      <c r="S12" s="13">
        <f>IF('Calc (2)'!$AD$32="Sim",R12,Q12)</f>
        <v>46176.645036247042</v>
      </c>
      <c r="T12" s="9">
        <f t="shared" si="14"/>
        <v>8</v>
      </c>
      <c r="U12" s="17">
        <f t="shared" ca="1" si="15"/>
        <v>45748</v>
      </c>
      <c r="V12" s="124">
        <f t="shared" si="3"/>
        <v>270254.14832513651</v>
      </c>
      <c r="W12" s="68">
        <v>8</v>
      </c>
      <c r="X12" s="125">
        <f t="shared" ca="1" si="16"/>
        <v>48427</v>
      </c>
      <c r="Y12" s="5">
        <f t="shared" si="17"/>
        <v>96</v>
      </c>
      <c r="Z12" s="5"/>
      <c r="AA12" s="98"/>
      <c r="AB12" s="100" t="s">
        <v>49</v>
      </c>
      <c r="AC12" s="122">
        <f ca="1">OFFSET('Calc (2)'!Q5,'Calc (2)'!$AC$4,0)</f>
        <v>2982080.9907250046</v>
      </c>
      <c r="AE12" s="159" t="s">
        <v>90</v>
      </c>
      <c r="AF12" s="156"/>
      <c r="AG12" s="151"/>
    </row>
    <row r="13" spans="2:33" x14ac:dyDescent="0.2">
      <c r="B13" s="17">
        <f t="shared" ca="1" si="4"/>
        <v>45748</v>
      </c>
      <c r="C13" s="9">
        <f t="shared" si="18"/>
        <v>9</v>
      </c>
      <c r="D13" s="9"/>
      <c r="E13" s="13">
        <f t="shared" si="5"/>
        <v>1037.2703747942285</v>
      </c>
      <c r="F13" s="14">
        <f t="shared" si="19"/>
        <v>44185.341659180413</v>
      </c>
      <c r="G13" s="15">
        <f t="shared" si="6"/>
        <v>0.92722724463594242</v>
      </c>
      <c r="H13" s="13">
        <f t="shared" si="7"/>
        <v>616.04613101497455</v>
      </c>
      <c r="I13" s="13">
        <f t="shared" si="8"/>
        <v>4808.616323941128</v>
      </c>
      <c r="J13" s="15">
        <f t="shared" si="0"/>
        <v>7.2772755364057584E-2</v>
      </c>
      <c r="K13" s="13">
        <f t="shared" si="9"/>
        <v>3467.8543774922582</v>
      </c>
      <c r="L13" s="13">
        <f t="shared" si="20"/>
        <v>16519.444279153737</v>
      </c>
      <c r="M13" s="15">
        <f t="shared" si="10"/>
        <v>7.277275536405757E-2</v>
      </c>
      <c r="N13" s="13">
        <f t="shared" si="1"/>
        <v>180.04345736098318</v>
      </c>
      <c r="O13" s="13">
        <f t="shared" si="11"/>
        <v>1340.7619464488744</v>
      </c>
      <c r="P13" s="15">
        <f t="shared" si="2"/>
        <v>2.7365863090929862E-2</v>
      </c>
      <c r="Q13" s="7">
        <f t="shared" si="12"/>
        <v>48993.957983121545</v>
      </c>
      <c r="R13" s="7">
        <f t="shared" si="13"/>
        <v>47653.196036672671</v>
      </c>
      <c r="S13" s="13">
        <f>IF('Calc (2)'!$AD$32="Sim",R13,Q13)</f>
        <v>47653.196036672671</v>
      </c>
      <c r="T13" s="9">
        <f t="shared" si="14"/>
        <v>9</v>
      </c>
      <c r="U13" s="17">
        <f t="shared" ca="1" si="15"/>
        <v>45778</v>
      </c>
      <c r="V13" s="124">
        <f t="shared" si="3"/>
        <v>321357.46299545927</v>
      </c>
      <c r="W13" s="68">
        <v>9</v>
      </c>
      <c r="X13" s="125">
        <f t="shared" ca="1" si="16"/>
        <v>48792</v>
      </c>
      <c r="Y13" s="5">
        <f t="shared" si="17"/>
        <v>108</v>
      </c>
      <c r="Z13" s="5"/>
      <c r="AA13" s="98"/>
      <c r="AB13" s="100" t="s">
        <v>10</v>
      </c>
      <c r="AC13" s="122">
        <f ca="1">OFFSET('Calc (2)'!R5,'Calc (2)'!$AC$4,0)</f>
        <v>1597748.1573787229</v>
      </c>
      <c r="AE13" s="157" t="s">
        <v>93</v>
      </c>
      <c r="AF13" s="154"/>
      <c r="AG13" s="2" t="str">
        <f>CONCATENATE(AG7, " | ",AG9, " | ",AG11)</f>
        <v>Patrimônio Real | Com Crescimento Salárial | Com IR</v>
      </c>
    </row>
    <row r="14" spans="2:33" x14ac:dyDescent="0.2">
      <c r="B14" s="17">
        <f t="shared" ca="1" si="4"/>
        <v>45778</v>
      </c>
      <c r="C14" s="9">
        <f t="shared" si="18"/>
        <v>10</v>
      </c>
      <c r="D14" s="9"/>
      <c r="E14" s="13">
        <f t="shared" si="5"/>
        <v>1041.4963426982515</v>
      </c>
      <c r="F14" s="14">
        <f t="shared" si="19"/>
        <v>45226.838001878663</v>
      </c>
      <c r="G14" s="15">
        <f t="shared" si="6"/>
        <v>0.92022193879123204</v>
      </c>
      <c r="H14" s="13">
        <f t="shared" si="7"/>
        <v>637.56082124651846</v>
      </c>
      <c r="I14" s="13">
        <f t="shared" si="8"/>
        <v>5446.1771451876466</v>
      </c>
      <c r="J14" s="15">
        <f t="shared" si="0"/>
        <v>7.9778061208767959E-2</v>
      </c>
      <c r="K14" s="13">
        <f t="shared" si="9"/>
        <v>3920.9122259488649</v>
      </c>
      <c r="L14" s="13">
        <f t="shared" si="20"/>
        <v>20440.356505102602</v>
      </c>
      <c r="M14" s="15">
        <f t="shared" si="10"/>
        <v>7.9778061208767986E-2</v>
      </c>
      <c r="N14" s="13">
        <f t="shared" si="1"/>
        <v>186.21367241091824</v>
      </c>
      <c r="O14" s="13">
        <f t="shared" si="11"/>
        <v>1525.2649192387835</v>
      </c>
      <c r="P14" s="15">
        <f t="shared" si="2"/>
        <v>3.0100141363446929E-2</v>
      </c>
      <c r="Q14" s="7">
        <f t="shared" si="12"/>
        <v>50673.015147066311</v>
      </c>
      <c r="R14" s="7">
        <f t="shared" si="13"/>
        <v>49147.750227827528</v>
      </c>
      <c r="S14" s="13">
        <f>IF('Calc (2)'!$AD$32="Sim",R14,Q14)</f>
        <v>49147.750227827528</v>
      </c>
      <c r="T14" s="9">
        <f t="shared" si="14"/>
        <v>10</v>
      </c>
      <c r="U14" s="17">
        <f t="shared" ca="1" si="15"/>
        <v>45809</v>
      </c>
      <c r="V14" s="124">
        <f t="shared" si="3"/>
        <v>379434.45113641763</v>
      </c>
      <c r="W14" s="68">
        <v>10</v>
      </c>
      <c r="X14" s="125">
        <f t="shared" ca="1" si="16"/>
        <v>49157</v>
      </c>
      <c r="Y14" s="5">
        <f t="shared" si="17"/>
        <v>120</v>
      </c>
      <c r="Z14" s="5"/>
      <c r="AA14" s="66"/>
      <c r="AB14" s="86" t="s">
        <v>11</v>
      </c>
      <c r="AC14" s="87">
        <f ca="1">IF('Calc (2)'!$AD$32="Sim",AC13,AC12)</f>
        <v>1597748.1573787229</v>
      </c>
    </row>
    <row r="15" spans="2:33" x14ac:dyDescent="0.2">
      <c r="B15" s="17">
        <f t="shared" ca="1" si="4"/>
        <v>45809</v>
      </c>
      <c r="C15" s="9">
        <f t="shared" si="18"/>
        <v>11</v>
      </c>
      <c r="E15" s="13">
        <f t="shared" si="5"/>
        <v>1045.7395277186213</v>
      </c>
      <c r="F15" s="14">
        <f t="shared" si="19"/>
        <v>46272.577529597285</v>
      </c>
      <c r="G15" s="15">
        <f t="shared" si="6"/>
        <v>0.91338586057162074</v>
      </c>
      <c r="H15" s="13">
        <f t="shared" si="7"/>
        <v>659.41047594747704</v>
      </c>
      <c r="I15" s="13">
        <f t="shared" si="8"/>
        <v>6105.5876211351233</v>
      </c>
      <c r="J15" s="15">
        <f t="shared" si="0"/>
        <v>8.6614139428379255E-2</v>
      </c>
      <c r="K15" s="13">
        <f t="shared" si="9"/>
        <v>4387.9149600047531</v>
      </c>
      <c r="L15" s="13">
        <f t="shared" si="20"/>
        <v>24828.271465107355</v>
      </c>
      <c r="M15" s="15">
        <f t="shared" si="10"/>
        <v>8.6614139428379297E-2</v>
      </c>
      <c r="N15" s="13">
        <f t="shared" si="1"/>
        <v>192.47977367354537</v>
      </c>
      <c r="O15" s="13">
        <f t="shared" si="11"/>
        <v>1717.6726611303748</v>
      </c>
      <c r="P15" s="15">
        <f t="shared" si="2"/>
        <v>3.2793677598046911E-2</v>
      </c>
      <c r="Q15" s="7">
        <f t="shared" si="12"/>
        <v>52378.165150732413</v>
      </c>
      <c r="R15" s="7">
        <f t="shared" si="13"/>
        <v>50660.492489602038</v>
      </c>
      <c r="S15" s="13">
        <f>IF('Calc (2)'!$AD$32="Sim",R15,Q15)</f>
        <v>50660.492489602038</v>
      </c>
      <c r="T15" s="9">
        <f t="shared" si="14"/>
        <v>11</v>
      </c>
      <c r="U15" s="17">
        <f t="shared" ca="1" si="15"/>
        <v>45839</v>
      </c>
      <c r="V15" s="124">
        <f t="shared" si="3"/>
        <v>445353.16048743972</v>
      </c>
      <c r="W15" s="68">
        <v>11</v>
      </c>
      <c r="X15" s="125">
        <f t="shared" ca="1" si="16"/>
        <v>49522</v>
      </c>
      <c r="Y15" s="5">
        <f t="shared" si="17"/>
        <v>132</v>
      </c>
      <c r="Z15" s="5"/>
    </row>
    <row r="16" spans="2:33" x14ac:dyDescent="0.2">
      <c r="B16" s="17">
        <f t="shared" ca="1" si="4"/>
        <v>45839</v>
      </c>
      <c r="C16" s="9">
        <f t="shared" si="18"/>
        <v>12</v>
      </c>
      <c r="D16" s="9">
        <v>1</v>
      </c>
      <c r="E16" s="13">
        <f t="shared" si="5"/>
        <v>1050.0000000000009</v>
      </c>
      <c r="F16" s="14">
        <f t="shared" si="19"/>
        <v>47322.577529597285</v>
      </c>
      <c r="G16" s="15">
        <f t="shared" si="6"/>
        <v>0.90670853015390174</v>
      </c>
      <c r="H16" s="13">
        <f t="shared" si="7"/>
        <v>681.5996780744083</v>
      </c>
      <c r="I16" s="13">
        <f t="shared" si="8"/>
        <v>6787.1872992095314</v>
      </c>
      <c r="J16" s="15">
        <f t="shared" si="0"/>
        <v>9.3291469846098263E-2</v>
      </c>
      <c r="K16" s="13">
        <f t="shared" si="9"/>
        <v>4869.0319632183455</v>
      </c>
      <c r="L16" s="13">
        <f t="shared" si="20"/>
        <v>29697.3034283257</v>
      </c>
      <c r="M16" s="15">
        <f t="shared" si="10"/>
        <v>9.3291469846098263E-2</v>
      </c>
      <c r="N16" s="13">
        <f t="shared" si="1"/>
        <v>198.84307244832664</v>
      </c>
      <c r="O16" s="13">
        <f t="shared" si="11"/>
        <v>1918.1553359911923</v>
      </c>
      <c r="P16" s="15">
        <f t="shared" si="2"/>
        <v>3.5449337879398975E-2</v>
      </c>
      <c r="Q16" s="7">
        <f t="shared" si="12"/>
        <v>54109.764828806823</v>
      </c>
      <c r="R16" s="7">
        <f t="shared" si="13"/>
        <v>52191.609492815631</v>
      </c>
      <c r="S16" s="13">
        <f>IF('Calc (2)'!$AD$32="Sim",R16,Q16)</f>
        <v>52191.609492815631</v>
      </c>
      <c r="T16" s="9">
        <f t="shared" si="14"/>
        <v>12</v>
      </c>
      <c r="U16" s="17">
        <f t="shared" ca="1" si="15"/>
        <v>45870</v>
      </c>
      <c r="V16" s="124">
        <f t="shared" si="3"/>
        <v>520086.08871608414</v>
      </c>
      <c r="W16" s="68">
        <v>12</v>
      </c>
      <c r="X16" s="125">
        <f t="shared" ca="1" si="16"/>
        <v>49888</v>
      </c>
      <c r="Y16" s="5">
        <f t="shared" si="17"/>
        <v>144</v>
      </c>
      <c r="Z16" s="5"/>
      <c r="AA16" s="55" t="s">
        <v>62</v>
      </c>
    </row>
    <row r="17" spans="2:33" x14ac:dyDescent="0.2">
      <c r="B17" s="17">
        <f t="shared" ca="1" si="4"/>
        <v>45870</v>
      </c>
      <c r="C17" s="9">
        <f t="shared" si="18"/>
        <v>13</v>
      </c>
      <c r="D17" s="9"/>
      <c r="E17" s="13">
        <f t="shared" si="5"/>
        <v>1054.2778299728318</v>
      </c>
      <c r="F17" s="14">
        <f t="shared" si="19"/>
        <v>48376.855359570116</v>
      </c>
      <c r="G17" s="15">
        <f t="shared" si="6"/>
        <v>0.90018039416378026</v>
      </c>
      <c r="H17" s="13">
        <f t="shared" si="7"/>
        <v>704.13307113490896</v>
      </c>
      <c r="I17" s="13">
        <f t="shared" si="8"/>
        <v>7491.3203703444406</v>
      </c>
      <c r="J17" s="15">
        <f t="shared" si="0"/>
        <v>9.9819605836219738E-2</v>
      </c>
      <c r="K17" s="13">
        <f t="shared" si="9"/>
        <v>5364.4343565979871</v>
      </c>
      <c r="L17" s="13">
        <f t="shared" si="20"/>
        <v>35061.737784923687</v>
      </c>
      <c r="M17" s="15">
        <f t="shared" si="10"/>
        <v>9.9819605836219696E-2</v>
      </c>
      <c r="N17" s="13">
        <f t="shared" si="1"/>
        <v>205.30489735754799</v>
      </c>
      <c r="O17" s="13">
        <f t="shared" si="11"/>
        <v>2126.886013746458</v>
      </c>
      <c r="P17" s="15">
        <f t="shared" si="2"/>
        <v>3.8069723701531548E-2</v>
      </c>
      <c r="Q17" s="7">
        <f t="shared" si="12"/>
        <v>55868.175729914561</v>
      </c>
      <c r="R17" s="7">
        <f t="shared" si="13"/>
        <v>53741.289716168103</v>
      </c>
      <c r="S17" s="13">
        <f>IF('Calc (2)'!$AD$32="Sim",R17,Q17)</f>
        <v>53741.289716168103</v>
      </c>
      <c r="T17" s="9">
        <f t="shared" si="14"/>
        <v>13</v>
      </c>
      <c r="U17" s="17">
        <f t="shared" ca="1" si="15"/>
        <v>45901</v>
      </c>
      <c r="V17" s="124">
        <f t="shared" si="3"/>
        <v>604722.58161743905</v>
      </c>
      <c r="W17" s="68">
        <v>13</v>
      </c>
      <c r="X17" s="125">
        <f t="shared" ca="1" si="16"/>
        <v>50253</v>
      </c>
      <c r="Y17" s="5">
        <f t="shared" si="17"/>
        <v>156</v>
      </c>
      <c r="Z17" s="5"/>
      <c r="AA17" s="73" t="s">
        <v>2</v>
      </c>
      <c r="AB17" s="56" t="s">
        <v>61</v>
      </c>
      <c r="AC17" s="56" t="s">
        <v>4</v>
      </c>
      <c r="AD17" s="56" t="s">
        <v>46</v>
      </c>
      <c r="AE17" s="56" t="s">
        <v>44</v>
      </c>
      <c r="AF17" s="57" t="s">
        <v>45</v>
      </c>
    </row>
    <row r="18" spans="2:33" x14ac:dyDescent="0.2">
      <c r="B18" s="17">
        <f t="shared" ca="1" si="4"/>
        <v>45901</v>
      </c>
      <c r="C18" s="9">
        <f t="shared" si="18"/>
        <v>14</v>
      </c>
      <c r="D18" s="9"/>
      <c r="E18" s="13">
        <f t="shared" si="5"/>
        <v>1058.5730883544973</v>
      </c>
      <c r="F18" s="14">
        <f t="shared" si="19"/>
        <v>49435.428447924613</v>
      </c>
      <c r="G18" s="15">
        <f t="shared" si="6"/>
        <v>0.89379272490274309</v>
      </c>
      <c r="H18" s="13">
        <f t="shared" si="7"/>
        <v>727.01535997928636</v>
      </c>
      <c r="I18" s="13">
        <f t="shared" si="8"/>
        <v>8218.3357303237262</v>
      </c>
      <c r="J18" s="15">
        <f t="shared" si="0"/>
        <v>0.10620727509725691</v>
      </c>
      <c r="K18" s="13">
        <f t="shared" si="9"/>
        <v>5874.2950154251957</v>
      </c>
      <c r="L18" s="13">
        <f t="shared" si="20"/>
        <v>40936.032800348883</v>
      </c>
      <c r="M18" s="15">
        <f t="shared" si="10"/>
        <v>0.10620727509725686</v>
      </c>
      <c r="N18" s="13">
        <f t="shared" si="1"/>
        <v>211.8665945727964</v>
      </c>
      <c r="O18" s="13">
        <f t="shared" si="11"/>
        <v>2344.0407148985323</v>
      </c>
      <c r="P18" s="15">
        <f t="shared" si="2"/>
        <v>4.0657201629566694E-2</v>
      </c>
      <c r="Q18" s="7">
        <f t="shared" si="12"/>
        <v>57653.764178248341</v>
      </c>
      <c r="R18" s="7">
        <f t="shared" si="13"/>
        <v>55309.723463349808</v>
      </c>
      <c r="S18" s="13">
        <f>IF('Calc (2)'!$AD$32="Sim",R18,Q18)</f>
        <v>55309.723463349808</v>
      </c>
      <c r="T18" s="9">
        <f t="shared" si="14"/>
        <v>14</v>
      </c>
      <c r="U18" s="17">
        <f t="shared" ca="1" si="15"/>
        <v>45931</v>
      </c>
      <c r="V18" s="124">
        <f t="shared" si="3"/>
        <v>700482.69467619015</v>
      </c>
      <c r="W18" s="68">
        <v>14</v>
      </c>
      <c r="X18" s="125">
        <f t="shared" ca="1" si="16"/>
        <v>50618</v>
      </c>
      <c r="Y18" s="5">
        <f t="shared" si="17"/>
        <v>168</v>
      </c>
      <c r="Z18" s="5"/>
      <c r="AA18" s="75">
        <f>Período_2</f>
        <v>20</v>
      </c>
      <c r="AB18" s="71">
        <f>AA18*12</f>
        <v>240</v>
      </c>
      <c r="AC18" s="72">
        <f ca="1">INDEX($U$5:$U$997,AB18,0)</f>
        <v>52810</v>
      </c>
      <c r="AD18" s="78">
        <f ca="1">INDEX($S$5:$S$997,MATCH(AC18,$U$5:$U$997,0),0)</f>
        <v>1597748.1573787229</v>
      </c>
      <c r="AE18" s="82">
        <f>INDEX($G$5:$G$997,AB18,0)</f>
        <v>0.276925860298816</v>
      </c>
      <c r="AF18" s="83">
        <f>INDEX($J$5:$J$997,AB18,0)</f>
        <v>0.72307413970118395</v>
      </c>
    </row>
    <row r="19" spans="2:33" x14ac:dyDescent="0.2">
      <c r="B19" s="17">
        <f t="shared" ca="1" si="4"/>
        <v>45931</v>
      </c>
      <c r="C19" s="9">
        <f t="shared" si="18"/>
        <v>15</v>
      </c>
      <c r="D19" s="9"/>
      <c r="E19" s="13">
        <f t="shared" si="5"/>
        <v>1062.8858461504924</v>
      </c>
      <c r="F19" s="14">
        <f t="shared" si="19"/>
        <v>50498.314294075106</v>
      </c>
      <c r="G19" s="15">
        <f t="shared" si="6"/>
        <v>0.88753753245226641</v>
      </c>
      <c r="H19" s="13">
        <f t="shared" si="7"/>
        <v>750.25131160254909</v>
      </c>
      <c r="I19" s="13">
        <f t="shared" si="8"/>
        <v>8968.5870419262756</v>
      </c>
      <c r="J19" s="15">
        <f t="shared" si="0"/>
        <v>0.11246246754773359</v>
      </c>
      <c r="K19" s="13">
        <f t="shared" si="9"/>
        <v>6398.7885862371768</v>
      </c>
      <c r="L19" s="13">
        <f t="shared" si="20"/>
        <v>47334.82138658606</v>
      </c>
      <c r="M19" s="15">
        <f t="shared" si="10"/>
        <v>0.11246246754773355</v>
      </c>
      <c r="N19" s="13">
        <f t="shared" si="1"/>
        <v>218.52952804438866</v>
      </c>
      <c r="O19" s="13">
        <f t="shared" si="11"/>
        <v>2569.7984556891024</v>
      </c>
      <c r="P19" s="15">
        <f t="shared" si="2"/>
        <v>4.3213929058942592E-2</v>
      </c>
      <c r="Q19" s="7">
        <f t="shared" si="12"/>
        <v>59466.901336001385</v>
      </c>
      <c r="R19" s="7">
        <f t="shared" si="13"/>
        <v>56897.102880312283</v>
      </c>
      <c r="S19" s="13">
        <f>IF('Calc (2)'!$AD$32="Sim",R19,Q19)</f>
        <v>56897.102880312283</v>
      </c>
      <c r="T19" s="9">
        <f t="shared" si="14"/>
        <v>15</v>
      </c>
      <c r="U19" s="17">
        <f t="shared" ca="1" si="15"/>
        <v>45962</v>
      </c>
      <c r="V19" s="124">
        <f t="shared" si="3"/>
        <v>808732.69030134205</v>
      </c>
      <c r="W19" s="68">
        <v>15</v>
      </c>
      <c r="X19" s="125">
        <f t="shared" ca="1" si="16"/>
        <v>50983</v>
      </c>
      <c r="Y19" s="5">
        <f t="shared" si="17"/>
        <v>180</v>
      </c>
      <c r="Z19" s="5"/>
    </row>
    <row r="20" spans="2:33" x14ac:dyDescent="0.2">
      <c r="B20" s="17">
        <f t="shared" ca="1" si="4"/>
        <v>45962</v>
      </c>
      <c r="C20" s="9">
        <f t="shared" si="18"/>
        <v>16</v>
      </c>
      <c r="D20" s="9"/>
      <c r="E20" s="13">
        <f t="shared" si="5"/>
        <v>1067.2161746555973</v>
      </c>
      <c r="F20" s="14">
        <f t="shared" si="19"/>
        <v>51565.5304687307</v>
      </c>
      <c r="G20" s="15">
        <f t="shared" si="6"/>
        <v>0.88140748777558631</v>
      </c>
      <c r="H20" s="13">
        <f t="shared" si="7"/>
        <v>773.84575595684782</v>
      </c>
      <c r="I20" s="13">
        <f t="shared" si="8"/>
        <v>9742.4327978831243</v>
      </c>
      <c r="J20" s="15">
        <f t="shared" si="0"/>
        <v>0.11859251222441369</v>
      </c>
      <c r="K20" s="13">
        <f t="shared" si="9"/>
        <v>6938.091503969983</v>
      </c>
      <c r="L20" s="13">
        <f t="shared" si="20"/>
        <v>54272.912890556043</v>
      </c>
      <c r="M20" s="15">
        <f t="shared" si="10"/>
        <v>0.11859251222441369</v>
      </c>
      <c r="N20" s="13">
        <f t="shared" si="1"/>
        <v>225.29507973378966</v>
      </c>
      <c r="O20" s="13">
        <f t="shared" si="11"/>
        <v>2804.3412939131449</v>
      </c>
      <c r="P20" s="15">
        <f t="shared" si="2"/>
        <v>4.5741876658301761E-2</v>
      </c>
      <c r="Q20" s="7">
        <f t="shared" si="12"/>
        <v>61307.963266613828</v>
      </c>
      <c r="R20" s="7">
        <f t="shared" si="13"/>
        <v>58503.621972700683</v>
      </c>
      <c r="S20" s="13">
        <f>IF('Calc (2)'!$AD$32="Sim",R20,Q20)</f>
        <v>58503.621972700683</v>
      </c>
      <c r="T20" s="9">
        <f t="shared" si="14"/>
        <v>16</v>
      </c>
      <c r="U20" s="17">
        <f t="shared" ca="1" si="15"/>
        <v>45992</v>
      </c>
      <c r="V20" s="124">
        <f t="shared" si="3"/>
        <v>931002.36331248772</v>
      </c>
      <c r="W20" s="68">
        <v>16</v>
      </c>
      <c r="X20" s="125">
        <f t="shared" ca="1" si="16"/>
        <v>51349</v>
      </c>
      <c r="Y20" s="5">
        <f t="shared" si="17"/>
        <v>192</v>
      </c>
      <c r="Z20" s="5"/>
      <c r="AA20" s="55" t="s">
        <v>54</v>
      </c>
      <c r="AD20" s="252"/>
      <c r="AE20" s="19" t="s">
        <v>2</v>
      </c>
      <c r="AF20" s="255" t="s">
        <v>21</v>
      </c>
    </row>
    <row r="21" spans="2:33" x14ac:dyDescent="0.2">
      <c r="B21" s="17">
        <f t="shared" ca="1" si="4"/>
        <v>45992</v>
      </c>
      <c r="C21" s="9">
        <f t="shared" si="18"/>
        <v>17</v>
      </c>
      <c r="D21" s="9"/>
      <c r="E21" s="13">
        <f t="shared" si="5"/>
        <v>1071.564145455056</v>
      </c>
      <c r="F21" s="14">
        <f t="shared" si="19"/>
        <v>52637.094614185757</v>
      </c>
      <c r="G21" s="15">
        <f t="shared" si="6"/>
        <v>0.87539585524444796</v>
      </c>
      <c r="H21" s="13">
        <f t="shared" si="7"/>
        <v>797.80358677450374</v>
      </c>
      <c r="I21" s="13">
        <f t="shared" si="8"/>
        <v>10540.236384657628</v>
      </c>
      <c r="J21" s="15">
        <f t="shared" si="0"/>
        <v>0.12460414475555204</v>
      </c>
      <c r="K21" s="13">
        <f t="shared" si="9"/>
        <v>7492.3820092639071</v>
      </c>
      <c r="L21" s="13">
        <f t="shared" si="20"/>
        <v>61765.29489981995</v>
      </c>
      <c r="M21" s="15">
        <f t="shared" si="10"/>
        <v>0.12460414475555208</v>
      </c>
      <c r="N21" s="13">
        <f t="shared" si="1"/>
        <v>232.1646498490602</v>
      </c>
      <c r="O21" s="13">
        <f t="shared" si="11"/>
        <v>3047.8543753937265</v>
      </c>
      <c r="P21" s="15">
        <f t="shared" si="2"/>
        <v>4.8242847983709924E-2</v>
      </c>
      <c r="Q21" s="7">
        <f t="shared" si="12"/>
        <v>63177.33099884339</v>
      </c>
      <c r="R21" s="7">
        <f t="shared" si="13"/>
        <v>60129.476623449664</v>
      </c>
      <c r="S21" s="13">
        <f>IF('Calc (2)'!$AD$32="Sim",R21,Q21)</f>
        <v>60129.476623449664</v>
      </c>
      <c r="T21" s="9">
        <f t="shared" si="14"/>
        <v>17</v>
      </c>
      <c r="U21" s="17">
        <f t="shared" ca="1" si="15"/>
        <v>46023</v>
      </c>
      <c r="V21" s="124">
        <f t="shared" si="3"/>
        <v>1069004.4099086646</v>
      </c>
      <c r="W21" s="68">
        <v>17</v>
      </c>
      <c r="X21" s="125">
        <f t="shared" ca="1" si="16"/>
        <v>51714</v>
      </c>
      <c r="Y21" s="5">
        <f t="shared" si="17"/>
        <v>204</v>
      </c>
      <c r="Z21" s="5"/>
      <c r="AA21" s="117" t="s">
        <v>53</v>
      </c>
      <c r="AB21" s="70">
        <f ca="1">INDEX('Calc (2)'!$B$5:$B$997,MATCH(1000000,'Calc (2)'!$S$5:$S$997,1)+1,0)</f>
        <v>51533</v>
      </c>
      <c r="AC21" s="118" t="str">
        <f ca="1">"Aprox. "&amp; TEXT(AE21,"0") &amp; " anos ou " &amp; TEXT(AF21,"0") &amp; " meses"</f>
        <v>Aprox. 17 anos ou 198 meses</v>
      </c>
      <c r="AD21" s="96"/>
      <c r="AE21" s="253">
        <f ca="1">(AB21-Mês_Atual_2)/365.25</f>
        <v>16.503764544832308</v>
      </c>
      <c r="AF21" s="254">
        <f ca="1">(AB21-Mês_Atual_2)/365.25*12</f>
        <v>198.04517453798769</v>
      </c>
    </row>
    <row r="22" spans="2:33" x14ac:dyDescent="0.2">
      <c r="B22" s="17">
        <f t="shared" ca="1" si="4"/>
        <v>46023</v>
      </c>
      <c r="C22" s="9">
        <f t="shared" si="18"/>
        <v>18</v>
      </c>
      <c r="D22" s="9"/>
      <c r="E22" s="13">
        <f t="shared" si="5"/>
        <v>1075.9298304257593</v>
      </c>
      <c r="F22" s="14">
        <f t="shared" si="19"/>
        <v>53713.024444611518</v>
      </c>
      <c r="G22" s="15">
        <f t="shared" si="6"/>
        <v>0.86949643327010151</v>
      </c>
      <c r="H22" s="13">
        <f t="shared" si="7"/>
        <v>822.12976240176397</v>
      </c>
      <c r="I22" s="13">
        <f t="shared" si="8"/>
        <v>11362.366147059392</v>
      </c>
      <c r="J22" s="15">
        <f t="shared" si="0"/>
        <v>0.13050356672989849</v>
      </c>
      <c r="K22" s="13">
        <f t="shared" si="9"/>
        <v>8061.84016593259</v>
      </c>
      <c r="L22" s="13">
        <f t="shared" si="20"/>
        <v>69827.135065752547</v>
      </c>
      <c r="M22" s="15">
        <f t="shared" si="10"/>
        <v>0.13050356672989852</v>
      </c>
      <c r="N22" s="13">
        <f t="shared" si="1"/>
        <v>239.1396570833721</v>
      </c>
      <c r="O22" s="13">
        <f t="shared" si="11"/>
        <v>3300.5259811268043</v>
      </c>
      <c r="P22" s="15">
        <f t="shared" si="2"/>
        <v>5.0718496671601124E-2</v>
      </c>
      <c r="Q22" s="7">
        <f t="shared" si="12"/>
        <v>65075.390591670912</v>
      </c>
      <c r="R22" s="7">
        <f t="shared" si="13"/>
        <v>61774.864610544108</v>
      </c>
      <c r="S22" s="13">
        <f>IF('Calc (2)'!$AD$32="Sim",R22,Q22)</f>
        <v>61774.864610544108</v>
      </c>
      <c r="T22" s="9">
        <f t="shared" si="14"/>
        <v>18</v>
      </c>
      <c r="U22" s="17">
        <f t="shared" ca="1" si="15"/>
        <v>46054</v>
      </c>
      <c r="V22" s="124">
        <f t="shared" si="3"/>
        <v>1224656.0806663628</v>
      </c>
      <c r="W22" s="68">
        <v>18</v>
      </c>
      <c r="X22" s="125">
        <f t="shared" ca="1" si="16"/>
        <v>52079</v>
      </c>
      <c r="Y22" s="5">
        <f t="shared" si="17"/>
        <v>216</v>
      </c>
      <c r="Z22" s="5"/>
      <c r="AA22" s="119" t="s">
        <v>36</v>
      </c>
      <c r="AB22" s="72">
        <f ca="1">INDEX('Calc (2)'!$B$5:$B$997,MATCH(50%,'Calc (2)'!$G$5:$G$997,-1)+1,0)</f>
        <v>49157</v>
      </c>
      <c r="AC22" s="120" t="str">
        <f ca="1">"Aproximadamente "&amp; ROUND((AB22-Mês_Atual_2)/365.25,0) &amp; " anos"</f>
        <v>Aproximadamente 10 anos</v>
      </c>
      <c r="AD22" s="115"/>
      <c r="AE22" s="115"/>
      <c r="AF22" s="114"/>
    </row>
    <row r="23" spans="2:33" x14ac:dyDescent="0.2">
      <c r="B23" s="17">
        <f t="shared" ca="1" si="4"/>
        <v>46054</v>
      </c>
      <c r="C23" s="9">
        <f t="shared" si="18"/>
        <v>19</v>
      </c>
      <c r="D23" s="9"/>
      <c r="E23" s="13">
        <f t="shared" si="5"/>
        <v>1080.3133017374337</v>
      </c>
      <c r="F23" s="14">
        <f t="shared" si="19"/>
        <v>54793.337746348952</v>
      </c>
      <c r="G23" s="15">
        <f t="shared" si="6"/>
        <v>0.86370350192517564</v>
      </c>
      <c r="H23" s="13">
        <f t="shared" si="7"/>
        <v>846.82930664341995</v>
      </c>
      <c r="I23" s="13">
        <f t="shared" si="8"/>
        <v>12209.195453702812</v>
      </c>
      <c r="J23" s="15">
        <f t="shared" si="0"/>
        <v>0.13629649807482436</v>
      </c>
      <c r="K23" s="13">
        <f t="shared" si="9"/>
        <v>8646.6478785973814</v>
      </c>
      <c r="L23" s="13">
        <f t="shared" si="20"/>
        <v>78473.782944349921</v>
      </c>
      <c r="M23" s="15">
        <f t="shared" si="10"/>
        <v>0.13629649807482433</v>
      </c>
      <c r="N23" s="13">
        <f t="shared" si="1"/>
        <v>246.22153885663246</v>
      </c>
      <c r="O23" s="13">
        <f t="shared" si="11"/>
        <v>3562.5475751054328</v>
      </c>
      <c r="P23" s="15">
        <f t="shared" si="2"/>
        <v>5.3170341552141204E-2</v>
      </c>
      <c r="Q23" s="7">
        <f t="shared" si="12"/>
        <v>67002.533200051766</v>
      </c>
      <c r="R23" s="7">
        <f t="shared" si="13"/>
        <v>63439.985624946334</v>
      </c>
      <c r="S23" s="13">
        <f>IF('Calc (2)'!$AD$32="Sim",R23,Q23)</f>
        <v>63439.985624946334</v>
      </c>
      <c r="T23" s="9">
        <f t="shared" si="14"/>
        <v>19</v>
      </c>
      <c r="U23" s="17">
        <f t="shared" ca="1" si="15"/>
        <v>46082</v>
      </c>
      <c r="V23" s="124">
        <f t="shared" si="3"/>
        <v>1400103.3864052633</v>
      </c>
      <c r="W23" s="68">
        <v>19</v>
      </c>
      <c r="X23" s="125">
        <f t="shared" ca="1" si="16"/>
        <v>52444</v>
      </c>
      <c r="Y23" s="5">
        <f t="shared" si="17"/>
        <v>228</v>
      </c>
      <c r="Z23" s="5"/>
      <c r="AA23" s="91" t="s">
        <v>37</v>
      </c>
      <c r="AB23" s="23">
        <f ca="1">INDEX('Calc (2)'!$B$5:$B$997,MATCH('Calc (2)'!$AF$27,'Calc (2)'!$H$5:$H$997,1)+1,0)</f>
        <v>46235</v>
      </c>
      <c r="AC23" s="89" t="str">
        <f ca="1">"Aproximadamente "&amp; ROUND((AB23-'Calc (2)'!$B$5)/365.25,0) &amp; " anos"</f>
        <v>Aproximadamente 2 anos</v>
      </c>
      <c r="AD23" s="90"/>
      <c r="AE23" s="90"/>
      <c r="AF23" s="65"/>
    </row>
    <row r="24" spans="2:33" x14ac:dyDescent="0.2">
      <c r="B24" s="17">
        <f t="shared" ca="1" si="4"/>
        <v>46082</v>
      </c>
      <c r="C24" s="9">
        <f t="shared" si="18"/>
        <v>20</v>
      </c>
      <c r="D24" s="9"/>
      <c r="E24" s="13">
        <f t="shared" si="5"/>
        <v>1084.7146318538339</v>
      </c>
      <c r="F24" s="14">
        <f t="shared" si="19"/>
        <v>55878.052378202789</v>
      </c>
      <c r="G24" s="15">
        <f t="shared" si="6"/>
        <v>0.85801177661450134</v>
      </c>
      <c r="H24" s="13">
        <f t="shared" si="7"/>
        <v>871.90730961843451</v>
      </c>
      <c r="I24" s="13">
        <f t="shared" si="8"/>
        <v>13081.102763321247</v>
      </c>
      <c r="J24" s="15">
        <f t="shared" si="0"/>
        <v>0.14198822338549866</v>
      </c>
      <c r="K24" s="13">
        <f t="shared" si="9"/>
        <v>9246.9889104885297</v>
      </c>
      <c r="L24" s="13">
        <f t="shared" si="20"/>
        <v>87720.771854838444</v>
      </c>
      <c r="M24" s="15">
        <f t="shared" si="10"/>
        <v>0.14198822338549871</v>
      </c>
      <c r="N24" s="13">
        <f t="shared" si="1"/>
        <v>253.41175156025571</v>
      </c>
      <c r="O24" s="13">
        <f t="shared" si="11"/>
        <v>3834.1138528327065</v>
      </c>
      <c r="P24" s="15">
        <f t="shared" si="2"/>
        <v>5.5599779970679775E-2</v>
      </c>
      <c r="Q24" s="7">
        <f t="shared" si="12"/>
        <v>68959.155141524025</v>
      </c>
      <c r="R24" s="7">
        <f t="shared" si="13"/>
        <v>65125.041288691318</v>
      </c>
      <c r="S24" s="13">
        <f>IF('Calc (2)'!$AD$32="Sim",R24,Q24)</f>
        <v>65125.041288691318</v>
      </c>
      <c r="T24" s="9">
        <f t="shared" si="14"/>
        <v>20</v>
      </c>
      <c r="U24" s="17">
        <f t="shared" ca="1" si="15"/>
        <v>46113</v>
      </c>
      <c r="V24" s="124">
        <f t="shared" si="3"/>
        <v>1597748.1573787229</v>
      </c>
      <c r="W24" s="68">
        <v>20</v>
      </c>
      <c r="X24" s="125">
        <f t="shared" ca="1" si="16"/>
        <v>52810</v>
      </c>
      <c r="Y24" s="5">
        <f t="shared" si="17"/>
        <v>240</v>
      </c>
      <c r="Z24" s="5"/>
    </row>
    <row r="25" spans="2:33" x14ac:dyDescent="0.2">
      <c r="B25" s="17">
        <f t="shared" ca="1" si="4"/>
        <v>46113</v>
      </c>
      <c r="C25" s="9">
        <f t="shared" si="18"/>
        <v>21</v>
      </c>
      <c r="D25" s="9"/>
      <c r="E25" s="13">
        <f t="shared" si="5"/>
        <v>1089.1338935339411</v>
      </c>
      <c r="F25" s="14">
        <f t="shared" si="19"/>
        <v>56967.186271736733</v>
      </c>
      <c r="G25" s="15">
        <f t="shared" si="6"/>
        <v>0.85241636699526213</v>
      </c>
      <c r="H25" s="13">
        <f t="shared" si="7"/>
        <v>897.3689286267163</v>
      </c>
      <c r="I25" s="13">
        <f t="shared" si="8"/>
        <v>13978.471691947963</v>
      </c>
      <c r="J25" s="15">
        <f t="shared" si="0"/>
        <v>0.14758363300473787</v>
      </c>
      <c r="K25" s="13">
        <f t="shared" si="9"/>
        <v>9863.0489014147024</v>
      </c>
      <c r="L25" s="13">
        <f t="shared" si="20"/>
        <v>97583.820756253146</v>
      </c>
      <c r="M25" s="15">
        <f t="shared" si="10"/>
        <v>0.14758363300473781</v>
      </c>
      <c r="N25" s="13">
        <f t="shared" si="1"/>
        <v>260.71177080512604</v>
      </c>
      <c r="O25" s="13">
        <f t="shared" si="11"/>
        <v>4115.4227905332518</v>
      </c>
      <c r="P25" s="15">
        <f t="shared" si="2"/>
        <v>5.8008099560368218E-2</v>
      </c>
      <c r="Q25" s="7">
        <f t="shared" si="12"/>
        <v>70945.657963684687</v>
      </c>
      <c r="R25" s="7">
        <f t="shared" si="13"/>
        <v>66830.235173151435</v>
      </c>
      <c r="S25" s="13">
        <f>IF('Calc (2)'!$AD$32="Sim",R25,Q25)</f>
        <v>66830.235173151435</v>
      </c>
      <c r="T25" s="9">
        <f t="shared" si="14"/>
        <v>21</v>
      </c>
      <c r="U25" s="17">
        <f t="shared" ca="1" si="15"/>
        <v>46143</v>
      </c>
      <c r="V25" s="124">
        <f t="shared" si="3"/>
        <v>1820278.2915818621</v>
      </c>
      <c r="W25" s="68">
        <v>21</v>
      </c>
      <c r="X25" s="125">
        <f t="shared" ca="1" si="16"/>
        <v>53175</v>
      </c>
      <c r="Y25" s="5">
        <f t="shared" si="17"/>
        <v>252</v>
      </c>
      <c r="Z25" s="5"/>
      <c r="AA25" s="55" t="s">
        <v>48</v>
      </c>
    </row>
    <row r="26" spans="2:33" x14ac:dyDescent="0.2">
      <c r="B26" s="17">
        <f t="shared" ca="1" si="4"/>
        <v>46143</v>
      </c>
      <c r="C26" s="9">
        <f t="shared" si="18"/>
        <v>22</v>
      </c>
      <c r="D26" s="9"/>
      <c r="E26" s="13">
        <f t="shared" si="5"/>
        <v>1093.5711598331652</v>
      </c>
      <c r="F26" s="14">
        <f t="shared" si="19"/>
        <v>58060.757431569895</v>
      </c>
      <c r="G26" s="15">
        <f t="shared" si="6"/>
        <v>0.8469127404654142</v>
      </c>
      <c r="H26" s="13">
        <f t="shared" si="7"/>
        <v>923.21938902719251</v>
      </c>
      <c r="I26" s="13">
        <f t="shared" si="8"/>
        <v>14901.691080975155</v>
      </c>
      <c r="J26" s="15">
        <f t="shared" si="0"/>
        <v>0.1530872595345858</v>
      </c>
      <c r="K26" s="13">
        <f t="shared" si="9"/>
        <v>10495.015385902494</v>
      </c>
      <c r="L26" s="13">
        <f t="shared" si="20"/>
        <v>108078.83614215563</v>
      </c>
      <c r="M26" s="15">
        <f t="shared" si="10"/>
        <v>0.15308725953458574</v>
      </c>
      <c r="N26" s="13">
        <f t="shared" si="1"/>
        <v>268.12309167279028</v>
      </c>
      <c r="O26" s="13">
        <f t="shared" si="11"/>
        <v>4406.6756950726558</v>
      </c>
      <c r="P26" s="15">
        <f t="shared" si="2"/>
        <v>6.0396488672045855E-2</v>
      </c>
      <c r="Q26" s="7">
        <f t="shared" si="12"/>
        <v>72962.448512545045</v>
      </c>
      <c r="R26" s="7">
        <f t="shared" si="13"/>
        <v>68555.772817472389</v>
      </c>
      <c r="S26" s="13">
        <f>IF('Calc (2)'!$AD$32="Sim",R26,Q26)</f>
        <v>68555.772817472389</v>
      </c>
      <c r="T26" s="9">
        <f t="shared" si="14"/>
        <v>22</v>
      </c>
      <c r="U26" s="17">
        <f t="shared" ca="1" si="15"/>
        <v>46174</v>
      </c>
      <c r="V26" s="124">
        <f t="shared" si="3"/>
        <v>2070701.567460421</v>
      </c>
      <c r="W26" s="68">
        <v>22</v>
      </c>
      <c r="X26" s="125">
        <f t="shared" ca="1" si="16"/>
        <v>53540</v>
      </c>
      <c r="Y26" s="5">
        <f t="shared" si="17"/>
        <v>264</v>
      </c>
      <c r="Z26" s="5"/>
      <c r="AA26" s="92"/>
      <c r="AB26" s="93"/>
      <c r="AC26" s="94" t="s">
        <v>0</v>
      </c>
      <c r="AD26" s="95">
        <f>'Nova Simulação'!L4</f>
        <v>35000</v>
      </c>
      <c r="AE26" s="96"/>
      <c r="AF26" s="96"/>
      <c r="AG26" s="97"/>
    </row>
    <row r="27" spans="2:33" x14ac:dyDescent="0.2">
      <c r="B27" s="17">
        <f t="shared" ca="1" si="4"/>
        <v>46174</v>
      </c>
      <c r="C27" s="9">
        <f t="shared" si="18"/>
        <v>23</v>
      </c>
      <c r="D27" s="9"/>
      <c r="E27" s="13">
        <f t="shared" si="5"/>
        <v>1098.0265041045534</v>
      </c>
      <c r="F27" s="14">
        <f t="shared" si="19"/>
        <v>59158.783935674452</v>
      </c>
      <c r="G27" s="15">
        <f t="shared" si="6"/>
        <v>0.84149668963846302</v>
      </c>
      <c r="H27" s="13">
        <f t="shared" si="7"/>
        <v>949.46398512731969</v>
      </c>
      <c r="I27" s="13">
        <f t="shared" si="8"/>
        <v>15851.155066102476</v>
      </c>
      <c r="J27" s="15">
        <f t="shared" si="0"/>
        <v>0.15850331036153698</v>
      </c>
      <c r="K27" s="13">
        <f t="shared" si="9"/>
        <v>11143.077811507435</v>
      </c>
      <c r="L27" s="13">
        <f t="shared" si="20"/>
        <v>119221.91395366307</v>
      </c>
      <c r="M27" s="15">
        <f t="shared" si="10"/>
        <v>0.15850331036153698</v>
      </c>
      <c r="N27" s="13">
        <f t="shared" si="1"/>
        <v>275.64722896992464</v>
      </c>
      <c r="O27" s="13">
        <f t="shared" si="11"/>
        <v>4708.0772545950313</v>
      </c>
      <c r="P27" s="15">
        <f t="shared" si="2"/>
        <v>6.2766045636745565E-2</v>
      </c>
      <c r="Q27" s="7">
        <f t="shared" si="12"/>
        <v>75009.939001776918</v>
      </c>
      <c r="R27" s="7">
        <f t="shared" si="13"/>
        <v>70301.861747181887</v>
      </c>
      <c r="S27" s="13">
        <f>IF('Calc (2)'!$AD$32="Sim",R27,Q27)</f>
        <v>70301.861747181887</v>
      </c>
      <c r="T27" s="9">
        <f t="shared" si="14"/>
        <v>23</v>
      </c>
      <c r="U27" s="17">
        <f t="shared" ca="1" si="15"/>
        <v>46204</v>
      </c>
      <c r="V27" s="124">
        <f t="shared" si="3"/>
        <v>2352383.4404366682</v>
      </c>
      <c r="W27" s="68">
        <v>23</v>
      </c>
      <c r="X27" s="125">
        <f t="shared" ca="1" si="16"/>
        <v>53905</v>
      </c>
      <c r="Y27" s="5">
        <f t="shared" si="17"/>
        <v>276</v>
      </c>
      <c r="Z27" s="5"/>
      <c r="AA27" s="98"/>
      <c r="AB27" s="99"/>
      <c r="AC27" s="100" t="s">
        <v>33</v>
      </c>
      <c r="AD27" s="101">
        <f>'Nova Simulação'!L7</f>
        <v>1000</v>
      </c>
      <c r="AE27" s="102" t="str">
        <f>'Nova Simulação'!N7</f>
        <v>Mensal</v>
      </c>
      <c r="AF27" s="103">
        <f>IF(AG27,AD27/12,AD27)</f>
        <v>1000</v>
      </c>
      <c r="AG27" s="104" t="b">
        <f>IF(AE27="anual",TRUE,FALSE)</f>
        <v>0</v>
      </c>
    </row>
    <row r="28" spans="2:33" x14ac:dyDescent="0.2">
      <c r="B28" s="17">
        <f t="shared" ca="1" si="4"/>
        <v>46204</v>
      </c>
      <c r="C28" s="9">
        <f t="shared" si="18"/>
        <v>24</v>
      </c>
      <c r="D28" s="9">
        <v>2</v>
      </c>
      <c r="E28" s="13">
        <f t="shared" si="5"/>
        <v>1102.500000000002</v>
      </c>
      <c r="F28" s="14">
        <f t="shared" si="19"/>
        <v>60261.283935674452</v>
      </c>
      <c r="G28" s="15">
        <f t="shared" si="6"/>
        <v>0.83616430330588665</v>
      </c>
      <c r="H28" s="13">
        <f t="shared" si="7"/>
        <v>976.10808108418894</v>
      </c>
      <c r="I28" s="13">
        <f t="shared" si="8"/>
        <v>16827.263147186666</v>
      </c>
      <c r="J28" s="15">
        <f t="shared" si="0"/>
        <v>0.16383569669411335</v>
      </c>
      <c r="K28" s="13">
        <f t="shared" si="9"/>
        <v>11807.42755729823</v>
      </c>
      <c r="L28" s="13">
        <f t="shared" si="20"/>
        <v>131029.3415109613</v>
      </c>
      <c r="M28" s="15">
        <f t="shared" si="10"/>
        <v>0.1638356966941133</v>
      </c>
      <c r="N28" s="13">
        <f t="shared" si="1"/>
        <v>283.28571748611682</v>
      </c>
      <c r="O28" s="13">
        <f t="shared" si="11"/>
        <v>5019.8355898884329</v>
      </c>
      <c r="P28" s="15">
        <f t="shared" si="2"/>
        <v>6.5117787010471231E-2</v>
      </c>
      <c r="Q28" s="7">
        <f t="shared" si="12"/>
        <v>77088.547082861114</v>
      </c>
      <c r="R28" s="7">
        <f t="shared" si="13"/>
        <v>72068.711492972681</v>
      </c>
      <c r="S28" s="13">
        <f>IF('Calc (2)'!$AD$32="Sim",R28,Q28)</f>
        <v>72068.711492972681</v>
      </c>
      <c r="T28" s="9">
        <f t="shared" si="14"/>
        <v>24</v>
      </c>
      <c r="U28" s="17">
        <f t="shared" ca="1" si="15"/>
        <v>46235</v>
      </c>
      <c r="V28" s="124">
        <f t="shared" si="3"/>
        <v>2669089.2919903551</v>
      </c>
      <c r="W28" s="68">
        <v>24</v>
      </c>
      <c r="X28" s="125">
        <f t="shared" ca="1" si="16"/>
        <v>54271</v>
      </c>
      <c r="Y28" s="5">
        <f t="shared" si="17"/>
        <v>288</v>
      </c>
      <c r="Z28" s="5"/>
      <c r="AA28" s="98"/>
      <c r="AB28" s="99"/>
      <c r="AC28" s="100" t="s">
        <v>12</v>
      </c>
      <c r="AD28" s="105">
        <f>'Nova Simulação'!L10</f>
        <v>0.2</v>
      </c>
      <c r="AE28" s="102" t="str">
        <f>'Nova Simulação'!N10</f>
        <v>Anual</v>
      </c>
      <c r="AF28" s="106">
        <f>IF(AF36,IF(AG28,(1+AD28)^(1/12)-1,AD28)*(1-AE36),IF(AG28,(1+AD28)^(1/12)-1,AD28))</f>
        <v>1.3013049924771513E-2</v>
      </c>
      <c r="AG28" s="104" t="b">
        <f>IF(AE28="anual",TRUE,FALSE)</f>
        <v>1</v>
      </c>
    </row>
    <row r="29" spans="2:33" x14ac:dyDescent="0.2">
      <c r="B29" s="17">
        <f t="shared" ca="1" si="4"/>
        <v>46235</v>
      </c>
      <c r="C29" s="9">
        <f t="shared" si="18"/>
        <v>25</v>
      </c>
      <c r="D29" s="9"/>
      <c r="E29" s="13">
        <f t="shared" si="5"/>
        <v>1106.9917214714744</v>
      </c>
      <c r="F29" s="14">
        <f t="shared" si="19"/>
        <v>61368.275657145925</v>
      </c>
      <c r="G29" s="15">
        <f t="shared" si="6"/>
        <v>0.83091194045854921</v>
      </c>
      <c r="H29" s="13">
        <f t="shared" si="7"/>
        <v>1003.1571118173711</v>
      </c>
      <c r="I29" s="13">
        <f t="shared" si="8"/>
        <v>17830.420259004037</v>
      </c>
      <c r="J29" s="15">
        <f t="shared" si="0"/>
        <v>0.16908805954145079</v>
      </c>
      <c r="K29" s="13">
        <f t="shared" si="9"/>
        <v>12488.257952515611</v>
      </c>
      <c r="L29" s="13">
        <f t="shared" si="20"/>
        <v>143517.59946347692</v>
      </c>
      <c r="M29" s="15">
        <f t="shared" si="10"/>
        <v>0.16908805954145079</v>
      </c>
      <c r="N29" s="13">
        <f t="shared" si="1"/>
        <v>291.04011225500756</v>
      </c>
      <c r="O29" s="13">
        <f t="shared" si="11"/>
        <v>5342.1623064884334</v>
      </c>
      <c r="P29" s="15">
        <f t="shared" si="2"/>
        <v>6.7452654929373343E-2</v>
      </c>
      <c r="Q29" s="7">
        <f t="shared" si="12"/>
        <v>79198.695916149969</v>
      </c>
      <c r="R29" s="7">
        <f t="shared" si="13"/>
        <v>73856.533609661536</v>
      </c>
      <c r="S29" s="13">
        <f>IF('Calc (2)'!$AD$32="Sim",R29,Q29)</f>
        <v>73856.533609661536</v>
      </c>
      <c r="T29" s="9">
        <f t="shared" si="14"/>
        <v>25</v>
      </c>
      <c r="U29" s="17">
        <f t="shared" ca="1" si="15"/>
        <v>46266</v>
      </c>
      <c r="V29" s="124">
        <f t="shared" si="3"/>
        <v>3025031.6551529462</v>
      </c>
      <c r="W29" s="68">
        <v>25</v>
      </c>
      <c r="X29" s="125">
        <f t="shared" ca="1" si="16"/>
        <v>54636</v>
      </c>
      <c r="Y29" s="5">
        <f t="shared" si="17"/>
        <v>300</v>
      </c>
      <c r="Z29" s="5"/>
      <c r="AA29" s="98"/>
      <c r="AB29" s="99"/>
      <c r="AC29" s="100" t="s">
        <v>13</v>
      </c>
      <c r="AD29" s="107">
        <f>'Nova Simulação'!L13</f>
        <v>20</v>
      </c>
      <c r="AE29" s="102" t="str">
        <f>'Nova Simulação'!N13</f>
        <v>Anos</v>
      </c>
      <c r="AF29" s="108">
        <f>IF(AG29,AD29,AD29/12)</f>
        <v>20</v>
      </c>
      <c r="AG29" s="104" t="b">
        <f>IF(AE29="anos",TRUE,FALSE)</f>
        <v>1</v>
      </c>
    </row>
    <row r="30" spans="2:33" x14ac:dyDescent="0.2">
      <c r="B30" s="17">
        <f t="shared" ca="1" si="4"/>
        <v>46266</v>
      </c>
      <c r="C30" s="9">
        <f t="shared" si="18"/>
        <v>26</v>
      </c>
      <c r="D30" s="9"/>
      <c r="E30" s="13">
        <f t="shared" si="5"/>
        <v>1111.5017427722232</v>
      </c>
      <c r="F30" s="14">
        <f t="shared" si="19"/>
        <v>62479.777399918152</v>
      </c>
      <c r="G30" s="15">
        <f t="shared" si="6"/>
        <v>0.82573620699761308</v>
      </c>
      <c r="H30" s="13">
        <f t="shared" si="7"/>
        <v>1030.6165839336572</v>
      </c>
      <c r="I30" s="13">
        <f t="shared" si="8"/>
        <v>18861.036842937694</v>
      </c>
      <c r="J30" s="15">
        <f t="shared" si="0"/>
        <v>0.17426379300238692</v>
      </c>
      <c r="K30" s="13">
        <f t="shared" si="9"/>
        <v>13185.764295407746</v>
      </c>
      <c r="L30" s="13">
        <f t="shared" si="20"/>
        <v>156703.36375888466</v>
      </c>
      <c r="M30" s="15">
        <f t="shared" si="10"/>
        <v>0.17426379300238687</v>
      </c>
      <c r="N30" s="13">
        <f t="shared" si="1"/>
        <v>298.9119888188344</v>
      </c>
      <c r="O30" s="13">
        <f t="shared" si="11"/>
        <v>5675.2725475299521</v>
      </c>
      <c r="P30" s="15">
        <f t="shared" si="2"/>
        <v>6.9771523685336234E-2</v>
      </c>
      <c r="Q30" s="7">
        <f t="shared" si="12"/>
        <v>81340.814242855849</v>
      </c>
      <c r="R30" s="7">
        <f t="shared" si="13"/>
        <v>75665.541695325897</v>
      </c>
      <c r="S30" s="13">
        <f>IF('Calc (2)'!$AD$32="Sim",R30,Q30)</f>
        <v>75665.541695325897</v>
      </c>
      <c r="T30" s="9">
        <f t="shared" si="14"/>
        <v>26</v>
      </c>
      <c r="U30" s="17">
        <f t="shared" ca="1" si="15"/>
        <v>46296</v>
      </c>
      <c r="V30" s="124">
        <f t="shared" si="3"/>
        <v>3424923.0018737679</v>
      </c>
      <c r="W30" s="68">
        <v>26</v>
      </c>
      <c r="X30" s="125">
        <f t="shared" ca="1" si="16"/>
        <v>55001</v>
      </c>
      <c r="Y30" s="5">
        <f t="shared" si="17"/>
        <v>312</v>
      </c>
      <c r="Z30" s="5"/>
      <c r="AA30" s="66"/>
      <c r="AB30" s="88"/>
      <c r="AC30" s="86" t="s">
        <v>1</v>
      </c>
      <c r="AD30" s="61">
        <f>'Nova Simulação'!L16</f>
        <v>4.4999999999999998E-2</v>
      </c>
      <c r="AE30" s="62" t="str">
        <f>'Nova Simulação'!N16</f>
        <v>Anual</v>
      </c>
      <c r="AF30" s="63">
        <f>(1+AD30)^(1/12)-1</f>
        <v>3.6748094004368514E-3</v>
      </c>
      <c r="AG30" s="64" t="b">
        <f>IF(AE30="anual",TRUE,FALSE)</f>
        <v>1</v>
      </c>
    </row>
    <row r="31" spans="2:33" x14ac:dyDescent="0.2">
      <c r="B31" s="17">
        <f t="shared" ca="1" si="4"/>
        <v>46296</v>
      </c>
      <c r="C31" s="9">
        <f t="shared" si="18"/>
        <v>27</v>
      </c>
      <c r="D31" s="9"/>
      <c r="E31" s="13">
        <f t="shared" si="5"/>
        <v>1116.0301384580182</v>
      </c>
      <c r="F31" s="14">
        <f t="shared" si="19"/>
        <v>63595.807538376168</v>
      </c>
      <c r="G31" s="15">
        <f t="shared" si="6"/>
        <v>0.82063393481560842</v>
      </c>
      <c r="H31" s="13">
        <f t="shared" si="7"/>
        <v>1058.492076663849</v>
      </c>
      <c r="I31" s="13">
        <f t="shared" si="8"/>
        <v>19919.528919601544</v>
      </c>
      <c r="J31" s="15">
        <f t="shared" si="0"/>
        <v>0.17936606518439158</v>
      </c>
      <c r="K31" s="13">
        <f t="shared" si="9"/>
        <v>13900.14387224368</v>
      </c>
      <c r="L31" s="13">
        <f t="shared" si="20"/>
        <v>170603.50763112833</v>
      </c>
      <c r="M31" s="15">
        <f t="shared" si="10"/>
        <v>0.17936606518439155</v>
      </c>
      <c r="N31" s="13">
        <f t="shared" si="1"/>
        <v>306.90294349642306</v>
      </c>
      <c r="O31" s="13">
        <f t="shared" si="11"/>
        <v>6019.3850473578786</v>
      </c>
      <c r="P31" s="15">
        <f t="shared" si="2"/>
        <v>7.2075205616714988E-2</v>
      </c>
      <c r="Q31" s="7">
        <f t="shared" si="12"/>
        <v>83515.336457977726</v>
      </c>
      <c r="R31" s="7">
        <f t="shared" si="13"/>
        <v>77495.951410619848</v>
      </c>
      <c r="S31" s="13">
        <f>IF('Calc (2)'!$AD$32="Sim",R31,Q31)</f>
        <v>77495.951410619848</v>
      </c>
      <c r="T31" s="9">
        <f t="shared" si="14"/>
        <v>27</v>
      </c>
      <c r="U31" s="17">
        <f t="shared" ca="1" si="15"/>
        <v>46327</v>
      </c>
      <c r="V31" s="124">
        <f t="shared" si="3"/>
        <v>3874034.7465590518</v>
      </c>
      <c r="W31" s="68">
        <v>27</v>
      </c>
      <c r="X31" s="125">
        <f t="shared" ca="1" si="16"/>
        <v>55366</v>
      </c>
      <c r="Y31" s="5">
        <f t="shared" si="17"/>
        <v>324</v>
      </c>
      <c r="Z31" s="5"/>
      <c r="AA31" s="92"/>
      <c r="AB31" s="93"/>
      <c r="AC31" s="94" t="s">
        <v>22</v>
      </c>
      <c r="AD31" s="109" t="str">
        <f>'Nova Simulação'!L21</f>
        <v>Este mês</v>
      </c>
      <c r="AE31" s="110">
        <f>IF(AD31=AF31,0,1)</f>
        <v>0</v>
      </c>
      <c r="AF31" s="250" t="s">
        <v>143</v>
      </c>
      <c r="AG31" s="97"/>
    </row>
    <row r="32" spans="2:33" x14ac:dyDescent="0.2">
      <c r="B32" s="17">
        <f t="shared" ca="1" si="4"/>
        <v>46327</v>
      </c>
      <c r="C32" s="9">
        <f t="shared" si="18"/>
        <v>28</v>
      </c>
      <c r="D32" s="9"/>
      <c r="E32" s="13">
        <f t="shared" si="5"/>
        <v>1120.5769833883783</v>
      </c>
      <c r="F32" s="14">
        <f t="shared" si="19"/>
        <v>64716.384521764543</v>
      </c>
      <c r="G32" s="15">
        <f t="shared" si="6"/>
        <v>0.81560216297092469</v>
      </c>
      <c r="H32" s="13">
        <f t="shared" si="7"/>
        <v>1086.7892428117548</v>
      </c>
      <c r="I32" s="13">
        <f t="shared" si="8"/>
        <v>21006.318162413299</v>
      </c>
      <c r="J32" s="15">
        <f t="shared" si="0"/>
        <v>0.18439783702907531</v>
      </c>
      <c r="K32" s="13">
        <f t="shared" si="9"/>
        <v>14631.595976506418</v>
      </c>
      <c r="L32" s="13">
        <f t="shared" si="20"/>
        <v>185235.10360763475</v>
      </c>
      <c r="M32" s="15">
        <f t="shared" si="10"/>
        <v>0.18439783702907536</v>
      </c>
      <c r="N32" s="13">
        <f t="shared" si="1"/>
        <v>315.01459365467008</v>
      </c>
      <c r="O32" s="13">
        <f t="shared" si="11"/>
        <v>6374.7221859068959</v>
      </c>
      <c r="P32" s="15">
        <f t="shared" si="2"/>
        <v>7.4364456396024264E-2</v>
      </c>
      <c r="Q32" s="7">
        <f t="shared" si="12"/>
        <v>85722.702684177857</v>
      </c>
      <c r="R32" s="7">
        <f t="shared" si="13"/>
        <v>79347.980498270961</v>
      </c>
      <c r="S32" s="13">
        <f>IF('Calc (2)'!$AD$32="Sim",R32,Q32)</f>
        <v>79347.980498270961</v>
      </c>
      <c r="T32" s="9">
        <f t="shared" si="14"/>
        <v>28</v>
      </c>
      <c r="U32" s="17">
        <f t="shared" ca="1" si="15"/>
        <v>46357</v>
      </c>
      <c r="V32" s="124">
        <f t="shared" si="3"/>
        <v>4378263.1970203705</v>
      </c>
      <c r="W32" s="68">
        <v>28</v>
      </c>
      <c r="X32" s="125">
        <f t="shared" ca="1" si="16"/>
        <v>55732</v>
      </c>
      <c r="Y32" s="5">
        <f t="shared" si="17"/>
        <v>336</v>
      </c>
      <c r="Z32" s="5"/>
      <c r="AA32" s="98"/>
      <c r="AB32" s="99"/>
      <c r="AC32" s="100" t="s">
        <v>18</v>
      </c>
      <c r="AD32" s="111" t="str">
        <f>'Nova Simulação'!L24</f>
        <v>Sim</v>
      </c>
      <c r="AE32" s="112" t="b">
        <f>IF(AD32="sim",TRUE,FALSE)</f>
        <v>1</v>
      </c>
      <c r="AF32" s="113"/>
      <c r="AG32" s="114"/>
    </row>
    <row r="33" spans="2:33" x14ac:dyDescent="0.2">
      <c r="B33" s="17">
        <f t="shared" ca="1" si="4"/>
        <v>46357</v>
      </c>
      <c r="C33" s="9">
        <f t="shared" si="18"/>
        <v>29</v>
      </c>
      <c r="D33" s="9"/>
      <c r="E33" s="13">
        <f t="shared" si="5"/>
        <v>1125.1423527278098</v>
      </c>
      <c r="F33" s="14">
        <f t="shared" si="19"/>
        <v>65841.526874492352</v>
      </c>
      <c r="G33" s="15">
        <f t="shared" si="6"/>
        <v>0.8106381207153105</v>
      </c>
      <c r="H33" s="13">
        <f t="shared" si="7"/>
        <v>1115.5138097155514</v>
      </c>
      <c r="I33" s="13">
        <f t="shared" si="8"/>
        <v>22121.83197212885</v>
      </c>
      <c r="J33" s="15">
        <f t="shared" si="0"/>
        <v>0.1893618792846895</v>
      </c>
      <c r="K33" s="13">
        <f t="shared" si="9"/>
        <v>15380.321928267513</v>
      </c>
      <c r="L33" s="13">
        <f t="shared" si="20"/>
        <v>200615.42553590226</v>
      </c>
      <c r="M33" s="15">
        <f t="shared" si="10"/>
        <v>0.18936187928468945</v>
      </c>
      <c r="N33" s="13">
        <f t="shared" si="1"/>
        <v>323.24857798356373</v>
      </c>
      <c r="O33" s="13">
        <f t="shared" si="11"/>
        <v>6741.510043861359</v>
      </c>
      <c r="P33" s="15">
        <f t="shared" si="2"/>
        <v>7.6639979785404794E-2</v>
      </c>
      <c r="Q33" s="7">
        <f t="shared" si="12"/>
        <v>87963.358846621224</v>
      </c>
      <c r="R33" s="7">
        <f t="shared" si="13"/>
        <v>81221.848802759865</v>
      </c>
      <c r="S33" s="13">
        <f>IF('Calc (2)'!$AD$32="Sim",R33,Q33)</f>
        <v>81221.848802759865</v>
      </c>
      <c r="T33" s="9">
        <f t="shared" si="14"/>
        <v>29</v>
      </c>
      <c r="U33" s="17">
        <f t="shared" ca="1" si="15"/>
        <v>46388</v>
      </c>
      <c r="V33" s="124">
        <f t="shared" si="3"/>
        <v>4944203.2700491045</v>
      </c>
      <c r="W33" s="68">
        <v>29</v>
      </c>
      <c r="X33" s="125">
        <f t="shared" ca="1" si="16"/>
        <v>56097</v>
      </c>
      <c r="Y33" s="5">
        <f t="shared" si="17"/>
        <v>348</v>
      </c>
      <c r="Z33" s="5"/>
      <c r="AA33" s="98"/>
      <c r="AB33" s="99"/>
      <c r="AC33" s="100" t="s">
        <v>17</v>
      </c>
      <c r="AD33" s="111" t="str">
        <f>'Nova Simulação'!L27</f>
        <v>Não</v>
      </c>
      <c r="AE33" s="112" t="b">
        <f>IF(AD33="sim",TRUE,FALSE)</f>
        <v>0</v>
      </c>
      <c r="AF33" s="115"/>
      <c r="AG33" s="114"/>
    </row>
    <row r="34" spans="2:33" x14ac:dyDescent="0.2">
      <c r="B34" s="17">
        <f t="shared" ca="1" si="4"/>
        <v>46388</v>
      </c>
      <c r="C34" s="9">
        <f t="shared" si="18"/>
        <v>30</v>
      </c>
      <c r="D34" s="9"/>
      <c r="E34" s="13">
        <f t="shared" si="5"/>
        <v>1129.7263219470483</v>
      </c>
      <c r="F34" s="14">
        <f t="shared" si="19"/>
        <v>66971.2531964394</v>
      </c>
      <c r="G34" s="15">
        <f t="shared" si="6"/>
        <v>0.80573921216501576</v>
      </c>
      <c r="H34" s="13">
        <f t="shared" si="7"/>
        <v>1144.671580221674</v>
      </c>
      <c r="I34" s="13">
        <f t="shared" si="8"/>
        <v>23266.503552350525</v>
      </c>
      <c r="J34" s="15">
        <f>1-G34</f>
        <v>0.19426078783498424</v>
      </c>
      <c r="K34" s="13">
        <f t="shared" si="9"/>
        <v>16146.525093744713</v>
      </c>
      <c r="L34" s="13">
        <f t="shared" si="20"/>
        <v>216761.95062964698</v>
      </c>
      <c r="M34" s="15">
        <f t="shared" si="10"/>
        <v>0.19426078783498421</v>
      </c>
      <c r="N34" s="13">
        <f t="shared" si="1"/>
        <v>331.60655677478724</v>
      </c>
      <c r="O34" s="13">
        <f t="shared" si="11"/>
        <v>7119.9784586058377</v>
      </c>
      <c r="P34" s="15">
        <f t="shared" si="2"/>
        <v>7.8902431921339999E-2</v>
      </c>
      <c r="Q34" s="7">
        <f t="shared" si="12"/>
        <v>90237.756748789951</v>
      </c>
      <c r="R34" s="7">
        <f t="shared" si="13"/>
        <v>83117.778290184113</v>
      </c>
      <c r="S34" s="13">
        <f>IF('Calc (2)'!$AD$32="Sim",R34,Q34)</f>
        <v>83117.778290184113</v>
      </c>
      <c r="T34" s="9">
        <f t="shared" si="14"/>
        <v>30</v>
      </c>
      <c r="U34" s="17">
        <f t="shared" ca="1" si="15"/>
        <v>46419</v>
      </c>
      <c r="V34" s="124">
        <f t="shared" si="3"/>
        <v>5579230.8849214641</v>
      </c>
      <c r="W34" s="68">
        <v>30</v>
      </c>
      <c r="X34" s="125">
        <f t="shared" ca="1" si="16"/>
        <v>56462</v>
      </c>
      <c r="Y34" s="5">
        <f t="shared" si="17"/>
        <v>360</v>
      </c>
      <c r="Z34" s="5"/>
      <c r="AA34" s="98"/>
      <c r="AB34" s="99"/>
      <c r="AC34" s="100" t="s">
        <v>124</v>
      </c>
      <c r="AD34" s="111" t="str">
        <f>'Nova Simulação'!L30</f>
        <v>Sim</v>
      </c>
      <c r="AE34" s="112" t="b">
        <f>IF(AD34="sim",TRUE,FALSE)</f>
        <v>1</v>
      </c>
      <c r="AF34" s="115"/>
      <c r="AG34" s="114"/>
    </row>
    <row r="35" spans="2:33" x14ac:dyDescent="0.2">
      <c r="B35" s="17">
        <f t="shared" ca="1" si="4"/>
        <v>46419</v>
      </c>
      <c r="C35" s="9">
        <f t="shared" si="18"/>
        <v>31</v>
      </c>
      <c r="D35" s="9"/>
      <c r="E35" s="13">
        <f t="shared" si="5"/>
        <v>1134.3289668243062</v>
      </c>
      <c r="F35" s="14">
        <f t="shared" si="19"/>
        <v>68105.582163263709</v>
      </c>
      <c r="G35" s="15">
        <f t="shared" si="6"/>
        <v>0.80090300243281065</v>
      </c>
      <c r="H35" s="13">
        <f t="shared" si="7"/>
        <v>1174.2684336713912</v>
      </c>
      <c r="I35" s="13">
        <f t="shared" si="8"/>
        <v>24440.771986021915</v>
      </c>
      <c r="J35" s="15">
        <f t="shared" si="0"/>
        <v>0.19909699756718935</v>
      </c>
      <c r="K35" s="13">
        <f t="shared" si="9"/>
        <v>16930.410905044482</v>
      </c>
      <c r="L35" s="13">
        <f t="shared" si="20"/>
        <v>233692.36153469147</v>
      </c>
      <c r="M35" s="15">
        <f t="shared" si="10"/>
        <v>0.19909699756718929</v>
      </c>
      <c r="N35" s="13">
        <f t="shared" si="1"/>
        <v>340.09021220395289</v>
      </c>
      <c r="O35" s="13">
        <f t="shared" si="11"/>
        <v>7510.3610809774545</v>
      </c>
      <c r="P35" s="15">
        <f t="shared" si="2"/>
        <v>8.1152425182115351E-2</v>
      </c>
      <c r="Q35" s="7">
        <f t="shared" si="12"/>
        <v>92546.354149285646</v>
      </c>
      <c r="R35" s="7">
        <f t="shared" si="13"/>
        <v>85035.993068308191</v>
      </c>
      <c r="S35" s="13">
        <f>IF('Calc (2)'!$AD$32="Sim",R35,Q35)</f>
        <v>85035.993068308191</v>
      </c>
      <c r="T35" s="9">
        <f t="shared" si="14"/>
        <v>31</v>
      </c>
      <c r="U35" s="17">
        <f t="shared" ca="1" si="15"/>
        <v>46447</v>
      </c>
      <c r="V35" s="124">
        <f t="shared" si="3"/>
        <v>6291595.0555224111</v>
      </c>
      <c r="W35" s="68">
        <v>31</v>
      </c>
      <c r="X35" s="125">
        <f t="shared" ca="1" si="16"/>
        <v>56827</v>
      </c>
      <c r="Y35" s="5">
        <f t="shared" si="17"/>
        <v>372</v>
      </c>
      <c r="AA35" s="98"/>
      <c r="AB35" s="99"/>
      <c r="AC35" s="100" t="s">
        <v>14</v>
      </c>
      <c r="AD35" s="105">
        <f>'Nova Simulação'!N30</f>
        <v>0.05</v>
      </c>
      <c r="AE35" s="116" t="s">
        <v>19</v>
      </c>
      <c r="AF35" s="106">
        <f>(1+AD35)^(1/12)-1</f>
        <v>4.0741237836483535E-3</v>
      </c>
      <c r="AG35" s="104" t="b">
        <f>IF(AE35="anual",TRUE,FALSE)</f>
        <v>1</v>
      </c>
    </row>
    <row r="36" spans="2:33" x14ac:dyDescent="0.2">
      <c r="B36" s="17">
        <f t="shared" ca="1" si="4"/>
        <v>46447</v>
      </c>
      <c r="C36" s="9">
        <f t="shared" si="18"/>
        <v>32</v>
      </c>
      <c r="D36" s="9"/>
      <c r="E36" s="13">
        <f t="shared" si="5"/>
        <v>1138.9503634465264</v>
      </c>
      <c r="F36" s="14">
        <f t="shared" si="19"/>
        <v>69244.532526710231</v>
      </c>
      <c r="G36" s="15">
        <f t="shared" si="6"/>
        <v>0.79612720506098522</v>
      </c>
      <c r="H36" s="13">
        <f t="shared" si="7"/>
        <v>1204.3103269002395</v>
      </c>
      <c r="I36" s="13">
        <f t="shared" si="8"/>
        <v>25645.082312922154</v>
      </c>
      <c r="J36" s="15">
        <f t="shared" si="0"/>
        <v>0.20387279493901478</v>
      </c>
      <c r="K36" s="13">
        <f t="shared" si="9"/>
        <v>17732.186880091016</v>
      </c>
      <c r="L36" s="13">
        <f t="shared" si="20"/>
        <v>251424.5484147825</v>
      </c>
      <c r="M36" s="15">
        <f t="shared" si="10"/>
        <v>0.20387279493901475</v>
      </c>
      <c r="N36" s="13">
        <f t="shared" si="1"/>
        <v>348.70124861651334</v>
      </c>
      <c r="O36" s="13">
        <f t="shared" si="11"/>
        <v>7912.8954328311665</v>
      </c>
      <c r="P36" s="15">
        <f t="shared" si="2"/>
        <v>8.3390531684677027E-2</v>
      </c>
      <c r="Q36" s="7">
        <f t="shared" si="12"/>
        <v>94889.614839632413</v>
      </c>
      <c r="R36" s="7">
        <f t="shared" si="13"/>
        <v>86976.719406801247</v>
      </c>
      <c r="S36" s="13">
        <f>IF('Calc (2)'!$AD$32="Sim",R36,Q36)</f>
        <v>86976.719406801247</v>
      </c>
      <c r="T36" s="9">
        <f t="shared" si="14"/>
        <v>32</v>
      </c>
      <c r="U36" s="17">
        <f t="shared" ca="1" si="15"/>
        <v>46478</v>
      </c>
      <c r="V36" s="124">
        <f t="shared" si="3"/>
        <v>7090520.8217844982</v>
      </c>
      <c r="W36" s="68">
        <v>32</v>
      </c>
      <c r="X36" s="125">
        <f t="shared" ca="1" si="16"/>
        <v>57193</v>
      </c>
      <c r="Y36" s="5">
        <f t="shared" si="17"/>
        <v>384</v>
      </c>
      <c r="AA36" s="66"/>
      <c r="AB36" s="88"/>
      <c r="AC36" s="86" t="s">
        <v>26</v>
      </c>
      <c r="AD36" s="58" t="str">
        <f>'Nova Simulação'!L33</f>
        <v>Sim</v>
      </c>
      <c r="AE36" s="59">
        <f>'Nova Simulação'!N33</f>
        <v>0.15</v>
      </c>
      <c r="AF36" s="60" t="b">
        <f>IF(AD36="sim",TRUE,FALSE)</f>
        <v>1</v>
      </c>
      <c r="AG36" s="65"/>
    </row>
    <row r="37" spans="2:33" x14ac:dyDescent="0.2">
      <c r="B37" s="17">
        <f t="shared" ca="1" si="4"/>
        <v>46478</v>
      </c>
      <c r="C37" s="9">
        <f t="shared" si="18"/>
        <v>33</v>
      </c>
      <c r="D37" s="9"/>
      <c r="E37" s="13">
        <f t="shared" si="5"/>
        <v>1143.5905882106388</v>
      </c>
      <c r="F37" s="14">
        <f t="shared" si="19"/>
        <v>70388.123114920876</v>
      </c>
      <c r="G37" s="15">
        <f t="shared" si="6"/>
        <v>0.79140967061512058</v>
      </c>
      <c r="H37" s="13">
        <f t="shared" si="7"/>
        <v>1234.8032952504764</v>
      </c>
      <c r="I37" s="13">
        <f t="shared" si="8"/>
        <v>26879.88560817263</v>
      </c>
      <c r="J37" s="15">
        <f t="shared" si="0"/>
        <v>0.20859032938487942</v>
      </c>
      <c r="K37" s="13">
        <f t="shared" si="9"/>
        <v>18552.062642743593</v>
      </c>
      <c r="L37" s="13">
        <f t="shared" si="20"/>
        <v>269976.61105752608</v>
      </c>
      <c r="M37" s="15">
        <f t="shared" si="10"/>
        <v>0.20859032938487942</v>
      </c>
      <c r="N37" s="13">
        <f t="shared" si="1"/>
        <v>357.4413928173978</v>
      </c>
      <c r="O37" s="13">
        <f t="shared" si="11"/>
        <v>8327.8229654290626</v>
      </c>
      <c r="P37" s="15">
        <f t="shared" si="2"/>
        <v>8.5617286451674393E-2</v>
      </c>
      <c r="Q37" s="7">
        <f t="shared" si="12"/>
        <v>97268.008723093531</v>
      </c>
      <c r="R37" s="7">
        <f t="shared" si="13"/>
        <v>88940.185757664469</v>
      </c>
      <c r="S37" s="13">
        <f>IF('Calc (2)'!$AD$32="Sim",R37,Q37)</f>
        <v>88940.185757664469</v>
      </c>
      <c r="T37" s="9">
        <f t="shared" si="14"/>
        <v>33</v>
      </c>
      <c r="U37" s="17">
        <f t="shared" ca="1" si="15"/>
        <v>46508</v>
      </c>
      <c r="V37" s="124">
        <f t="shared" si="3"/>
        <v>7986324.2952528801</v>
      </c>
      <c r="W37" s="68">
        <v>33</v>
      </c>
      <c r="X37" s="125">
        <f t="shared" ca="1" si="16"/>
        <v>57558</v>
      </c>
      <c r="Y37" s="5">
        <f t="shared" si="17"/>
        <v>396</v>
      </c>
    </row>
    <row r="38" spans="2:33" x14ac:dyDescent="0.2">
      <c r="B38" s="17">
        <f t="shared" ca="1" si="4"/>
        <v>46508</v>
      </c>
      <c r="C38" s="9">
        <f t="shared" si="18"/>
        <v>34</v>
      </c>
      <c r="D38" s="9"/>
      <c r="E38" s="13">
        <f t="shared" si="5"/>
        <v>1148.2497178248241</v>
      </c>
      <c r="F38" s="14">
        <f t="shared" si="19"/>
        <v>71536.372832745707</v>
      </c>
      <c r="G38" s="15">
        <f t="shared" si="6"/>
        <v>0.7867483763154336</v>
      </c>
      <c r="H38" s="13">
        <f t="shared" si="7"/>
        <v>1265.7534535967272</v>
      </c>
      <c r="I38" s="13">
        <f t="shared" si="8"/>
        <v>28145.639061769358</v>
      </c>
      <c r="J38" s="15">
        <f t="shared" si="0"/>
        <v>0.2132516236845664</v>
      </c>
      <c r="K38" s="13">
        <f t="shared" si="9"/>
        <v>19390.249943104034</v>
      </c>
      <c r="L38" s="13">
        <f t="shared" si="20"/>
        <v>289366.86100063013</v>
      </c>
      <c r="M38" s="15">
        <f t="shared" si="10"/>
        <v>0.2132516236845664</v>
      </c>
      <c r="N38" s="13">
        <f t="shared" si="1"/>
        <v>366.31239436442212</v>
      </c>
      <c r="O38" s="13">
        <f t="shared" si="11"/>
        <v>8755.3891186653491</v>
      </c>
      <c r="P38" s="15">
        <f t="shared" si="2"/>
        <v>8.7833190284425891E-2</v>
      </c>
      <c r="Q38" s="7">
        <f t="shared" si="12"/>
        <v>99682.01189451509</v>
      </c>
      <c r="R38" s="7">
        <f t="shared" si="13"/>
        <v>90926.622775849741</v>
      </c>
      <c r="S38" s="13">
        <f>IF('Calc (2)'!$AD$32="Sim",R38,Q38)</f>
        <v>90926.622775849741</v>
      </c>
      <c r="T38" s="9">
        <f t="shared" si="14"/>
        <v>34</v>
      </c>
      <c r="U38" s="17">
        <f t="shared" ca="1" si="15"/>
        <v>46539</v>
      </c>
      <c r="V38" s="124">
        <f t="shared" si="3"/>
        <v>8990541.2434690967</v>
      </c>
      <c r="W38" s="68">
        <v>34</v>
      </c>
      <c r="X38" s="125">
        <f t="shared" ca="1" si="16"/>
        <v>57923</v>
      </c>
      <c r="Y38" s="5">
        <f t="shared" si="17"/>
        <v>408</v>
      </c>
      <c r="AA38" s="55" t="s">
        <v>47</v>
      </c>
      <c r="AB38" s="2"/>
    </row>
    <row r="39" spans="2:33" x14ac:dyDescent="0.2">
      <c r="B39" s="17">
        <f t="shared" ca="1" si="4"/>
        <v>46539</v>
      </c>
      <c r="C39" s="9">
        <f t="shared" si="18"/>
        <v>35</v>
      </c>
      <c r="D39" s="9"/>
      <c r="E39" s="13">
        <f t="shared" si="5"/>
        <v>1152.9278293097816</v>
      </c>
      <c r="F39" s="14">
        <f t="shared" si="19"/>
        <v>72689.300662055495</v>
      </c>
      <c r="G39" s="15">
        <f t="shared" si="6"/>
        <v>0.78214141659721714</v>
      </c>
      <c r="H39" s="13">
        <f t="shared" si="7"/>
        <v>1297.1669973849928</v>
      </c>
      <c r="I39" s="13">
        <f t="shared" si="8"/>
        <v>29442.806059154351</v>
      </c>
      <c r="J39" s="15">
        <f t="shared" si="0"/>
        <v>0.21785858340278286</v>
      </c>
      <c r="K39" s="13">
        <f t="shared" si="9"/>
        <v>20246.962678015945</v>
      </c>
      <c r="L39" s="13">
        <f t="shared" si="20"/>
        <v>309613.82367864606</v>
      </c>
      <c r="M39" s="15">
        <f t="shared" si="10"/>
        <v>0.21785858340278286</v>
      </c>
      <c r="N39" s="13">
        <f t="shared" si="1"/>
        <v>375.31602586552179</v>
      </c>
      <c r="O39" s="13">
        <f t="shared" si="11"/>
        <v>9195.8433811384311</v>
      </c>
      <c r="P39" s="15">
        <f t="shared" si="2"/>
        <v>9.0038712373184809E-2</v>
      </c>
      <c r="Q39" s="7">
        <f t="shared" si="12"/>
        <v>102132.10672120987</v>
      </c>
      <c r="R39" s="7">
        <f t="shared" si="13"/>
        <v>92936.26334007144</v>
      </c>
      <c r="S39" s="13">
        <f>IF('Calc (2)'!$AD$32="Sim",R39,Q39)</f>
        <v>92936.26334007144</v>
      </c>
      <c r="T39" s="9">
        <f t="shared" si="14"/>
        <v>35</v>
      </c>
      <c r="U39" s="17">
        <f t="shared" ca="1" si="15"/>
        <v>46569</v>
      </c>
      <c r="V39" s="124">
        <f t="shared" si="3"/>
        <v>10116070.805366864</v>
      </c>
      <c r="W39" s="68">
        <v>35</v>
      </c>
      <c r="X39" s="125">
        <f t="shared" ca="1" si="16"/>
        <v>58288</v>
      </c>
      <c r="Y39" s="5">
        <f t="shared" si="17"/>
        <v>420</v>
      </c>
      <c r="AA39" s="73" t="s">
        <v>2</v>
      </c>
      <c r="AB39" s="56" t="s">
        <v>61</v>
      </c>
      <c r="AC39" s="56" t="s">
        <v>4</v>
      </c>
      <c r="AD39" s="56" t="s">
        <v>46</v>
      </c>
      <c r="AE39" s="56" t="s">
        <v>44</v>
      </c>
      <c r="AF39" s="57" t="s">
        <v>45</v>
      </c>
    </row>
    <row r="40" spans="2:33" x14ac:dyDescent="0.2">
      <c r="B40" s="17">
        <f t="shared" ca="1" si="4"/>
        <v>46569</v>
      </c>
      <c r="C40" s="9">
        <f t="shared" si="18"/>
        <v>36</v>
      </c>
      <c r="D40" s="9">
        <v>3</v>
      </c>
      <c r="E40" s="13">
        <f t="shared" si="5"/>
        <v>1157.6250000000027</v>
      </c>
      <c r="F40" s="14">
        <f t="shared" si="19"/>
        <v>73846.925662055495</v>
      </c>
      <c r="G40" s="15">
        <f t="shared" si="6"/>
        <v>0.77758699450466728</v>
      </c>
      <c r="H40" s="13">
        <f t="shared" si="7"/>
        <v>1329.0502036851963</v>
      </c>
      <c r="I40" s="13">
        <f t="shared" si="8"/>
        <v>30771.856262839548</v>
      </c>
      <c r="J40" s="15">
        <f t="shared" si="0"/>
        <v>0.22241300549533272</v>
      </c>
      <c r="K40" s="13">
        <f t="shared" si="9"/>
        <v>21122.416911757638</v>
      </c>
      <c r="L40" s="13">
        <f t="shared" si="20"/>
        <v>330736.24059040367</v>
      </c>
      <c r="M40" s="15">
        <f t="shared" si="10"/>
        <v>0.22241300549533274</v>
      </c>
      <c r="N40" s="13">
        <f t="shared" si="1"/>
        <v>384.45408327985734</v>
      </c>
      <c r="O40" s="13">
        <f t="shared" si="11"/>
        <v>9649.4393510819355</v>
      </c>
      <c r="P40" s="15">
        <f t="shared" si="2"/>
        <v>9.2234292672315629E-2</v>
      </c>
      <c r="Q40" s="7">
        <f t="shared" si="12"/>
        <v>104618.78192489507</v>
      </c>
      <c r="R40" s="7">
        <f t="shared" si="13"/>
        <v>94969.342573813134</v>
      </c>
      <c r="S40" s="13">
        <f>IF('Calc (2)'!$AD$32="Sim",R40,Q40)</f>
        <v>94969.342573813134</v>
      </c>
      <c r="T40" s="9">
        <f t="shared" si="14"/>
        <v>36</v>
      </c>
      <c r="U40" s="17">
        <f t="shared" ca="1" si="15"/>
        <v>46600</v>
      </c>
      <c r="V40" s="124">
        <f t="shared" si="3"/>
        <v>11377336.117064184</v>
      </c>
      <c r="W40" s="68">
        <v>36</v>
      </c>
      <c r="X40" s="125">
        <f t="shared" ca="1" si="16"/>
        <v>58654</v>
      </c>
      <c r="Y40" s="5">
        <f t="shared" si="17"/>
        <v>432</v>
      </c>
      <c r="AA40" s="74">
        <v>5</v>
      </c>
      <c r="AB40" s="69">
        <f>AA40*12</f>
        <v>60</v>
      </c>
      <c r="AC40" s="70">
        <f ca="1">INDEX($U$5:$U$997,AB40,0)</f>
        <v>47331</v>
      </c>
      <c r="AD40" s="77">
        <f ca="1">INDEX($S$5:$S$997,MATCH(AC40,$U$5:$U$997,0),0)</f>
        <v>151447.72273019093</v>
      </c>
      <c r="AE40" s="80">
        <f>INDEX($G$5:$G$997,AB40,0)</f>
        <v>0.68069705915452372</v>
      </c>
      <c r="AF40" s="81">
        <f>INDEX($J$5:$J$997,AB40,0)</f>
        <v>0.31930294084547628</v>
      </c>
    </row>
    <row r="41" spans="2:33" x14ac:dyDescent="0.2">
      <c r="B41" s="17">
        <f t="shared" ca="1" si="4"/>
        <v>46600</v>
      </c>
      <c r="C41" s="9">
        <f t="shared" si="18"/>
        <v>37</v>
      </c>
      <c r="D41" s="9"/>
      <c r="E41" s="13">
        <f t="shared" si="5"/>
        <v>1162.3413075450487</v>
      </c>
      <c r="F41" s="14">
        <f t="shared" si="19"/>
        <v>75009.266969600547</v>
      </c>
      <c r="G41" s="15">
        <f t="shared" si="6"/>
        <v>0.77308341383349444</v>
      </c>
      <c r="H41" s="13">
        <f t="shared" si="7"/>
        <v>1361.4094322574431</v>
      </c>
      <c r="I41" s="13">
        <f t="shared" si="8"/>
        <v>32133.26569509699</v>
      </c>
      <c r="J41" s="15">
        <f t="shared" si="0"/>
        <v>0.22691658616650556</v>
      </c>
      <c r="K41" s="13">
        <f t="shared" si="9"/>
        <v>22016.830896930493</v>
      </c>
      <c r="L41" s="13">
        <f t="shared" si="20"/>
        <v>352753.07148733415</v>
      </c>
      <c r="M41" s="15">
        <f t="shared" si="10"/>
        <v>0.22691658616650556</v>
      </c>
      <c r="N41" s="13">
        <f t="shared" si="1"/>
        <v>393.72838622284303</v>
      </c>
      <c r="O41" s="13">
        <f t="shared" si="11"/>
        <v>10116.43479816652</v>
      </c>
      <c r="P41" s="15">
        <f t="shared" si="2"/>
        <v>9.4420344064722564E-2</v>
      </c>
      <c r="Q41" s="7">
        <f t="shared" si="12"/>
        <v>107142.53266469756</v>
      </c>
      <c r="R41" s="7">
        <f t="shared" si="13"/>
        <v>97026.097866531039</v>
      </c>
      <c r="S41" s="13">
        <f>IF('Calc (2)'!$AD$32="Sim",R41,Q41)</f>
        <v>97026.097866531039</v>
      </c>
      <c r="T41" s="9">
        <f t="shared" si="14"/>
        <v>37</v>
      </c>
      <c r="U41" s="17">
        <f t="shared" ca="1" si="15"/>
        <v>46631</v>
      </c>
      <c r="V41" s="124">
        <f t="shared" si="3"/>
        <v>12790463.836631987</v>
      </c>
      <c r="W41" s="68">
        <v>37</v>
      </c>
      <c r="X41" s="125">
        <f t="shared" ca="1" si="16"/>
        <v>59019</v>
      </c>
      <c r="Y41" s="5">
        <f t="shared" si="17"/>
        <v>444</v>
      </c>
      <c r="AA41" s="75">
        <v>10</v>
      </c>
      <c r="AB41" s="71">
        <f>AA41*12</f>
        <v>120</v>
      </c>
      <c r="AC41" s="72">
        <f t="shared" ref="AC41:AC49" ca="1" si="21">INDEX($U$5:$U$997,AB41,0)</f>
        <v>49157</v>
      </c>
      <c r="AD41" s="78">
        <f t="shared" ref="AD41:AD49" ca="1" si="22">INDEX($S$5:$S$997,MATCH(AC41,$U$5:$U$997,0),0)</f>
        <v>379434.45113641763</v>
      </c>
      <c r="AE41" s="82">
        <f t="shared" ref="AE41:AE49" si="23">INDEX($G$5:$G$997,AB41,0)</f>
        <v>0.50072431577894938</v>
      </c>
      <c r="AF41" s="83">
        <f t="shared" ref="AF41:AF49" si="24">INDEX($J$5:$J$997,AB41,0)</f>
        <v>0.49927568422105062</v>
      </c>
    </row>
    <row r="42" spans="2:33" x14ac:dyDescent="0.2">
      <c r="B42" s="17">
        <f t="shared" ca="1" si="4"/>
        <v>46631</v>
      </c>
      <c r="C42" s="9">
        <f t="shared" si="18"/>
        <v>38</v>
      </c>
      <c r="D42" s="9"/>
      <c r="E42" s="13">
        <f t="shared" si="5"/>
        <v>1167.0768299108349</v>
      </c>
      <c r="F42" s="14">
        <f t="shared" si="19"/>
        <v>76176.343799511378</v>
      </c>
      <c r="G42" s="15">
        <f t="shared" si="6"/>
        <v>0.76862907194739005</v>
      </c>
      <c r="H42" s="13">
        <f t="shared" si="7"/>
        <v>1394.2511266321719</v>
      </c>
      <c r="I42" s="13">
        <f t="shared" si="8"/>
        <v>33527.516821729165</v>
      </c>
      <c r="J42" s="15">
        <f t="shared" si="0"/>
        <v>0.23137092805260995</v>
      </c>
      <c r="K42" s="13">
        <f t="shared" si="9"/>
        <v>22930.425095544648</v>
      </c>
      <c r="L42" s="13">
        <f t="shared" si="20"/>
        <v>375683.49658287881</v>
      </c>
      <c r="M42" s="15">
        <f t="shared" si="10"/>
        <v>0.23137092805260992</v>
      </c>
      <c r="N42" s="13">
        <f t="shared" si="1"/>
        <v>403.14077827514893</v>
      </c>
      <c r="O42" s="13">
        <f t="shared" si="11"/>
        <v>10597.091726184532</v>
      </c>
      <c r="P42" s="15">
        <f t="shared" si="2"/>
        <v>9.6597254337034255E-2</v>
      </c>
      <c r="Q42" s="7">
        <f t="shared" si="12"/>
        <v>109703.86062124056</v>
      </c>
      <c r="R42" s="7">
        <f t="shared" si="13"/>
        <v>99106.768895056026</v>
      </c>
      <c r="S42" s="13">
        <f>IF('Calc (2)'!$AD$32="Sim",R42,Q42)</f>
        <v>99106.768895056026</v>
      </c>
      <c r="T42" s="9">
        <f t="shared" si="14"/>
        <v>38</v>
      </c>
      <c r="U42" s="17">
        <f t="shared" ca="1" si="15"/>
        <v>46661</v>
      </c>
      <c r="V42" s="124">
        <f t="shared" si="3"/>
        <v>14373484.790207336</v>
      </c>
      <c r="W42" s="68">
        <v>38</v>
      </c>
      <c r="X42" s="125">
        <f t="shared" ca="1" si="16"/>
        <v>59384</v>
      </c>
      <c r="Y42" s="5">
        <f t="shared" si="17"/>
        <v>456</v>
      </c>
      <c r="AA42" s="75">
        <v>15</v>
      </c>
      <c r="AB42" s="71">
        <f t="shared" ref="AB42:AB49" si="25">AA42*12</f>
        <v>180</v>
      </c>
      <c r="AC42" s="72">
        <f t="shared" ca="1" si="21"/>
        <v>50983</v>
      </c>
      <c r="AD42" s="78">
        <f t="shared" ca="1" si="22"/>
        <v>808732.69030134205</v>
      </c>
      <c r="AE42" s="82">
        <f t="shared" si="23"/>
        <v>0.37206796065231185</v>
      </c>
      <c r="AF42" s="83">
        <f t="shared" si="24"/>
        <v>0.62793203934768815</v>
      </c>
    </row>
    <row r="43" spans="2:33" x14ac:dyDescent="0.2">
      <c r="B43" s="17">
        <f t="shared" ca="1" si="4"/>
        <v>46661</v>
      </c>
      <c r="C43" s="9">
        <f t="shared" si="18"/>
        <v>39</v>
      </c>
      <c r="D43" s="9"/>
      <c r="E43" s="13">
        <f t="shared" si="5"/>
        <v>1171.8316453809196</v>
      </c>
      <c r="F43" s="14">
        <f t="shared" si="19"/>
        <v>77348.175444892302</v>
      </c>
      <c r="G43" s="15">
        <f t="shared" si="6"/>
        <v>0.76422245320186943</v>
      </c>
      <c r="H43" s="13">
        <f t="shared" si="7"/>
        <v>1427.5818152043789</v>
      </c>
      <c r="I43" s="13">
        <f t="shared" si="8"/>
        <v>34955.098636933544</v>
      </c>
      <c r="J43" s="15">
        <f t="shared" si="0"/>
        <v>0.23577754679813057</v>
      </c>
      <c r="K43" s="13">
        <f t="shared" si="9"/>
        <v>23863.422200303787</v>
      </c>
      <c r="L43" s="13">
        <f t="shared" si="20"/>
        <v>399546.91878318263</v>
      </c>
      <c r="M43" s="15">
        <f t="shared" si="10"/>
        <v>0.23577754679813062</v>
      </c>
      <c r="N43" s="13">
        <f t="shared" si="1"/>
        <v>412.69312729572988</v>
      </c>
      <c r="O43" s="13">
        <f t="shared" si="11"/>
        <v>11091.676436629772</v>
      </c>
      <c r="P43" s="15">
        <f t="shared" si="2"/>
        <v>9.8765387984576555E-2</v>
      </c>
      <c r="Q43" s="7">
        <f t="shared" si="12"/>
        <v>112303.27408182586</v>
      </c>
      <c r="R43" s="7">
        <f t="shared" si="13"/>
        <v>101211.59764519609</v>
      </c>
      <c r="S43" s="13">
        <f>IF('Calc (2)'!$AD$32="Sim",R43,Q43)</f>
        <v>101211.59764519609</v>
      </c>
      <c r="T43" s="9">
        <f t="shared" si="14"/>
        <v>39</v>
      </c>
      <c r="U43" s="17">
        <f t="shared" ca="1" si="15"/>
        <v>46692</v>
      </c>
      <c r="V43" s="124">
        <f t="shared" si="3"/>
        <v>16146558.223088864</v>
      </c>
      <c r="W43" s="68">
        <v>39</v>
      </c>
      <c r="X43" s="125">
        <f t="shared" ca="1" si="16"/>
        <v>59749</v>
      </c>
      <c r="Y43" s="5">
        <f t="shared" si="17"/>
        <v>468</v>
      </c>
      <c r="AA43" s="75">
        <v>20</v>
      </c>
      <c r="AB43" s="71">
        <f t="shared" si="25"/>
        <v>240</v>
      </c>
      <c r="AC43" s="72">
        <f t="shared" ca="1" si="21"/>
        <v>52810</v>
      </c>
      <c r="AD43" s="78">
        <f t="shared" ca="1" si="22"/>
        <v>1597748.1573787229</v>
      </c>
      <c r="AE43" s="82">
        <f t="shared" si="23"/>
        <v>0.276925860298816</v>
      </c>
      <c r="AF43" s="83">
        <f t="shared" si="24"/>
        <v>0.72307413970118395</v>
      </c>
    </row>
    <row r="44" spans="2:33" x14ac:dyDescent="0.2">
      <c r="B44" s="17">
        <f t="shared" ca="1" si="4"/>
        <v>46692</v>
      </c>
      <c r="C44" s="9">
        <f t="shared" si="18"/>
        <v>40</v>
      </c>
      <c r="D44" s="9"/>
      <c r="E44" s="13">
        <f t="shared" si="5"/>
        <v>1176.6058325577978</v>
      </c>
      <c r="F44" s="14">
        <f t="shared" si="19"/>
        <v>78524.781277450093</v>
      </c>
      <c r="G44" s="15">
        <f t="shared" si="6"/>
        <v>0.75986212291640109</v>
      </c>
      <c r="H44" s="13">
        <f t="shared" si="7"/>
        <v>1461.4081123420985</v>
      </c>
      <c r="I44" s="13">
        <f t="shared" si="8"/>
        <v>36416.506749275643</v>
      </c>
      <c r="J44" s="15">
        <f t="shared" si="0"/>
        <v>0.24013787708359891</v>
      </c>
      <c r="K44" s="13">
        <f t="shared" si="9"/>
        <v>24816.047156090965</v>
      </c>
      <c r="L44" s="13">
        <f t="shared" si="20"/>
        <v>424362.96593927359</v>
      </c>
      <c r="M44" s="15">
        <f t="shared" si="10"/>
        <v>0.24013787708359891</v>
      </c>
      <c r="N44" s="13">
        <f t="shared" si="1"/>
        <v>422.38732573893157</v>
      </c>
      <c r="O44" s="13">
        <f t="shared" si="11"/>
        <v>11600.459593184714</v>
      </c>
      <c r="P44" s="15">
        <f t="shared" si="2"/>
        <v>0.10092508786300892</v>
      </c>
      <c r="Q44" s="7">
        <f t="shared" si="12"/>
        <v>114941.28802672577</v>
      </c>
      <c r="R44" s="7">
        <f t="shared" si="13"/>
        <v>103340.82843354106</v>
      </c>
      <c r="S44" s="13">
        <f>IF('Calc (2)'!$AD$32="Sim",R44,Q44)</f>
        <v>103340.82843354106</v>
      </c>
      <c r="T44" s="9">
        <f t="shared" si="14"/>
        <v>40</v>
      </c>
      <c r="U44" s="17">
        <f t="shared" ca="1" si="15"/>
        <v>46722</v>
      </c>
      <c r="V44" s="124">
        <f t="shared" si="3"/>
        <v>18132222.431434978</v>
      </c>
      <c r="W44" s="68">
        <v>40</v>
      </c>
      <c r="X44" s="125">
        <f t="shared" ca="1" si="16"/>
        <v>60115</v>
      </c>
      <c r="Y44" s="5">
        <f t="shared" si="17"/>
        <v>480</v>
      </c>
      <c r="AA44" s="75">
        <v>25</v>
      </c>
      <c r="AB44" s="71">
        <f t="shared" si="25"/>
        <v>300</v>
      </c>
      <c r="AC44" s="72">
        <f t="shared" ca="1" si="21"/>
        <v>54636</v>
      </c>
      <c r="AD44" s="78">
        <f t="shared" ca="1" si="22"/>
        <v>3025031.6551529462</v>
      </c>
      <c r="AE44" s="82">
        <f t="shared" si="23"/>
        <v>0.2059882164822851</v>
      </c>
      <c r="AF44" s="83">
        <f t="shared" si="24"/>
        <v>0.79401178351771495</v>
      </c>
    </row>
    <row r="45" spans="2:33" x14ac:dyDescent="0.2">
      <c r="B45" s="17">
        <f t="shared" ca="1" si="4"/>
        <v>46722</v>
      </c>
      <c r="C45" s="9">
        <f t="shared" si="18"/>
        <v>41</v>
      </c>
      <c r="D45" s="9"/>
      <c r="E45" s="13">
        <f t="shared" si="5"/>
        <v>1181.3994703642009</v>
      </c>
      <c r="F45" s="14">
        <f t="shared" si="19"/>
        <v>79706.180747814287</v>
      </c>
      <c r="G45" s="15">
        <f t="shared" si="6"/>
        <v>0.75554672184221605</v>
      </c>
      <c r="H45" s="13">
        <f t="shared" si="7"/>
        <v>1495.7367195093248</v>
      </c>
      <c r="I45" s="13">
        <f t="shared" si="8"/>
        <v>37912.243468784967</v>
      </c>
      <c r="J45" s="15">
        <f t="shared" si="0"/>
        <v>0.24445327815778395</v>
      </c>
      <c r="K45" s="13">
        <f t="shared" si="9"/>
        <v>25788.527181657293</v>
      </c>
      <c r="L45" s="13">
        <f t="shared" si="20"/>
        <v>450151.49312093086</v>
      </c>
      <c r="M45" s="15">
        <f t="shared" si="10"/>
        <v>0.24445327815778395</v>
      </c>
      <c r="N45" s="13">
        <f t="shared" si="1"/>
        <v>432.22529097572851</v>
      </c>
      <c r="O45" s="13">
        <f t="shared" si="11"/>
        <v>12123.716287127711</v>
      </c>
      <c r="P45" s="15">
        <f t="shared" si="2"/>
        <v>0.10307667670161416</v>
      </c>
      <c r="Q45" s="7">
        <f t="shared" si="12"/>
        <v>117618.42421659929</v>
      </c>
      <c r="R45" s="7">
        <f t="shared" si="13"/>
        <v>105494.70792947158</v>
      </c>
      <c r="S45" s="13">
        <f>IF('Calc (2)'!$AD$32="Sim",R45,Q45)</f>
        <v>105494.70792947158</v>
      </c>
      <c r="T45" s="9">
        <f t="shared" si="14"/>
        <v>41</v>
      </c>
      <c r="U45" s="17">
        <f t="shared" ca="1" si="15"/>
        <v>46753</v>
      </c>
      <c r="V45" s="124">
        <f t="shared" si="3"/>
        <v>20355674.876490746</v>
      </c>
      <c r="W45" s="68">
        <v>41</v>
      </c>
      <c r="X45" s="125">
        <f t="shared" ca="1" si="16"/>
        <v>60480</v>
      </c>
      <c r="Y45" s="5">
        <f t="shared" si="17"/>
        <v>492</v>
      </c>
      <c r="AA45" s="75">
        <v>30</v>
      </c>
      <c r="AB45" s="71">
        <f>AA45*12</f>
        <v>360</v>
      </c>
      <c r="AC45" s="72">
        <f t="shared" ca="1" si="21"/>
        <v>56462</v>
      </c>
      <c r="AD45" s="78">
        <f t="shared" ca="1" si="22"/>
        <v>5579230.8849214641</v>
      </c>
      <c r="AE45" s="82">
        <f t="shared" si="23"/>
        <v>0.15301353662208195</v>
      </c>
      <c r="AF45" s="83">
        <f t="shared" si="24"/>
        <v>0.84698646337791805</v>
      </c>
    </row>
    <row r="46" spans="2:33" x14ac:dyDescent="0.2">
      <c r="B46" s="17">
        <f t="shared" ca="1" si="4"/>
        <v>46753</v>
      </c>
      <c r="C46" s="9">
        <f t="shared" si="18"/>
        <v>42</v>
      </c>
      <c r="D46" s="9"/>
      <c r="E46" s="13">
        <f t="shared" si="5"/>
        <v>1186.2126380444013</v>
      </c>
      <c r="F46" s="14">
        <f t="shared" si="19"/>
        <v>80892.393385858682</v>
      </c>
      <c r="G46" s="15">
        <f t="shared" si="6"/>
        <v>0.75127496107887659</v>
      </c>
      <c r="H46" s="13">
        <f t="shared" si="7"/>
        <v>1530.5744264035613</v>
      </c>
      <c r="I46" s="13">
        <f t="shared" si="8"/>
        <v>39442.817895188527</v>
      </c>
      <c r="J46" s="15">
        <f t="shared" si="0"/>
        <v>0.24872503892112341</v>
      </c>
      <c r="K46" s="13">
        <f t="shared" si="9"/>
        <v>26781.09179151537</v>
      </c>
      <c r="L46" s="13">
        <f t="shared" si="20"/>
        <v>476932.58491244621</v>
      </c>
      <c r="M46" s="15">
        <f t="shared" si="10"/>
        <v>0.24872503892112344</v>
      </c>
      <c r="N46" s="13">
        <f t="shared" si="1"/>
        <v>442.20896561914708</v>
      </c>
      <c r="O46" s="13">
        <f t="shared" si="11"/>
        <v>12661.726103673194</v>
      </c>
      <c r="P46" s="15">
        <f t="shared" si="2"/>
        <v>0.1052204584915821</v>
      </c>
      <c r="Q46" s="7">
        <f t="shared" si="12"/>
        <v>120335.21128104725</v>
      </c>
      <c r="R46" s="7">
        <f t="shared" si="13"/>
        <v>107673.48517737405</v>
      </c>
      <c r="S46" s="13">
        <f>IF('Calc (2)'!$AD$32="Sim",R46,Q46)</f>
        <v>107673.48517737405</v>
      </c>
      <c r="T46" s="9">
        <f t="shared" si="14"/>
        <v>42</v>
      </c>
      <c r="U46" s="17">
        <f t="shared" ca="1" si="15"/>
        <v>46784</v>
      </c>
      <c r="V46" s="124">
        <f t="shared" si="3"/>
        <v>22845085.247932501</v>
      </c>
      <c r="W46" s="68">
        <v>42</v>
      </c>
      <c r="X46" s="125">
        <f t="shared" ca="1" si="16"/>
        <v>60845</v>
      </c>
      <c r="Y46" s="5">
        <f t="shared" si="17"/>
        <v>504</v>
      </c>
      <c r="AA46" s="75">
        <v>35</v>
      </c>
      <c r="AB46" s="71">
        <f t="shared" si="25"/>
        <v>420</v>
      </c>
      <c r="AC46" s="72">
        <f t="shared" ca="1" si="21"/>
        <v>58288</v>
      </c>
      <c r="AD46" s="78">
        <f t="shared" ca="1" si="22"/>
        <v>10116070.805366864</v>
      </c>
      <c r="AE46" s="82">
        <f t="shared" si="23"/>
        <v>0.1134807191376266</v>
      </c>
      <c r="AF46" s="83">
        <f t="shared" si="24"/>
        <v>0.88651928086237342</v>
      </c>
    </row>
    <row r="47" spans="2:33" x14ac:dyDescent="0.2">
      <c r="B47" s="17">
        <f t="shared" ca="1" si="4"/>
        <v>46784</v>
      </c>
      <c r="C47" s="9">
        <f t="shared" si="18"/>
        <v>43</v>
      </c>
      <c r="D47" s="9"/>
      <c r="E47" s="13">
        <f t="shared" si="5"/>
        <v>1191.0454151655222</v>
      </c>
      <c r="F47" s="14">
        <f t="shared" si="19"/>
        <v>82083.438801024211</v>
      </c>
      <c r="G47" s="15">
        <f t="shared" si="6"/>
        <v>0.7470456173976957</v>
      </c>
      <c r="H47" s="13">
        <f t="shared" si="7"/>
        <v>1565.928112108196</v>
      </c>
      <c r="I47" s="13">
        <f t="shared" si="8"/>
        <v>41008.746007296722</v>
      </c>
      <c r="J47" s="15">
        <f t="shared" si="0"/>
        <v>0.2529543826023043</v>
      </c>
      <c r="K47" s="13">
        <f t="shared" si="9"/>
        <v>27793.972818039518</v>
      </c>
      <c r="L47" s="13">
        <f t="shared" si="20"/>
        <v>504726.55773048574</v>
      </c>
      <c r="M47" s="15">
        <f t="shared" si="10"/>
        <v>0.25295438260230424</v>
      </c>
      <c r="N47" s="13">
        <f t="shared" si="1"/>
        <v>452.34031785392813</v>
      </c>
      <c r="O47" s="13">
        <f t="shared" si="11"/>
        <v>13214.773189257248</v>
      </c>
      <c r="P47" s="15">
        <f t="shared" si="2"/>
        <v>0.10735671976117152</v>
      </c>
      <c r="Q47" s="7">
        <f t="shared" si="12"/>
        <v>123092.18480832098</v>
      </c>
      <c r="R47" s="7">
        <f t="shared" si="13"/>
        <v>109877.41161906373</v>
      </c>
      <c r="S47" s="13">
        <f>IF('Calc (2)'!$AD$32="Sim",R47,Q47)</f>
        <v>109877.41161906373</v>
      </c>
      <c r="T47" s="9">
        <f t="shared" si="14"/>
        <v>43</v>
      </c>
      <c r="U47" s="17">
        <f t="shared" ca="1" si="15"/>
        <v>46813</v>
      </c>
      <c r="V47" s="124">
        <f t="shared" si="3"/>
        <v>25631945.350448284</v>
      </c>
      <c r="W47" s="68">
        <v>43</v>
      </c>
      <c r="X47" s="125">
        <f t="shared" ca="1" si="16"/>
        <v>61210</v>
      </c>
      <c r="Y47" s="5">
        <f t="shared" si="17"/>
        <v>516</v>
      </c>
      <c r="AA47" s="75">
        <v>40</v>
      </c>
      <c r="AB47" s="71">
        <f t="shared" si="25"/>
        <v>480</v>
      </c>
      <c r="AC47" s="72">
        <f t="shared" ca="1" si="21"/>
        <v>60115</v>
      </c>
      <c r="AD47" s="78">
        <f t="shared" ca="1" si="22"/>
        <v>18132222.431434978</v>
      </c>
      <c r="AE47" s="82">
        <f t="shared" si="23"/>
        <v>8.4025253353370563E-2</v>
      </c>
      <c r="AF47" s="83">
        <f t="shared" si="24"/>
        <v>0.91597474664662948</v>
      </c>
    </row>
    <row r="48" spans="2:33" x14ac:dyDescent="0.2">
      <c r="B48" s="17">
        <f t="shared" ca="1" si="4"/>
        <v>46813</v>
      </c>
      <c r="C48" s="9">
        <f t="shared" si="18"/>
        <v>44</v>
      </c>
      <c r="D48" s="9"/>
      <c r="E48" s="13">
        <f t="shared" si="5"/>
        <v>1195.8978816188533</v>
      </c>
      <c r="F48" s="14">
        <f t="shared" si="19"/>
        <v>83279.336682643057</v>
      </c>
      <c r="G48" s="15">
        <f t="shared" si="6"/>
        <v>0.74285752893451207</v>
      </c>
      <c r="H48" s="13">
        <f t="shared" si="7"/>
        <v>1601.8047462598824</v>
      </c>
      <c r="I48" s="13">
        <f t="shared" si="8"/>
        <v>42610.550753556607</v>
      </c>
      <c r="J48" s="15">
        <f t="shared" si="0"/>
        <v>0.25714247106548793</v>
      </c>
      <c r="K48" s="13">
        <f t="shared" si="9"/>
        <v>28827.404433774573</v>
      </c>
      <c r="L48" s="13">
        <f t="shared" si="20"/>
        <v>533553.96216426033</v>
      </c>
      <c r="M48" s="15">
        <f t="shared" si="10"/>
        <v>0.25714247106548799</v>
      </c>
      <c r="N48" s="13">
        <f t="shared" si="1"/>
        <v>462.62134177048375</v>
      </c>
      <c r="O48" s="13">
        <f t="shared" si="11"/>
        <v>13783.14631978207</v>
      </c>
      <c r="P48" s="15">
        <f t="shared" si="2"/>
        <v>0.10948573074836764</v>
      </c>
      <c r="Q48" s="7">
        <f t="shared" si="12"/>
        <v>125889.8874361997</v>
      </c>
      <c r="R48" s="7">
        <f t="shared" si="13"/>
        <v>112106.74111641763</v>
      </c>
      <c r="S48" s="13">
        <f>IF('Calc (2)'!$AD$32="Sim",R48,Q48)</f>
        <v>112106.74111641763</v>
      </c>
      <c r="T48" s="9">
        <f t="shared" si="14"/>
        <v>44</v>
      </c>
      <c r="U48" s="17">
        <f t="shared" ca="1" si="15"/>
        <v>46844</v>
      </c>
      <c r="V48" s="124">
        <f t="shared" si="3"/>
        <v>28751460.143106397</v>
      </c>
      <c r="W48" s="68">
        <v>44</v>
      </c>
      <c r="X48" s="125">
        <f t="shared" ca="1" si="16"/>
        <v>61576</v>
      </c>
      <c r="Y48" s="5">
        <f t="shared" si="17"/>
        <v>528</v>
      </c>
      <c r="AA48" s="75">
        <v>45</v>
      </c>
      <c r="AB48" s="71">
        <f t="shared" si="25"/>
        <v>540</v>
      </c>
      <c r="AC48" s="72">
        <f t="shared" ca="1" si="21"/>
        <v>61941</v>
      </c>
      <c r="AD48" s="78">
        <f t="shared" ca="1" si="22"/>
        <v>32242984.770034738</v>
      </c>
      <c r="AE48" s="82">
        <f t="shared" si="23"/>
        <v>6.2119483245128636E-2</v>
      </c>
      <c r="AF48" s="83">
        <f t="shared" si="24"/>
        <v>0.93788051675487139</v>
      </c>
    </row>
    <row r="49" spans="2:32" x14ac:dyDescent="0.2">
      <c r="B49" s="17">
        <f t="shared" ca="1" si="4"/>
        <v>46844</v>
      </c>
      <c r="C49" s="9">
        <f t="shared" si="18"/>
        <v>45</v>
      </c>
      <c r="D49" s="9"/>
      <c r="E49" s="13">
        <f t="shared" si="5"/>
        <v>1200.7701176211713</v>
      </c>
      <c r="F49" s="14">
        <f t="shared" si="19"/>
        <v>84480.106800264228</v>
      </c>
      <c r="G49" s="15">
        <f t="shared" si="6"/>
        <v>0.73870959121822077</v>
      </c>
      <c r="H49" s="13">
        <f t="shared" si="7"/>
        <v>1638.2113902311328</v>
      </c>
      <c r="I49" s="13">
        <f t="shared" si="8"/>
        <v>44248.762143787739</v>
      </c>
      <c r="J49" s="15">
        <f t="shared" si="0"/>
        <v>0.26129040878177923</v>
      </c>
      <c r="K49" s="13">
        <f t="shared" si="9"/>
        <v>29881.62317395526</v>
      </c>
      <c r="L49" s="13">
        <f t="shared" si="20"/>
        <v>563435.58533821558</v>
      </c>
      <c r="M49" s="15">
        <f t="shared" si="10"/>
        <v>0.26129040878177917</v>
      </c>
      <c r="N49" s="13">
        <f t="shared" si="1"/>
        <v>473.05405770320579</v>
      </c>
      <c r="O49" s="13">
        <f t="shared" si="11"/>
        <v>14367.138969832522</v>
      </c>
      <c r="P49" s="15">
        <f t="shared" si="2"/>
        <v>0.11160774648052529</v>
      </c>
      <c r="Q49" s="7">
        <f t="shared" si="12"/>
        <v>128728.86894405201</v>
      </c>
      <c r="R49" s="7">
        <f t="shared" si="13"/>
        <v>114361.72997421949</v>
      </c>
      <c r="S49" s="13">
        <f>IF('Calc (2)'!$AD$32="Sim",R49,Q49)</f>
        <v>114361.72997421949</v>
      </c>
      <c r="T49" s="9">
        <f t="shared" si="14"/>
        <v>45</v>
      </c>
      <c r="U49" s="17">
        <f t="shared" ca="1" si="15"/>
        <v>46874</v>
      </c>
      <c r="V49" s="124">
        <f t="shared" si="3"/>
        <v>32242984.770034738</v>
      </c>
      <c r="W49" s="68">
        <v>45</v>
      </c>
      <c r="X49" s="125">
        <f t="shared" ca="1" si="16"/>
        <v>61941</v>
      </c>
      <c r="Y49" s="5">
        <f t="shared" si="17"/>
        <v>540</v>
      </c>
      <c r="AA49" s="76">
        <v>50</v>
      </c>
      <c r="AB49" s="19">
        <f t="shared" si="25"/>
        <v>600</v>
      </c>
      <c r="AC49" s="23">
        <f t="shared" ca="1" si="21"/>
        <v>63767</v>
      </c>
      <c r="AD49" s="79">
        <f t="shared" ca="1" si="22"/>
        <v>57015315.965651169</v>
      </c>
      <c r="AE49" s="84">
        <f t="shared" si="23"/>
        <v>4.5859728453317282E-2</v>
      </c>
      <c r="AF49" s="85">
        <f t="shared" si="24"/>
        <v>0.95414027154668268</v>
      </c>
    </row>
    <row r="50" spans="2:32" x14ac:dyDescent="0.2">
      <c r="B50" s="17">
        <f t="shared" ca="1" si="4"/>
        <v>46874</v>
      </c>
      <c r="C50" s="9">
        <f t="shared" si="18"/>
        <v>46</v>
      </c>
      <c r="D50" s="9"/>
      <c r="E50" s="13">
        <f t="shared" si="5"/>
        <v>1205.662203716066</v>
      </c>
      <c r="F50" s="14">
        <f t="shared" si="19"/>
        <v>85685.769003980298</v>
      </c>
      <c r="G50" s="15">
        <f t="shared" si="6"/>
        <v>0.73460075350491261</v>
      </c>
      <c r="H50" s="13">
        <f t="shared" si="7"/>
        <v>1675.155198328318</v>
      </c>
      <c r="I50" s="13">
        <f t="shared" si="8"/>
        <v>45923.917342116059</v>
      </c>
      <c r="J50" s="15">
        <f t="shared" si="0"/>
        <v>0.26539924649508739</v>
      </c>
      <c r="K50" s="13">
        <f t="shared" si="9"/>
        <v>30956.867959238225</v>
      </c>
      <c r="L50" s="13">
        <f t="shared" si="20"/>
        <v>594392.45329745382</v>
      </c>
      <c r="M50" s="15">
        <f t="shared" si="10"/>
        <v>0.26539924649508739</v>
      </c>
      <c r="N50" s="13">
        <f t="shared" si="1"/>
        <v>483.64051257318056</v>
      </c>
      <c r="O50" s="13">
        <f t="shared" si="11"/>
        <v>14967.049382877871</v>
      </c>
      <c r="P50" s="15">
        <f t="shared" si="2"/>
        <v>0.11372300776949462</v>
      </c>
      <c r="Q50" s="7">
        <f t="shared" si="12"/>
        <v>131609.68634609639</v>
      </c>
      <c r="R50" s="7">
        <f t="shared" si="13"/>
        <v>116642.63696321852</v>
      </c>
      <c r="S50" s="13">
        <f>IF('Calc (2)'!$AD$32="Sim",R50,Q50)</f>
        <v>116642.63696321852</v>
      </c>
      <c r="T50" s="9">
        <f t="shared" si="14"/>
        <v>46</v>
      </c>
      <c r="U50" s="17">
        <f t="shared" ca="1" si="15"/>
        <v>46905</v>
      </c>
      <c r="V50" s="124">
        <f t="shared" si="3"/>
        <v>36150512.989732459</v>
      </c>
      <c r="W50" s="68">
        <v>46</v>
      </c>
      <c r="X50" s="125">
        <f t="shared" ca="1" si="16"/>
        <v>62306</v>
      </c>
      <c r="Y50" s="5">
        <f t="shared" si="17"/>
        <v>552</v>
      </c>
    </row>
    <row r="51" spans="2:32" x14ac:dyDescent="0.2">
      <c r="B51" s="17">
        <f t="shared" ca="1" si="4"/>
        <v>46905</v>
      </c>
      <c r="C51" s="9">
        <f t="shared" si="18"/>
        <v>47</v>
      </c>
      <c r="D51" s="9"/>
      <c r="E51" s="13">
        <f t="shared" si="5"/>
        <v>1210.5742207752714</v>
      </c>
      <c r="F51" s="14">
        <f t="shared" si="19"/>
        <v>86896.343224755576</v>
      </c>
      <c r="G51" s="15">
        <f t="shared" si="6"/>
        <v>0.7305300153905242</v>
      </c>
      <c r="H51" s="13">
        <f t="shared" si="7"/>
        <v>1712.6434190052721</v>
      </c>
      <c r="I51" s="13">
        <f t="shared" si="8"/>
        <v>47636.560761121335</v>
      </c>
      <c r="J51" s="15">
        <f t="shared" si="0"/>
        <v>0.2694699846094758</v>
      </c>
      <c r="K51" s="13">
        <f t="shared" si="9"/>
        <v>32053.380118648492</v>
      </c>
      <c r="L51" s="13">
        <f t="shared" si="20"/>
        <v>626445.83341610234</v>
      </c>
      <c r="M51" s="15">
        <f t="shared" si="10"/>
        <v>0.26946998460947574</v>
      </c>
      <c r="N51" s="13">
        <f t="shared" si="1"/>
        <v>494.38278023536895</v>
      </c>
      <c r="O51" s="13">
        <f t="shared" si="11"/>
        <v>15583.180642472871</v>
      </c>
      <c r="P51" s="15">
        <f t="shared" si="2"/>
        <v>0.11583174212985672</v>
      </c>
      <c r="Q51" s="7">
        <f t="shared" si="12"/>
        <v>134532.90398587694</v>
      </c>
      <c r="R51" s="7">
        <f t="shared" si="13"/>
        <v>118949.72334340407</v>
      </c>
      <c r="S51" s="13">
        <f>IF('Calc (2)'!$AD$32="Sim",R51,Q51)</f>
        <v>118949.72334340407</v>
      </c>
      <c r="T51" s="9">
        <f t="shared" si="14"/>
        <v>47</v>
      </c>
      <c r="U51" s="17">
        <f t="shared" ca="1" si="15"/>
        <v>46935</v>
      </c>
      <c r="V51" s="124">
        <f t="shared" si="3"/>
        <v>40523223.045996182</v>
      </c>
      <c r="W51" s="68">
        <v>47</v>
      </c>
      <c r="X51" s="125">
        <f t="shared" ca="1" si="16"/>
        <v>62671</v>
      </c>
      <c r="Y51" s="5">
        <f t="shared" si="17"/>
        <v>564</v>
      </c>
    </row>
    <row r="52" spans="2:32" x14ac:dyDescent="0.2">
      <c r="B52" s="17">
        <f t="shared" ca="1" si="4"/>
        <v>46935</v>
      </c>
      <c r="C52" s="9">
        <f t="shared" si="18"/>
        <v>48</v>
      </c>
      <c r="D52" s="9">
        <v>4</v>
      </c>
      <c r="E52" s="13">
        <f t="shared" si="5"/>
        <v>1215.5062500000035</v>
      </c>
      <c r="F52" s="14">
        <f t="shared" si="19"/>
        <v>88111.849474755581</v>
      </c>
      <c r="G52" s="15">
        <f t="shared" si="6"/>
        <v>0.72649642367761835</v>
      </c>
      <c r="H52" s="13">
        <f t="shared" si="7"/>
        <v>1750.683396092709</v>
      </c>
      <c r="I52" s="13">
        <f t="shared" si="8"/>
        <v>49387.244157214045</v>
      </c>
      <c r="J52" s="15">
        <f t="shared" si="0"/>
        <v>0.27350357632238165</v>
      </c>
      <c r="K52" s="13">
        <f t="shared" si="9"/>
        <v>33171.403412742569</v>
      </c>
      <c r="L52" s="13">
        <f t="shared" si="20"/>
        <v>659617.23682884488</v>
      </c>
      <c r="M52" s="15">
        <f t="shared" si="10"/>
        <v>0.2735035763223817</v>
      </c>
      <c r="N52" s="13">
        <f t="shared" si="1"/>
        <v>505.28296183030886</v>
      </c>
      <c r="O52" s="13">
        <f t="shared" si="11"/>
        <v>16215.840744471498</v>
      </c>
      <c r="P52" s="15">
        <f t="shared" si="2"/>
        <v>0.11793416462711274</v>
      </c>
      <c r="Q52" s="7">
        <f t="shared" si="12"/>
        <v>137499.09363196965</v>
      </c>
      <c r="R52" s="7">
        <f t="shared" si="13"/>
        <v>121283.25288749815</v>
      </c>
      <c r="S52" s="13">
        <f>IF('Calc (2)'!$AD$32="Sim",R52,Q52)</f>
        <v>121283.25288749815</v>
      </c>
      <c r="T52" s="9">
        <f t="shared" si="14"/>
        <v>48</v>
      </c>
      <c r="U52" s="17">
        <f t="shared" ca="1" si="15"/>
        <v>46966</v>
      </c>
      <c r="V52" s="124">
        <f t="shared" si="3"/>
        <v>45416087.733824499</v>
      </c>
      <c r="W52" s="68">
        <v>48</v>
      </c>
      <c r="X52" s="125">
        <f t="shared" ca="1" si="16"/>
        <v>63037</v>
      </c>
      <c r="Y52" s="5">
        <f t="shared" si="17"/>
        <v>576</v>
      </c>
    </row>
    <row r="53" spans="2:32" x14ac:dyDescent="0.2">
      <c r="B53" s="17">
        <f t="shared" ca="1" si="4"/>
        <v>46966</v>
      </c>
      <c r="C53" s="9">
        <f t="shared" si="18"/>
        <v>49</v>
      </c>
      <c r="D53" s="9"/>
      <c r="E53" s="13">
        <f t="shared" si="5"/>
        <v>1220.4583729223018</v>
      </c>
      <c r="F53" s="14">
        <f t="shared" si="19"/>
        <v>89332.30784767789</v>
      </c>
      <c r="G53" s="15">
        <f t="shared" si="6"/>
        <v>0.72249906947431697</v>
      </c>
      <c r="H53" s="13">
        <f t="shared" si="7"/>
        <v>1789.282570043654</v>
      </c>
      <c r="I53" s="13">
        <f t="shared" si="8"/>
        <v>51176.526727257697</v>
      </c>
      <c r="J53" s="15">
        <f t="shared" si="0"/>
        <v>0.27750093052568303</v>
      </c>
      <c r="K53" s="13">
        <f t="shared" si="9"/>
        <v>34311.184056990125</v>
      </c>
      <c r="L53" s="13">
        <f t="shared" si="20"/>
        <v>693928.42088583496</v>
      </c>
      <c r="M53" s="15">
        <f t="shared" si="10"/>
        <v>0.27750093052568298</v>
      </c>
      <c r="N53" s="13">
        <f t="shared" si="1"/>
        <v>516.34318614039989</v>
      </c>
      <c r="O53" s="13">
        <f t="shared" si="11"/>
        <v>16865.342670267593</v>
      </c>
      <c r="P53" s="15">
        <f t="shared" si="2"/>
        <v>0.12003047866198788</v>
      </c>
      <c r="Q53" s="7">
        <f t="shared" si="12"/>
        <v>140508.83457493561</v>
      </c>
      <c r="R53" s="7">
        <f t="shared" si="13"/>
        <v>123643.49190466802</v>
      </c>
      <c r="S53" s="13">
        <f>IF('Calc (2)'!$AD$32="Sim",R53,Q53)</f>
        <v>123643.49190466802</v>
      </c>
      <c r="T53" s="9">
        <f t="shared" si="14"/>
        <v>49</v>
      </c>
      <c r="U53" s="17">
        <f t="shared" ca="1" si="15"/>
        <v>46997</v>
      </c>
      <c r="V53" s="124">
        <f t="shared" si="3"/>
        <v>50890556.207549833</v>
      </c>
      <c r="W53" s="68">
        <v>49</v>
      </c>
      <c r="X53" s="125">
        <f t="shared" ca="1" si="16"/>
        <v>63402</v>
      </c>
      <c r="Y53" s="5">
        <f t="shared" si="17"/>
        <v>588</v>
      </c>
    </row>
    <row r="54" spans="2:32" x14ac:dyDescent="0.2">
      <c r="B54" s="17">
        <f t="shared" ca="1" si="4"/>
        <v>46997</v>
      </c>
      <c r="C54" s="9">
        <f t="shared" si="18"/>
        <v>50</v>
      </c>
      <c r="D54" s="9"/>
      <c r="E54" s="13">
        <f t="shared" si="5"/>
        <v>1225.4306714063773</v>
      </c>
      <c r="F54" s="14">
        <f t="shared" si="19"/>
        <v>90557.738519084261</v>
      </c>
      <c r="G54" s="15">
        <f t="shared" si="6"/>
        <v>0.71853708550556172</v>
      </c>
      <c r="H54" s="13">
        <f t="shared" si="7"/>
        <v>1828.4484791950988</v>
      </c>
      <c r="I54" s="13">
        <f t="shared" si="8"/>
        <v>53004.975206452793</v>
      </c>
      <c r="J54" s="15">
        <f t="shared" si="0"/>
        <v>0.28146291449443828</v>
      </c>
      <c r="K54" s="13">
        <f t="shared" si="9"/>
        <v>35472.970745376268</v>
      </c>
      <c r="L54" s="13">
        <f t="shared" si="20"/>
        <v>729401.39163121127</v>
      </c>
      <c r="M54" s="15">
        <f t="shared" si="10"/>
        <v>0.28146291449443833</v>
      </c>
      <c r="N54" s="13">
        <f t="shared" si="1"/>
        <v>527.56560995082828</v>
      </c>
      <c r="O54" s="13">
        <f t="shared" si="11"/>
        <v>17532.004461076562</v>
      </c>
      <c r="P54" s="15">
        <f t="shared" si="2"/>
        <v>0.12212087669639773</v>
      </c>
      <c r="Q54" s="7">
        <f t="shared" si="12"/>
        <v>143562.71372553709</v>
      </c>
      <c r="R54" s="7">
        <f t="shared" si="13"/>
        <v>126030.70926446053</v>
      </c>
      <c r="S54" s="13">
        <f>IF('Calc (2)'!$AD$32="Sim",R54,Q54)</f>
        <v>126030.70926446053</v>
      </c>
      <c r="T54" s="9">
        <f t="shared" si="14"/>
        <v>50</v>
      </c>
      <c r="U54" s="17">
        <f t="shared" ca="1" si="15"/>
        <v>47027</v>
      </c>
      <c r="V54" s="124">
        <f t="shared" si="3"/>
        <v>57015315.965651169</v>
      </c>
      <c r="W54" s="68">
        <v>50</v>
      </c>
      <c r="X54" s="125">
        <f t="shared" ca="1" si="16"/>
        <v>63767</v>
      </c>
      <c r="Y54" s="5">
        <f t="shared" si="17"/>
        <v>600</v>
      </c>
    </row>
    <row r="55" spans="2:32" x14ac:dyDescent="0.2">
      <c r="B55" s="17">
        <f t="shared" ca="1" si="4"/>
        <v>47027</v>
      </c>
      <c r="C55" s="9">
        <f t="shared" si="18"/>
        <v>51</v>
      </c>
      <c r="D55" s="9"/>
      <c r="E55" s="13">
        <f t="shared" si="5"/>
        <v>1230.4232276499663</v>
      </c>
      <c r="F55" s="14">
        <f t="shared" si="19"/>
        <v>91788.161746734229</v>
      </c>
      <c r="G55" s="15">
        <f t="shared" si="6"/>
        <v>0.71460964361878088</v>
      </c>
      <c r="H55" s="13">
        <f t="shared" si="7"/>
        <v>1868.1887610460947</v>
      </c>
      <c r="I55" s="13">
        <f t="shared" si="8"/>
        <v>54873.163967498891</v>
      </c>
      <c r="J55" s="15">
        <f t="shared" si="0"/>
        <v>0.28539035638121912</v>
      </c>
      <c r="K55" s="13">
        <f t="shared" si="9"/>
        <v>36657.014674226564</v>
      </c>
      <c r="L55" s="13">
        <f t="shared" si="20"/>
        <v>766058.40630543779</v>
      </c>
      <c r="M55" s="15">
        <f t="shared" si="10"/>
        <v>0.28539035638121912</v>
      </c>
      <c r="N55" s="13">
        <f t="shared" si="1"/>
        <v>538.95241841519498</v>
      </c>
      <c r="O55" s="13">
        <f t="shared" si="11"/>
        <v>18216.149293272363</v>
      </c>
      <c r="P55" s="15">
        <f t="shared" si="2"/>
        <v>0.12420554092608019</v>
      </c>
      <c r="Q55" s="7">
        <f t="shared" si="12"/>
        <v>146661.32571423316</v>
      </c>
      <c r="R55" s="7">
        <f t="shared" si="13"/>
        <v>128445.17642096079</v>
      </c>
      <c r="S55" s="13">
        <f>IF('Calc (2)'!$AD$32="Sim",R55,Q55)</f>
        <v>128445.17642096079</v>
      </c>
      <c r="T55" s="9">
        <f t="shared" si="14"/>
        <v>51</v>
      </c>
      <c r="U55" s="17">
        <f t="shared" ca="1" si="15"/>
        <v>47058</v>
      </c>
      <c r="V55" s="22"/>
      <c r="W55" s="22"/>
      <c r="X55" s="22"/>
    </row>
    <row r="56" spans="2:32" x14ac:dyDescent="0.2">
      <c r="B56" s="17">
        <f t="shared" ca="1" si="4"/>
        <v>47058</v>
      </c>
      <c r="C56" s="9">
        <f t="shared" si="18"/>
        <v>52</v>
      </c>
      <c r="D56" s="9"/>
      <c r="E56" s="13">
        <f t="shared" si="5"/>
        <v>1235.4361241856884</v>
      </c>
      <c r="F56" s="14">
        <f t="shared" si="19"/>
        <v>93023.597870919912</v>
      </c>
      <c r="G56" s="15">
        <f t="shared" si="6"/>
        <v>0.71071595246775732</v>
      </c>
      <c r="H56" s="13">
        <f t="shared" si="7"/>
        <v>1908.5111535524923</v>
      </c>
      <c r="I56" s="13">
        <f t="shared" si="8"/>
        <v>56781.675121051383</v>
      </c>
      <c r="J56" s="15">
        <f t="shared" si="0"/>
        <v>0.28928404753224268</v>
      </c>
      <c r="K56" s="13">
        <f t="shared" si="9"/>
        <v>37863.569566256847</v>
      </c>
      <c r="L56" s="13">
        <f t="shared" si="20"/>
        <v>803921.97587169462</v>
      </c>
      <c r="M56" s="15">
        <f t="shared" si="10"/>
        <v>0.28928404753224268</v>
      </c>
      <c r="N56" s="13">
        <f t="shared" si="1"/>
        <v>550.50582542590507</v>
      </c>
      <c r="O56" s="13">
        <f t="shared" si="11"/>
        <v>18918.105554794587</v>
      </c>
      <c r="P56" s="15">
        <f t="shared" si="2"/>
        <v>0.12628464390441371</v>
      </c>
      <c r="Q56" s="7">
        <f t="shared" si="12"/>
        <v>149805.27299197135</v>
      </c>
      <c r="R56" s="7">
        <f t="shared" si="13"/>
        <v>130887.16743717676</v>
      </c>
      <c r="S56" s="13">
        <f>IF('Calc (2)'!$AD$32="Sim",R56,Q56)</f>
        <v>130887.16743717676</v>
      </c>
      <c r="T56" s="9">
        <f t="shared" si="14"/>
        <v>52</v>
      </c>
      <c r="U56" s="17">
        <f t="shared" ca="1" si="15"/>
        <v>47088</v>
      </c>
      <c r="V56" s="22"/>
      <c r="W56" s="22"/>
      <c r="X56" s="22"/>
    </row>
    <row r="57" spans="2:32" x14ac:dyDescent="0.2">
      <c r="B57" s="17">
        <f t="shared" ca="1" si="4"/>
        <v>47088</v>
      </c>
      <c r="C57" s="9">
        <f t="shared" si="18"/>
        <v>53</v>
      </c>
      <c r="D57" s="9"/>
      <c r="E57" s="13">
        <f t="shared" si="5"/>
        <v>1240.4694438824117</v>
      </c>
      <c r="F57" s="14">
        <f t="shared" si="19"/>
        <v>94264.06731480232</v>
      </c>
      <c r="G57" s="15">
        <f t="shared" si="6"/>
        <v>0.70685525536001181</v>
      </c>
      <c r="H57" s="13">
        <f t="shared" si="7"/>
        <v>1949.4234964385487</v>
      </c>
      <c r="I57" s="13">
        <f t="shared" si="8"/>
        <v>58731.09861748993</v>
      </c>
      <c r="J57" s="15">
        <f t="shared" si="0"/>
        <v>0.29314474463998819</v>
      </c>
      <c r="K57" s="13">
        <f t="shared" si="9"/>
        <v>39092.891694849852</v>
      </c>
      <c r="L57" s="13">
        <f t="shared" si="20"/>
        <v>843014.86756654445</v>
      </c>
      <c r="M57" s="15">
        <f t="shared" si="10"/>
        <v>0.29314474463998813</v>
      </c>
      <c r="N57" s="13">
        <f t="shared" si="1"/>
        <v>562.22807398938369</v>
      </c>
      <c r="O57" s="13">
        <f t="shared" si="11"/>
        <v>19638.206922640122</v>
      </c>
      <c r="P57" s="15">
        <f t="shared" si="2"/>
        <v>0.12835834912150734</v>
      </c>
      <c r="Q57" s="7">
        <f t="shared" si="12"/>
        <v>152995.16593229229</v>
      </c>
      <c r="R57" s="7">
        <f t="shared" si="13"/>
        <v>133356.95900965217</v>
      </c>
      <c r="S57" s="13">
        <f>IF('Calc (2)'!$AD$32="Sim",R57,Q57)</f>
        <v>133356.95900965217</v>
      </c>
      <c r="T57" s="9">
        <f t="shared" si="14"/>
        <v>53</v>
      </c>
      <c r="U57" s="17">
        <f t="shared" ca="1" si="15"/>
        <v>47119</v>
      </c>
      <c r="V57" s="22"/>
      <c r="W57" s="22"/>
      <c r="X57" s="22"/>
    </row>
    <row r="58" spans="2:32" x14ac:dyDescent="0.2">
      <c r="B58" s="17">
        <f t="shared" ca="1" si="4"/>
        <v>47119</v>
      </c>
      <c r="C58" s="9">
        <f t="shared" si="18"/>
        <v>54</v>
      </c>
      <c r="D58" s="9"/>
      <c r="E58" s="13">
        <f t="shared" si="5"/>
        <v>1245.5232699466221</v>
      </c>
      <c r="F58" s="14">
        <f t="shared" si="19"/>
        <v>95509.590584748948</v>
      </c>
      <c r="G58" s="15">
        <f t="shared" si="6"/>
        <v>0.70302682825438656</v>
      </c>
      <c r="H58" s="13">
        <f t="shared" si="7"/>
        <v>1990.9337325256215</v>
      </c>
      <c r="I58" s="13">
        <f t="shared" si="8"/>
        <v>60722.03235001555</v>
      </c>
      <c r="J58" s="15">
        <f t="shared" si="0"/>
        <v>0.29697317174561344</v>
      </c>
      <c r="K58" s="13">
        <f t="shared" si="9"/>
        <v>40345.239908560907</v>
      </c>
      <c r="L58" s="13">
        <f t="shared" si="20"/>
        <v>883360.10747510532</v>
      </c>
      <c r="M58" s="15">
        <f t="shared" si="10"/>
        <v>0.29697317174561344</v>
      </c>
      <c r="N58" s="13">
        <f t="shared" si="1"/>
        <v>574.12143660617835</v>
      </c>
      <c r="O58" s="13">
        <f t="shared" si="11"/>
        <v>20376.792441454687</v>
      </c>
      <c r="P58" s="15">
        <f t="shared" si="2"/>
        <v>0.13042681154226465</v>
      </c>
      <c r="Q58" s="7">
        <f t="shared" si="12"/>
        <v>156231.62293476454</v>
      </c>
      <c r="R58" s="7">
        <f t="shared" si="13"/>
        <v>135854.83049330986</v>
      </c>
      <c r="S58" s="13">
        <f>IF('Calc (2)'!$AD$32="Sim",R58,Q58)</f>
        <v>135854.83049330986</v>
      </c>
      <c r="T58" s="9">
        <f t="shared" si="14"/>
        <v>54</v>
      </c>
      <c r="U58" s="17">
        <f t="shared" ca="1" si="15"/>
        <v>47150</v>
      </c>
      <c r="V58" s="22"/>
      <c r="W58" s="22"/>
      <c r="X58" s="22"/>
    </row>
    <row r="59" spans="2:32" x14ac:dyDescent="0.2">
      <c r="B59" s="17">
        <f t="shared" ca="1" si="4"/>
        <v>47150</v>
      </c>
      <c r="C59" s="9">
        <f t="shared" si="18"/>
        <v>55</v>
      </c>
      <c r="D59" s="9"/>
      <c r="E59" s="13">
        <f t="shared" si="5"/>
        <v>1250.5976859237992</v>
      </c>
      <c r="F59" s="14">
        <f t="shared" si="19"/>
        <v>96760.188270672748</v>
      </c>
      <c r="G59" s="15">
        <f t="shared" si="6"/>
        <v>0.69922997789673647</v>
      </c>
      <c r="H59" s="13">
        <f t="shared" si="7"/>
        <v>2033.0499090781691</v>
      </c>
      <c r="I59" s="13">
        <f t="shared" si="8"/>
        <v>62755.082259093717</v>
      </c>
      <c r="J59" s="15">
        <f t="shared" si="0"/>
        <v>0.30077002210326353</v>
      </c>
      <c r="K59" s="13">
        <f t="shared" si="9"/>
        <v>41620.875655854819</v>
      </c>
      <c r="L59" s="13">
        <f t="shared" si="20"/>
        <v>924980.98313096014</v>
      </c>
      <c r="M59" s="15">
        <f t="shared" si="10"/>
        <v>0.30077002210326353</v>
      </c>
      <c r="N59" s="13">
        <f t="shared" si="1"/>
        <v>586.18821565601343</v>
      </c>
      <c r="O59" s="13">
        <f t="shared" si="11"/>
        <v>21134.206603238941</v>
      </c>
      <c r="P59" s="15">
        <f t="shared" si="2"/>
        <v>0.1324901781067736</v>
      </c>
      <c r="Q59" s="7">
        <f t="shared" si="12"/>
        <v>159515.27052976651</v>
      </c>
      <c r="R59" s="7">
        <f t="shared" si="13"/>
        <v>138381.06392652757</v>
      </c>
      <c r="S59" s="13">
        <f>IF('Calc (2)'!$AD$32="Sim",R59,Q59)</f>
        <v>138381.06392652757</v>
      </c>
      <c r="T59" s="9">
        <f t="shared" si="14"/>
        <v>55</v>
      </c>
      <c r="U59" s="17">
        <f t="shared" ca="1" si="15"/>
        <v>47178</v>
      </c>
      <c r="V59" s="22"/>
      <c r="W59" s="22"/>
      <c r="X59" s="22"/>
    </row>
    <row r="60" spans="2:32" x14ac:dyDescent="0.2">
      <c r="B60" s="17">
        <f t="shared" ca="1" si="4"/>
        <v>47178</v>
      </c>
      <c r="C60" s="9">
        <f t="shared" si="18"/>
        <v>56</v>
      </c>
      <c r="D60" s="9"/>
      <c r="E60" s="13">
        <f t="shared" si="5"/>
        <v>1255.692775699797</v>
      </c>
      <c r="F60" s="14">
        <f t="shared" si="19"/>
        <v>98015.881046372539</v>
      </c>
      <c r="G60" s="15">
        <f t="shared" si="6"/>
        <v>0.69546404008273843</v>
      </c>
      <c r="H60" s="13">
        <f t="shared" si="7"/>
        <v>2075.7801791672855</v>
      </c>
      <c r="I60" s="13">
        <f t="shared" si="8"/>
        <v>64830.862438261</v>
      </c>
      <c r="J60" s="15">
        <f t="shared" si="0"/>
        <v>0.30453595991726157</v>
      </c>
      <c r="K60" s="13">
        <f t="shared" si="9"/>
        <v>42920.063010076046</v>
      </c>
      <c r="L60" s="13">
        <f t="shared" si="20"/>
        <v>967901.0461410362</v>
      </c>
      <c r="M60" s="15">
        <f t="shared" si="10"/>
        <v>0.30453595991726157</v>
      </c>
      <c r="N60" s="13">
        <f t="shared" si="1"/>
        <v>598.43074378786014</v>
      </c>
      <c r="O60" s="13">
        <f t="shared" si="11"/>
        <v>21910.799428185011</v>
      </c>
      <c r="P60" s="15">
        <f t="shared" si="2"/>
        <v>0.13454858819606999</v>
      </c>
      <c r="Q60" s="7">
        <f t="shared" si="12"/>
        <v>162846.7434846336</v>
      </c>
      <c r="R60" s="7">
        <f t="shared" si="13"/>
        <v>140935.94405644858</v>
      </c>
      <c r="S60" s="13">
        <f>IF('Calc (2)'!$AD$32="Sim",R60,Q60)</f>
        <v>140935.94405644858</v>
      </c>
      <c r="T60" s="9">
        <f t="shared" si="14"/>
        <v>56</v>
      </c>
      <c r="U60" s="17">
        <f t="shared" ca="1" si="15"/>
        <v>47209</v>
      </c>
      <c r="V60" s="22"/>
      <c r="W60" s="22"/>
      <c r="X60" s="22"/>
    </row>
    <row r="61" spans="2:32" x14ac:dyDescent="0.2">
      <c r="B61" s="17">
        <f t="shared" ca="1" si="4"/>
        <v>47209</v>
      </c>
      <c r="C61" s="9">
        <f t="shared" si="18"/>
        <v>57</v>
      </c>
      <c r="D61" s="9"/>
      <c r="E61" s="13">
        <f t="shared" si="5"/>
        <v>1260.8086235022311</v>
      </c>
      <c r="F61" s="14">
        <f t="shared" si="19"/>
        <v>99276.689669874773</v>
      </c>
      <c r="G61" s="15">
        <f t="shared" si="6"/>
        <v>0.69172837803781484</v>
      </c>
      <c r="H61" s="13">
        <f t="shared" si="7"/>
        <v>2119.1328030519971</v>
      </c>
      <c r="I61" s="13">
        <f t="shared" si="8"/>
        <v>66949.995241312994</v>
      </c>
      <c r="J61" s="15">
        <f t="shared" si="0"/>
        <v>0.30827162196218516</v>
      </c>
      <c r="K61" s="13">
        <f t="shared" si="9"/>
        <v>44243.068694654256</v>
      </c>
      <c r="L61" s="13">
        <f t="shared" si="20"/>
        <v>1012144.1148356905</v>
      </c>
      <c r="M61" s="15">
        <f t="shared" si="10"/>
        <v>0.30827162196218516</v>
      </c>
      <c r="N61" s="13">
        <f t="shared" si="1"/>
        <v>610.85138431508756</v>
      </c>
      <c r="O61" s="13">
        <f t="shared" si="11"/>
        <v>22706.926546658797</v>
      </c>
      <c r="P61" s="15">
        <f t="shared" si="2"/>
        <v>0.13660217406603958</v>
      </c>
      <c r="Q61" s="7">
        <f t="shared" si="12"/>
        <v>166226.68491118783</v>
      </c>
      <c r="R61" s="7">
        <f t="shared" si="13"/>
        <v>143519.75836452903</v>
      </c>
      <c r="S61" s="13">
        <f>IF('Calc (2)'!$AD$32="Sim",R61,Q61)</f>
        <v>143519.75836452903</v>
      </c>
      <c r="T61" s="9">
        <f t="shared" si="14"/>
        <v>57</v>
      </c>
      <c r="U61" s="17">
        <f t="shared" ca="1" si="15"/>
        <v>47239</v>
      </c>
      <c r="V61" s="22"/>
      <c r="W61" s="22"/>
      <c r="X61" s="22"/>
    </row>
    <row r="62" spans="2:32" x14ac:dyDescent="0.2">
      <c r="B62" s="17">
        <f t="shared" ca="1" si="4"/>
        <v>47239</v>
      </c>
      <c r="C62" s="9">
        <f t="shared" si="18"/>
        <v>58</v>
      </c>
      <c r="D62" s="9"/>
      <c r="E62" s="13">
        <f t="shared" si="5"/>
        <v>1265.9453139018703</v>
      </c>
      <c r="F62" s="14">
        <f t="shared" si="19"/>
        <v>100542.63498377665</v>
      </c>
      <c r="G62" s="15">
        <f t="shared" si="6"/>
        <v>0.68802238090505652</v>
      </c>
      <c r="H62" s="13">
        <f t="shared" si="7"/>
        <v>2163.1161495785509</v>
      </c>
      <c r="I62" s="13">
        <f t="shared" si="8"/>
        <v>69113.111390891543</v>
      </c>
      <c r="J62" s="15">
        <f t="shared" si="0"/>
        <v>0.31197761909494348</v>
      </c>
      <c r="K62" s="13">
        <f t="shared" si="9"/>
        <v>45590.162108547884</v>
      </c>
      <c r="L62" s="13">
        <f t="shared" si="20"/>
        <v>1057734.2769442385</v>
      </c>
      <c r="M62" s="15">
        <f t="shared" si="10"/>
        <v>0.31197761909494348</v>
      </c>
      <c r="N62" s="13">
        <f t="shared" si="1"/>
        <v>623.45253161576125</v>
      </c>
      <c r="O62" s="13">
        <f t="shared" si="11"/>
        <v>23522.949282343732</v>
      </c>
      <c r="P62" s="15">
        <f t="shared" si="2"/>
        <v>0.1386510612519754</v>
      </c>
      <c r="Q62" s="7">
        <f t="shared" si="12"/>
        <v>169655.74637466826</v>
      </c>
      <c r="R62" s="7">
        <f t="shared" si="13"/>
        <v>146132.79709232453</v>
      </c>
      <c r="S62" s="13">
        <f>IF('Calc (2)'!$AD$32="Sim",R62,Q62)</f>
        <v>146132.79709232453</v>
      </c>
      <c r="T62" s="9">
        <f t="shared" si="14"/>
        <v>58</v>
      </c>
      <c r="U62" s="17">
        <f t="shared" ca="1" si="15"/>
        <v>47270</v>
      </c>
      <c r="V62" s="22"/>
      <c r="W62" s="22"/>
      <c r="X62" s="22"/>
    </row>
    <row r="63" spans="2:32" x14ac:dyDescent="0.2">
      <c r="B63" s="17">
        <f t="shared" ca="1" si="4"/>
        <v>47270</v>
      </c>
      <c r="C63" s="9">
        <f t="shared" si="18"/>
        <v>59</v>
      </c>
      <c r="D63" s="9"/>
      <c r="E63" s="13">
        <f t="shared" si="5"/>
        <v>1271.1029318140361</v>
      </c>
      <c r="F63" s="14">
        <f t="shared" si="19"/>
        <v>101813.73791559068</v>
      </c>
      <c r="G63" s="15">
        <f t="shared" si="6"/>
        <v>0.68434546233283666</v>
      </c>
      <c r="H63" s="13">
        <f t="shared" si="7"/>
        <v>2207.7386975979316</v>
      </c>
      <c r="I63" s="13">
        <f t="shared" si="8"/>
        <v>71320.850088489475</v>
      </c>
      <c r="J63" s="15">
        <f t="shared" si="0"/>
        <v>0.31565453766716334</v>
      </c>
      <c r="K63" s="13">
        <f t="shared" si="9"/>
        <v>46961.615351927278</v>
      </c>
      <c r="L63" s="13">
        <f t="shared" si="20"/>
        <v>1104695.8922961657</v>
      </c>
      <c r="M63" s="15">
        <f t="shared" si="10"/>
        <v>0.31565453766716334</v>
      </c>
      <c r="N63" s="13">
        <f t="shared" si="1"/>
        <v>636.23661153815533</v>
      </c>
      <c r="O63" s="13">
        <f t="shared" si="11"/>
        <v>24359.23473656227</v>
      </c>
      <c r="P63" s="15">
        <f t="shared" si="2"/>
        <v>0.14069536894608373</v>
      </c>
      <c r="Q63" s="7">
        <f t="shared" si="12"/>
        <v>173134.58800408023</v>
      </c>
      <c r="R63" s="7">
        <f t="shared" si="13"/>
        <v>148775.35326751796</v>
      </c>
      <c r="S63" s="13">
        <f>IF('Calc (2)'!$AD$32="Sim",R63,Q63)</f>
        <v>148775.35326751796</v>
      </c>
      <c r="T63" s="9">
        <f t="shared" si="14"/>
        <v>59</v>
      </c>
      <c r="U63" s="17">
        <f t="shared" ca="1" si="15"/>
        <v>47300</v>
      </c>
      <c r="V63" s="22"/>
      <c r="W63" s="22"/>
      <c r="X63" s="22"/>
    </row>
    <row r="64" spans="2:32" x14ac:dyDescent="0.2">
      <c r="B64" s="17">
        <f t="shared" ca="1" si="4"/>
        <v>47300</v>
      </c>
      <c r="C64" s="9">
        <f t="shared" si="18"/>
        <v>60</v>
      </c>
      <c r="D64" s="9">
        <v>5</v>
      </c>
      <c r="E64" s="13">
        <f t="shared" si="5"/>
        <v>1276.2815625000048</v>
      </c>
      <c r="F64" s="14">
        <f t="shared" si="19"/>
        <v>103090.01947809069</v>
      </c>
      <c r="G64" s="15">
        <f t="shared" si="6"/>
        <v>0.68069705915452372</v>
      </c>
      <c r="H64" s="13">
        <f t="shared" si="7"/>
        <v>2253.0090374018432</v>
      </c>
      <c r="I64" s="13">
        <f t="shared" si="8"/>
        <v>73573.859125891322</v>
      </c>
      <c r="J64" s="15">
        <f t="shared" si="0"/>
        <v>0.31930294084547628</v>
      </c>
      <c r="K64" s="13">
        <f t="shared" si="9"/>
        <v>48357.70325210024</v>
      </c>
      <c r="L64" s="13">
        <f t="shared" si="20"/>
        <v>1153053.5955482658</v>
      </c>
      <c r="M64" s="15">
        <f t="shared" si="10"/>
        <v>0.31930294084547622</v>
      </c>
      <c r="N64" s="13">
        <f t="shared" si="1"/>
        <v>649.20608181154807</v>
      </c>
      <c r="O64" s="13">
        <f t="shared" si="11"/>
        <v>25216.15587379114</v>
      </c>
      <c r="P64" s="15">
        <f t="shared" si="2"/>
        <v>0.1427352103500277</v>
      </c>
      <c r="Q64" s="7">
        <f t="shared" si="12"/>
        <v>176663.87860398207</v>
      </c>
      <c r="R64" s="7">
        <f t="shared" si="13"/>
        <v>151447.72273019093</v>
      </c>
      <c r="S64" s="13">
        <f>IF('Calc (2)'!$AD$32="Sim",R64,Q64)</f>
        <v>151447.72273019093</v>
      </c>
      <c r="T64" s="9">
        <f t="shared" si="14"/>
        <v>60</v>
      </c>
      <c r="U64" s="17">
        <f t="shared" ca="1" si="15"/>
        <v>47331</v>
      </c>
      <c r="V64" s="22"/>
      <c r="W64" s="22"/>
      <c r="X64" s="22"/>
    </row>
    <row r="65" spans="2:24" x14ac:dyDescent="0.2">
      <c r="B65" s="17">
        <f t="shared" ca="1" si="4"/>
        <v>47331</v>
      </c>
      <c r="C65" s="9">
        <f t="shared" si="18"/>
        <v>61</v>
      </c>
      <c r="D65" s="9"/>
      <c r="E65" s="13">
        <f t="shared" si="5"/>
        <v>1281.4812915684181</v>
      </c>
      <c r="F65" s="14">
        <f t="shared" si="19"/>
        <v>104371.50076965911</v>
      </c>
      <c r="G65" s="15">
        <f t="shared" si="6"/>
        <v>0.67707663015335962</v>
      </c>
      <c r="H65" s="13">
        <f t="shared" si="7"/>
        <v>2298.9358721773924</v>
      </c>
      <c r="I65" s="13">
        <f t="shared" si="8"/>
        <v>75872.794998068712</v>
      </c>
      <c r="J65" s="15">
        <f t="shared" si="0"/>
        <v>0.32292336984664038</v>
      </c>
      <c r="K65" s="13">
        <f t="shared" si="9"/>
        <v>49778.703389682036</v>
      </c>
      <c r="L65" s="13">
        <f t="shared" si="20"/>
        <v>1202832.298937948</v>
      </c>
      <c r="M65" s="15">
        <f t="shared" si="10"/>
        <v>0.32292336984664033</v>
      </c>
      <c r="N65" s="13">
        <f t="shared" si="1"/>
        <v>662.36343246236663</v>
      </c>
      <c r="O65" s="13">
        <f t="shared" si="11"/>
        <v>26094.091608386749</v>
      </c>
      <c r="P65" s="15">
        <f t="shared" si="2"/>
        <v>0.1447706930044152</v>
      </c>
      <c r="Q65" s="7">
        <f t="shared" si="12"/>
        <v>180244.29576772789</v>
      </c>
      <c r="R65" s="7">
        <f t="shared" si="13"/>
        <v>154150.20415934114</v>
      </c>
      <c r="S65" s="13">
        <f>IF('Calc (2)'!$AD$32="Sim",R65,Q65)</f>
        <v>154150.20415934114</v>
      </c>
      <c r="T65" s="9">
        <f t="shared" si="14"/>
        <v>61</v>
      </c>
      <c r="U65" s="17">
        <f t="shared" ca="1" si="15"/>
        <v>47362</v>
      </c>
      <c r="V65" s="22"/>
      <c r="W65" s="22"/>
      <c r="X65" s="22"/>
    </row>
    <row r="66" spans="2:24" x14ac:dyDescent="0.2">
      <c r="B66" s="17">
        <f t="shared" ca="1" si="4"/>
        <v>47362</v>
      </c>
      <c r="C66" s="9">
        <f t="shared" si="18"/>
        <v>62</v>
      </c>
      <c r="D66" s="9"/>
      <c r="E66" s="13">
        <f t="shared" si="5"/>
        <v>1286.7022049766974</v>
      </c>
      <c r="F66" s="14">
        <f t="shared" si="19"/>
        <v>105658.2029746358</v>
      </c>
      <c r="G66" s="15">
        <f t="shared" si="6"/>
        <v>0.67348365490615847</v>
      </c>
      <c r="H66" s="13">
        <f t="shared" si="7"/>
        <v>2345.528019480726</v>
      </c>
      <c r="I66" s="13">
        <f t="shared" si="8"/>
        <v>78218.323017549439</v>
      </c>
      <c r="J66" s="15">
        <f t="shared" si="0"/>
        <v>0.32651634509384153</v>
      </c>
      <c r="K66" s="13">
        <f t="shared" si="9"/>
        <v>51224.896125011917</v>
      </c>
      <c r="L66" s="13">
        <f t="shared" si="20"/>
        <v>1254057.1950629598</v>
      </c>
      <c r="M66" s="15">
        <f t="shared" si="10"/>
        <v>0.32651634509384153</v>
      </c>
      <c r="N66" s="13">
        <f t="shared" si="1"/>
        <v>675.71118623575364</v>
      </c>
      <c r="O66" s="13">
        <f t="shared" si="11"/>
        <v>26993.426892537595</v>
      </c>
      <c r="P66" s="15">
        <f t="shared" si="2"/>
        <v>0.14680191909697493</v>
      </c>
      <c r="Q66" s="7">
        <f t="shared" si="12"/>
        <v>183876.52599218531</v>
      </c>
      <c r="R66" s="7">
        <f t="shared" si="13"/>
        <v>156883.09909964772</v>
      </c>
      <c r="S66" s="13">
        <f>IF('Calc (2)'!$AD$32="Sim",R66,Q66)</f>
        <v>156883.09909964772</v>
      </c>
      <c r="T66" s="9">
        <f t="shared" si="14"/>
        <v>62</v>
      </c>
      <c r="U66" s="17">
        <f t="shared" ca="1" si="15"/>
        <v>47392</v>
      </c>
      <c r="V66" s="22"/>
      <c r="W66" s="22"/>
      <c r="X66" s="22"/>
    </row>
    <row r="67" spans="2:24" x14ac:dyDescent="0.2">
      <c r="B67" s="17">
        <f t="shared" ca="1" si="4"/>
        <v>47392</v>
      </c>
      <c r="C67" s="9">
        <f t="shared" si="18"/>
        <v>63</v>
      </c>
      <c r="D67" s="9"/>
      <c r="E67" s="13">
        <f t="shared" si="5"/>
        <v>1291.9443890324658</v>
      </c>
      <c r="F67" s="14">
        <f t="shared" si="19"/>
        <v>106950.14736366826</v>
      </c>
      <c r="G67" s="15">
        <f t="shared" si="6"/>
        <v>0.66991763270001392</v>
      </c>
      <c r="H67" s="13">
        <f t="shared" si="7"/>
        <v>2392.7944127298542</v>
      </c>
      <c r="I67" s="13">
        <f t="shared" si="8"/>
        <v>80611.117430279293</v>
      </c>
      <c r="J67" s="15">
        <f t="shared" si="0"/>
        <v>0.33008236729998608</v>
      </c>
      <c r="K67" s="13">
        <f t="shared" si="9"/>
        <v>52696.56462481893</v>
      </c>
      <c r="L67" s="13">
        <f t="shared" si="20"/>
        <v>1306753.7596877788</v>
      </c>
      <c r="M67" s="15">
        <f t="shared" si="10"/>
        <v>0.33008236729998613</v>
      </c>
      <c r="N67" s="13">
        <f t="shared" si="1"/>
        <v>689.25189902262423</v>
      </c>
      <c r="O67" s="13">
        <f t="shared" si="11"/>
        <v>27914.552805460437</v>
      </c>
      <c r="P67" s="15">
        <f t="shared" si="2"/>
        <v>0.14882898575101317</v>
      </c>
      <c r="Q67" s="7">
        <f t="shared" si="12"/>
        <v>187561.26479394763</v>
      </c>
      <c r="R67" s="7">
        <f t="shared" si="13"/>
        <v>159646.71198848719</v>
      </c>
      <c r="S67" s="13">
        <f>IF('Calc (2)'!$AD$32="Sim",R67,Q67)</f>
        <v>159646.71198848719</v>
      </c>
      <c r="T67" s="9">
        <f t="shared" si="14"/>
        <v>63</v>
      </c>
      <c r="U67" s="17">
        <f t="shared" ca="1" si="15"/>
        <v>47423</v>
      </c>
      <c r="V67" s="22"/>
      <c r="W67" s="22"/>
      <c r="X67" s="22"/>
    </row>
    <row r="68" spans="2:24" x14ac:dyDescent="0.2">
      <c r="B68" s="17">
        <f t="shared" ca="1" si="4"/>
        <v>47423</v>
      </c>
      <c r="C68" s="9">
        <f t="shared" si="18"/>
        <v>64</v>
      </c>
      <c r="D68" s="9"/>
      <c r="E68" s="13">
        <f t="shared" si="5"/>
        <v>1297.207930394974</v>
      </c>
      <c r="F68" s="14">
        <f t="shared" si="19"/>
        <v>108247.35529406324</v>
      </c>
      <c r="G68" s="15">
        <f t="shared" si="6"/>
        <v>0.66637808151669098</v>
      </c>
      <c r="H68" s="13">
        <f t="shared" si="7"/>
        <v>2440.7441027169302</v>
      </c>
      <c r="I68" s="13">
        <f t="shared" si="8"/>
        <v>83051.861532996219</v>
      </c>
      <c r="J68" s="15">
        <f t="shared" si="0"/>
        <v>0.33362191848330902</v>
      </c>
      <c r="K68" s="13">
        <f t="shared" si="9"/>
        <v>54193.994889138921</v>
      </c>
      <c r="L68" s="13">
        <f t="shared" si="20"/>
        <v>1360947.7545769177</v>
      </c>
      <c r="M68" s="15">
        <f t="shared" si="10"/>
        <v>0.33362191848330902</v>
      </c>
      <c r="N68" s="13">
        <f t="shared" si="1"/>
        <v>702.9881602922859</v>
      </c>
      <c r="O68" s="13">
        <f t="shared" si="11"/>
        <v>28857.866643857385</v>
      </c>
      <c r="P68" s="15">
        <f t="shared" si="2"/>
        <v>0.15085198529561047</v>
      </c>
      <c r="Q68" s="7">
        <f t="shared" si="12"/>
        <v>191299.21682705954</v>
      </c>
      <c r="R68" s="7">
        <f t="shared" si="13"/>
        <v>162441.35018320216</v>
      </c>
      <c r="S68" s="13">
        <f>IF('Calc (2)'!$AD$32="Sim",R68,Q68)</f>
        <v>162441.35018320216</v>
      </c>
      <c r="T68" s="9">
        <f t="shared" si="14"/>
        <v>64</v>
      </c>
      <c r="U68" s="17">
        <f t="shared" ca="1" si="15"/>
        <v>47453</v>
      </c>
      <c r="V68" s="22"/>
      <c r="W68" s="22"/>
      <c r="X68" s="22"/>
    </row>
    <row r="69" spans="2:24" x14ac:dyDescent="0.2">
      <c r="B69" s="17">
        <f t="shared" ca="1" si="4"/>
        <v>47453</v>
      </c>
      <c r="C69" s="9">
        <f t="shared" si="18"/>
        <v>65</v>
      </c>
      <c r="D69" s="9"/>
      <c r="E69" s="13">
        <f t="shared" si="5"/>
        <v>1302.4929160765334</v>
      </c>
      <c r="F69" s="14">
        <f t="shared" si="19"/>
        <v>109549.84821013977</v>
      </c>
      <c r="G69" s="15">
        <f t="shared" si="6"/>
        <v>0.66286453707981474</v>
      </c>
      <c r="H69" s="13">
        <f t="shared" si="7"/>
        <v>2489.3862591402167</v>
      </c>
      <c r="I69" s="13">
        <f t="shared" si="8"/>
        <v>85541.247792136433</v>
      </c>
      <c r="J69" s="15">
        <f t="shared" ref="J69:J132" si="26">1-G69</f>
        <v>0.33713546292018526</v>
      </c>
      <c r="K69" s="13">
        <f t="shared" si="9"/>
        <v>55717.475778485372</v>
      </c>
      <c r="L69" s="13">
        <f t="shared" si="20"/>
        <v>1416665.2303554032</v>
      </c>
      <c r="M69" s="15">
        <f t="shared" si="10"/>
        <v>0.33713546292018526</v>
      </c>
      <c r="N69" s="13">
        <f t="shared" ref="N69:N132" si="27">Q69*Inflação_2</f>
        <v>716.92259353069312</v>
      </c>
      <c r="O69" s="13">
        <f t="shared" si="11"/>
        <v>29823.772013651149</v>
      </c>
      <c r="P69" s="15">
        <f t="shared" ref="P69:P132" si="28">O69/Q69</f>
        <v>0.15287100551889446</v>
      </c>
      <c r="Q69" s="7">
        <f t="shared" si="12"/>
        <v>195091.09600227629</v>
      </c>
      <c r="R69" s="7">
        <f t="shared" si="13"/>
        <v>165267.32398862514</v>
      </c>
      <c r="S69" s="13">
        <f>IF('Calc (2)'!$AD$32="Sim",R69,Q69)</f>
        <v>165267.32398862514</v>
      </c>
      <c r="T69" s="9">
        <f t="shared" si="14"/>
        <v>65</v>
      </c>
      <c r="U69" s="17">
        <f t="shared" ca="1" si="15"/>
        <v>47484</v>
      </c>
      <c r="V69" s="22"/>
      <c r="W69" s="22"/>
      <c r="X69" s="22"/>
    </row>
    <row r="70" spans="2:24" x14ac:dyDescent="0.2">
      <c r="B70" s="17">
        <f t="shared" ref="B70:B133" ca="1" si="29">DATE(YEAR(B69),MONTH(B69)+1,1)</f>
        <v>47484</v>
      </c>
      <c r="C70" s="9">
        <f t="shared" si="18"/>
        <v>66</v>
      </c>
      <c r="D70" s="9"/>
      <c r="E70" s="13">
        <f t="shared" ref="E70:E133" si="30">IF($AE$33,IF($AE$34,$E69*(1+Inflação_2)*(1+Crescimento_Salário_2),$E69*(1+Inflação_2)),IF($AE$34,$E69*(1+Crescimento_Salário_2),$E69))</f>
        <v>1307.7994334439543</v>
      </c>
      <c r="F70" s="14">
        <f t="shared" si="19"/>
        <v>110857.64764358372</v>
      </c>
      <c r="G70" s="15">
        <f t="shared" ref="G70:G133" si="31">IF(F70&lt;=0,0,F70/S70)</f>
        <v>0.65937655196036815</v>
      </c>
      <c r="H70" s="13">
        <f t="shared" ref="H70:H133" si="32">Q69*Taxa_2</f>
        <v>2538.7301721560134</v>
      </c>
      <c r="I70" s="13">
        <f t="shared" ref="I70:I133" si="33">I69+H70</f>
        <v>88079.97796429244</v>
      </c>
      <c r="J70" s="15">
        <f t="shared" si="26"/>
        <v>0.34062344803963185</v>
      </c>
      <c r="K70" s="13">
        <f t="shared" ref="K70:K133" si="34">R70-F70</f>
        <v>57267.299041276288</v>
      </c>
      <c r="L70" s="13">
        <f t="shared" si="20"/>
        <v>1473932.5293966795</v>
      </c>
      <c r="M70" s="15">
        <f t="shared" ref="M70:M133" si="35">K70/R70</f>
        <v>0.34062344803963185</v>
      </c>
      <c r="N70" s="13">
        <f t="shared" si="27"/>
        <v>731.05785668441058</v>
      </c>
      <c r="O70" s="13">
        <f t="shared" ref="O70:O133" si="36">Q70-R70</f>
        <v>30812.678923016239</v>
      </c>
      <c r="P70" s="15">
        <f t="shared" si="28"/>
        <v>0.15488612990561559</v>
      </c>
      <c r="Q70" s="7">
        <f t="shared" ref="Q70:Q133" si="37">Q69+E70+H70</f>
        <v>198937.62560787625</v>
      </c>
      <c r="R70" s="7">
        <f t="shared" ref="R70:R133" si="38">(R69+E70)*(1+((1+Taxa_2)/(1+Inflação_2)-1))</f>
        <v>168124.94668486001</v>
      </c>
      <c r="S70" s="13">
        <f>IF('Calc (2)'!$AD$32="Sim",R70,Q70)</f>
        <v>168124.94668486001</v>
      </c>
      <c r="T70" s="9">
        <f t="shared" ref="T70:T133" si="39">C70</f>
        <v>66</v>
      </c>
      <c r="U70" s="17">
        <f t="shared" ref="U70:U133" ca="1" si="40">DATE(YEAR(U69),MONTH(U69)+1,1)</f>
        <v>47515</v>
      </c>
      <c r="V70" s="22"/>
      <c r="W70" s="22"/>
      <c r="X70" s="22"/>
    </row>
    <row r="71" spans="2:24" x14ac:dyDescent="0.2">
      <c r="B71" s="17">
        <f t="shared" ca="1" si="29"/>
        <v>47515</v>
      </c>
      <c r="C71" s="9">
        <f t="shared" ref="C71:C134" si="41">C70+1</f>
        <v>67</v>
      </c>
      <c r="D71" s="9"/>
      <c r="E71" s="13">
        <f t="shared" si="30"/>
        <v>1313.12757021999</v>
      </c>
      <c r="F71" s="14">
        <f t="shared" ref="F71:F134" si="42">F70+E71</f>
        <v>112170.77521380372</v>
      </c>
      <c r="G71" s="15">
        <f t="shared" si="31"/>
        <v>0.65591369473637584</v>
      </c>
      <c r="H71" s="13">
        <f t="shared" si="32"/>
        <v>2588.7852539507976</v>
      </c>
      <c r="I71" s="13">
        <f t="shared" si="33"/>
        <v>90668.763218243243</v>
      </c>
      <c r="J71" s="15">
        <f t="shared" si="26"/>
        <v>0.34408630526362416</v>
      </c>
      <c r="K71" s="13">
        <f t="shared" si="34"/>
        <v>58843.759341519559</v>
      </c>
      <c r="L71" s="13">
        <f t="shared" ref="L71:L134" si="43">L70+K71</f>
        <v>1532776.288738199</v>
      </c>
      <c r="M71" s="15">
        <f t="shared" si="35"/>
        <v>0.3440863052636241</v>
      </c>
      <c r="N71" s="13">
        <f t="shared" si="27"/>
        <v>745.39664261035841</v>
      </c>
      <c r="O71" s="13">
        <f t="shared" si="36"/>
        <v>31825.003876723757</v>
      </c>
      <c r="P71" s="15">
        <f t="shared" si="28"/>
        <v>0.15689743786015073</v>
      </c>
      <c r="Q71" s="7">
        <f t="shared" si="37"/>
        <v>202839.53843204703</v>
      </c>
      <c r="R71" s="7">
        <f t="shared" si="38"/>
        <v>171014.53455532328</v>
      </c>
      <c r="S71" s="13">
        <f>IF('Calc (2)'!$AD$32="Sim",R71,Q71)</f>
        <v>171014.53455532328</v>
      </c>
      <c r="T71" s="9">
        <f t="shared" si="39"/>
        <v>67</v>
      </c>
      <c r="U71" s="17">
        <f t="shared" ca="1" si="40"/>
        <v>47543</v>
      </c>
      <c r="V71" s="22"/>
      <c r="W71" s="22"/>
      <c r="X71" s="22"/>
    </row>
    <row r="72" spans="2:24" x14ac:dyDescent="0.2">
      <c r="B72" s="17">
        <f t="shared" ca="1" si="29"/>
        <v>47543</v>
      </c>
      <c r="C72" s="9">
        <f t="shared" si="41"/>
        <v>68</v>
      </c>
      <c r="D72" s="9"/>
      <c r="E72" s="13">
        <f t="shared" si="30"/>
        <v>1318.4774144847877</v>
      </c>
      <c r="F72" s="14">
        <f t="shared" si="42"/>
        <v>113489.25262828851</v>
      </c>
      <c r="G72" s="15">
        <f t="shared" si="31"/>
        <v>0.65247554920297812</v>
      </c>
      <c r="H72" s="13">
        <f t="shared" si="32"/>
        <v>2639.5610403338383</v>
      </c>
      <c r="I72" s="13">
        <f t="shared" si="33"/>
        <v>93308.324258577079</v>
      </c>
      <c r="J72" s="15">
        <f t="shared" si="26"/>
        <v>0.34752445079702188</v>
      </c>
      <c r="K72" s="13">
        <f t="shared" si="34"/>
        <v>60447.154286759309</v>
      </c>
      <c r="L72" s="13">
        <f t="shared" si="43"/>
        <v>1593223.4430249583</v>
      </c>
      <c r="M72" s="15">
        <f t="shared" si="35"/>
        <v>0.34752445079702188</v>
      </c>
      <c r="N72" s="13">
        <f t="shared" si="27"/>
        <v>759.94167953141653</v>
      </c>
      <c r="O72" s="13">
        <f t="shared" si="36"/>
        <v>32861.169971817842</v>
      </c>
      <c r="P72" s="15">
        <f t="shared" si="28"/>
        <v>0.1589050049159689</v>
      </c>
      <c r="Q72" s="7">
        <f t="shared" si="37"/>
        <v>206797.57688686566</v>
      </c>
      <c r="R72" s="7">
        <f t="shared" si="38"/>
        <v>173936.40691504782</v>
      </c>
      <c r="S72" s="13">
        <f>IF('Calc (2)'!$AD$32="Sim",R72,Q72)</f>
        <v>173936.40691504782</v>
      </c>
      <c r="T72" s="9">
        <f t="shared" si="39"/>
        <v>68</v>
      </c>
      <c r="U72" s="17">
        <f t="shared" ca="1" si="40"/>
        <v>47574</v>
      </c>
      <c r="V72" s="22"/>
      <c r="W72" s="22"/>
      <c r="X72" s="22"/>
    </row>
    <row r="73" spans="2:24" x14ac:dyDescent="0.2">
      <c r="B73" s="17">
        <f t="shared" ca="1" si="29"/>
        <v>47574</v>
      </c>
      <c r="C73" s="9">
        <f t="shared" si="41"/>
        <v>69</v>
      </c>
      <c r="D73" s="9"/>
      <c r="E73" s="13">
        <f t="shared" si="30"/>
        <v>1323.8490546773432</v>
      </c>
      <c r="F73" s="14">
        <f t="shared" si="42"/>
        <v>114813.10168296585</v>
      </c>
      <c r="G73" s="15">
        <f t="shared" si="31"/>
        <v>0.64906171362940157</v>
      </c>
      <c r="H73" s="13">
        <f t="shared" si="32"/>
        <v>2691.0671923505583</v>
      </c>
      <c r="I73" s="13">
        <f t="shared" si="33"/>
        <v>95999.391450927636</v>
      </c>
      <c r="J73" s="15">
        <f t="shared" si="26"/>
        <v>0.35093828637059843</v>
      </c>
      <c r="K73" s="13">
        <f t="shared" si="34"/>
        <v>62077.784456285503</v>
      </c>
      <c r="L73" s="13">
        <f t="shared" si="43"/>
        <v>1655301.2274812437</v>
      </c>
      <c r="M73" s="15">
        <f t="shared" si="35"/>
        <v>0.35093828637059837</v>
      </c>
      <c r="N73" s="13">
        <f t="shared" si="27"/>
        <v>774.69573149796133</v>
      </c>
      <c r="O73" s="13">
        <f t="shared" si="36"/>
        <v>33921.606994642236</v>
      </c>
      <c r="P73" s="15">
        <f t="shared" si="28"/>
        <v>0.16090890293251059</v>
      </c>
      <c r="Q73" s="7">
        <f t="shared" si="37"/>
        <v>210812.49313389359</v>
      </c>
      <c r="R73" s="7">
        <f t="shared" si="38"/>
        <v>176890.88613925135</v>
      </c>
      <c r="S73" s="13">
        <f>IF('Calc (2)'!$AD$32="Sim",R73,Q73)</f>
        <v>176890.88613925135</v>
      </c>
      <c r="T73" s="9">
        <f t="shared" si="39"/>
        <v>69</v>
      </c>
      <c r="U73" s="17">
        <f t="shared" ca="1" si="40"/>
        <v>47604</v>
      </c>
      <c r="V73" s="22"/>
      <c r="W73" s="22"/>
      <c r="X73" s="22"/>
    </row>
    <row r="74" spans="2:24" x14ac:dyDescent="0.2">
      <c r="B74" s="17">
        <f t="shared" ca="1" si="29"/>
        <v>47604</v>
      </c>
      <c r="C74" s="9">
        <f t="shared" si="41"/>
        <v>70</v>
      </c>
      <c r="D74" s="9"/>
      <c r="E74" s="13">
        <f t="shared" si="30"/>
        <v>1329.2425795969646</v>
      </c>
      <c r="F74" s="14">
        <f t="shared" si="42"/>
        <v>116142.34426256281</v>
      </c>
      <c r="G74" s="15">
        <f t="shared" si="31"/>
        <v>0.64567180005960789</v>
      </c>
      <c r="H74" s="13">
        <f t="shared" si="32"/>
        <v>2743.313497916909</v>
      </c>
      <c r="I74" s="13">
        <f t="shared" si="33"/>
        <v>98742.704948844548</v>
      </c>
      <c r="J74" s="15">
        <f t="shared" si="26"/>
        <v>0.35432819994039211</v>
      </c>
      <c r="K74" s="13">
        <f t="shared" si="34"/>
        <v>63735.953429609333</v>
      </c>
      <c r="L74" s="13">
        <f t="shared" si="43"/>
        <v>1719037.180910853</v>
      </c>
      <c r="M74" s="15">
        <f t="shared" si="35"/>
        <v>0.35432819994039205</v>
      </c>
      <c r="N74" s="13">
        <f t="shared" si="27"/>
        <v>789.6615988554156</v>
      </c>
      <c r="O74" s="13">
        <f t="shared" si="36"/>
        <v>35006.751519235317</v>
      </c>
      <c r="P74" s="15">
        <f t="shared" si="28"/>
        <v>0.16290920028035594</v>
      </c>
      <c r="Q74" s="7">
        <f t="shared" si="37"/>
        <v>214885.04921140746</v>
      </c>
      <c r="R74" s="7">
        <f t="shared" si="38"/>
        <v>179878.29769217214</v>
      </c>
      <c r="S74" s="13">
        <f>IF('Calc (2)'!$AD$32="Sim",R74,Q74)</f>
        <v>179878.29769217214</v>
      </c>
      <c r="T74" s="9">
        <f t="shared" si="39"/>
        <v>70</v>
      </c>
      <c r="U74" s="17">
        <f t="shared" ca="1" si="40"/>
        <v>47635</v>
      </c>
      <c r="V74" s="22"/>
      <c r="W74" s="22"/>
      <c r="X74" s="22"/>
    </row>
    <row r="75" spans="2:24" x14ac:dyDescent="0.2">
      <c r="B75" s="17">
        <f t="shared" ca="1" si="29"/>
        <v>47635</v>
      </c>
      <c r="C75" s="9">
        <f t="shared" si="41"/>
        <v>71</v>
      </c>
      <c r="D75" s="9"/>
      <c r="E75" s="13">
        <f t="shared" si="30"/>
        <v>1334.6580784047387</v>
      </c>
      <c r="F75" s="14">
        <f t="shared" si="42"/>
        <v>117477.00234096755</v>
      </c>
      <c r="G75" s="15">
        <f t="shared" si="31"/>
        <v>0.64230543365364867</v>
      </c>
      <c r="H75" s="13">
        <f t="shared" si="32"/>
        <v>2796.3098734750288</v>
      </c>
      <c r="I75" s="13">
        <f t="shared" si="33"/>
        <v>101539.01482231957</v>
      </c>
      <c r="J75" s="15">
        <f t="shared" si="26"/>
        <v>0.35769456634635133</v>
      </c>
      <c r="K75" s="13">
        <f t="shared" si="34"/>
        <v>65421.967815207157</v>
      </c>
      <c r="L75" s="13">
        <f t="shared" si="43"/>
        <v>1784459.1487260601</v>
      </c>
      <c r="M75" s="15">
        <f t="shared" si="35"/>
        <v>0.35769456634635127</v>
      </c>
      <c r="N75" s="13">
        <f t="shared" si="27"/>
        <v>804.84211871788659</v>
      </c>
      <c r="O75" s="13">
        <f t="shared" si="36"/>
        <v>36117.047007112502</v>
      </c>
      <c r="P75" s="15">
        <f t="shared" si="28"/>
        <v>0.16490596201548796</v>
      </c>
      <c r="Q75" s="7">
        <f t="shared" si="37"/>
        <v>219016.01716328721</v>
      </c>
      <c r="R75" s="7">
        <f t="shared" si="38"/>
        <v>182898.97015617471</v>
      </c>
      <c r="S75" s="13">
        <f>IF('Calc (2)'!$AD$32="Sim",R75,Q75)</f>
        <v>182898.97015617471</v>
      </c>
      <c r="T75" s="9">
        <f t="shared" si="39"/>
        <v>71</v>
      </c>
      <c r="U75" s="17">
        <f t="shared" ca="1" si="40"/>
        <v>47665</v>
      </c>
      <c r="V75" s="22"/>
      <c r="W75" s="22"/>
      <c r="X75" s="22"/>
    </row>
    <row r="76" spans="2:24" x14ac:dyDescent="0.2">
      <c r="B76" s="17">
        <f t="shared" ca="1" si="29"/>
        <v>47665</v>
      </c>
      <c r="C76" s="9">
        <f t="shared" si="41"/>
        <v>72</v>
      </c>
      <c r="D76" s="9">
        <v>6</v>
      </c>
      <c r="E76" s="13">
        <f t="shared" si="30"/>
        <v>1340.0956406250059</v>
      </c>
      <c r="F76" s="14">
        <f t="shared" si="42"/>
        <v>118817.09798159255</v>
      </c>
      <c r="G76" s="15">
        <f t="shared" si="31"/>
        <v>0.63896225206698831</v>
      </c>
      <c r="H76" s="13">
        <f t="shared" si="32"/>
        <v>2850.066365670471</v>
      </c>
      <c r="I76" s="13">
        <f t="shared" si="33"/>
        <v>104389.08118799004</v>
      </c>
      <c r="J76" s="15">
        <f t="shared" si="26"/>
        <v>0.36103774793301169</v>
      </c>
      <c r="K76" s="13">
        <f t="shared" si="34"/>
        <v>67136.137279534974</v>
      </c>
      <c r="L76" s="13">
        <f t="shared" si="43"/>
        <v>1851595.286005595</v>
      </c>
      <c r="M76" s="15">
        <f t="shared" si="35"/>
        <v>0.36103774793301163</v>
      </c>
      <c r="N76" s="13">
        <f t="shared" si="27"/>
        <v>820.24016544797462</v>
      </c>
      <c r="O76" s="13">
        <f t="shared" si="36"/>
        <v>37252.94390845517</v>
      </c>
      <c r="P76" s="15">
        <f t="shared" si="28"/>
        <v>0.16689925004339573</v>
      </c>
      <c r="Q76" s="7">
        <f t="shared" si="37"/>
        <v>223206.1791695827</v>
      </c>
      <c r="R76" s="7">
        <f t="shared" si="38"/>
        <v>185953.23526112753</v>
      </c>
      <c r="S76" s="13">
        <f>IF('Calc (2)'!$AD$32="Sim",R76,Q76)</f>
        <v>185953.23526112753</v>
      </c>
      <c r="T76" s="9">
        <f t="shared" si="39"/>
        <v>72</v>
      </c>
      <c r="U76" s="17">
        <f t="shared" ca="1" si="40"/>
        <v>47696</v>
      </c>
      <c r="V76" s="22"/>
      <c r="W76" s="22"/>
      <c r="X76" s="22"/>
    </row>
    <row r="77" spans="2:24" x14ac:dyDescent="0.2">
      <c r="B77" s="17">
        <f t="shared" ca="1" si="29"/>
        <v>47696</v>
      </c>
      <c r="C77" s="9">
        <f t="shared" si="41"/>
        <v>73</v>
      </c>
      <c r="D77" s="9"/>
      <c r="E77" s="13">
        <f t="shared" si="30"/>
        <v>1345.5553561468398</v>
      </c>
      <c r="F77" s="14">
        <f t="shared" si="42"/>
        <v>120162.65333773939</v>
      </c>
      <c r="G77" s="15">
        <f t="shared" si="31"/>
        <v>0.6356419048652614</v>
      </c>
      <c r="H77" s="13">
        <f t="shared" si="32"/>
        <v>2904.5931530512748</v>
      </c>
      <c r="I77" s="13">
        <f t="shared" si="33"/>
        <v>107293.67434104132</v>
      </c>
      <c r="J77" s="15">
        <f t="shared" si="26"/>
        <v>0.3643580951347386</v>
      </c>
      <c r="K77" s="13">
        <f t="shared" si="34"/>
        <v>68878.77457631634</v>
      </c>
      <c r="L77" s="13">
        <f t="shared" si="43"/>
        <v>1920474.0605819114</v>
      </c>
      <c r="M77" s="15">
        <f t="shared" si="35"/>
        <v>0.36435809513473855</v>
      </c>
      <c r="N77" s="13">
        <f t="shared" si="27"/>
        <v>835.85865114282853</v>
      </c>
      <c r="O77" s="13">
        <f t="shared" si="36"/>
        <v>38414.899764725065</v>
      </c>
      <c r="P77" s="15">
        <f t="shared" si="28"/>
        <v>0.16888912327370156</v>
      </c>
      <c r="Q77" s="7">
        <f t="shared" si="37"/>
        <v>227456.3276787808</v>
      </c>
      <c r="R77" s="7">
        <f t="shared" si="38"/>
        <v>189041.42791405573</v>
      </c>
      <c r="S77" s="13">
        <f>IF('Calc (2)'!$AD$32="Sim",R77,Q77)</f>
        <v>189041.42791405573</v>
      </c>
      <c r="T77" s="9">
        <f t="shared" si="39"/>
        <v>73</v>
      </c>
      <c r="U77" s="17">
        <f t="shared" ca="1" si="40"/>
        <v>47727</v>
      </c>
      <c r="V77" s="22"/>
      <c r="W77" s="22"/>
      <c r="X77" s="22"/>
    </row>
    <row r="78" spans="2:24" x14ac:dyDescent="0.2">
      <c r="B78" s="17">
        <f t="shared" ca="1" si="29"/>
        <v>47727</v>
      </c>
      <c r="C78" s="9">
        <f t="shared" si="41"/>
        <v>74</v>
      </c>
      <c r="D78" s="9"/>
      <c r="E78" s="13">
        <f t="shared" si="30"/>
        <v>1351.0373152255331</v>
      </c>
      <c r="F78" s="14">
        <f t="shared" si="42"/>
        <v>121513.69065296493</v>
      </c>
      <c r="G78" s="15">
        <f t="shared" si="31"/>
        <v>0.63234405297212359</v>
      </c>
      <c r="H78" s="13">
        <f t="shared" si="32"/>
        <v>2959.9005477891633</v>
      </c>
      <c r="I78" s="13">
        <f t="shared" si="33"/>
        <v>110253.57488883048</v>
      </c>
      <c r="J78" s="15">
        <f t="shared" si="26"/>
        <v>0.36765594702787641</v>
      </c>
      <c r="K78" s="13">
        <f t="shared" si="34"/>
        <v>70650.195576106256</v>
      </c>
      <c r="L78" s="13">
        <f t="shared" si="43"/>
        <v>1991124.2561580176</v>
      </c>
      <c r="M78" s="15">
        <f t="shared" si="35"/>
        <v>0.36765594702787635</v>
      </c>
      <c r="N78" s="13">
        <f t="shared" si="27"/>
        <v>851.7005261265341</v>
      </c>
      <c r="O78" s="13">
        <f t="shared" si="36"/>
        <v>39603.379312724312</v>
      </c>
      <c r="P78" s="15">
        <f t="shared" si="28"/>
        <v>0.1708756377659488</v>
      </c>
      <c r="Q78" s="7">
        <f t="shared" si="37"/>
        <v>231767.2655417955</v>
      </c>
      <c r="R78" s="7">
        <f t="shared" si="38"/>
        <v>192163.88622907118</v>
      </c>
      <c r="S78" s="13">
        <f>IF('Calc (2)'!$AD$32="Sim",R78,Q78)</f>
        <v>192163.88622907118</v>
      </c>
      <c r="T78" s="9">
        <f t="shared" si="39"/>
        <v>74</v>
      </c>
      <c r="U78" s="17">
        <f t="shared" ca="1" si="40"/>
        <v>47757</v>
      </c>
      <c r="V78" s="22"/>
      <c r="W78" s="22"/>
      <c r="X78" s="22"/>
    </row>
    <row r="79" spans="2:24" x14ac:dyDescent="0.2">
      <c r="B79" s="17">
        <f t="shared" ca="1" si="29"/>
        <v>47757</v>
      </c>
      <c r="C79" s="9">
        <f t="shared" si="41"/>
        <v>75</v>
      </c>
      <c r="D79" s="9"/>
      <c r="E79" s="13">
        <f t="shared" si="30"/>
        <v>1356.5416084840899</v>
      </c>
      <c r="F79" s="14">
        <f t="shared" si="42"/>
        <v>122870.23226144901</v>
      </c>
      <c r="G79" s="15">
        <f t="shared" si="31"/>
        <v>0.62906836814803091</v>
      </c>
      <c r="H79" s="13">
        <f t="shared" si="32"/>
        <v>3015.9989974231612</v>
      </c>
      <c r="I79" s="13">
        <f t="shared" si="33"/>
        <v>113269.57388625364</v>
      </c>
      <c r="J79" s="15">
        <f t="shared" si="26"/>
        <v>0.37093163185196909</v>
      </c>
      <c r="K79" s="13">
        <f t="shared" si="34"/>
        <v>72450.719296133466</v>
      </c>
      <c r="L79" s="13">
        <f t="shared" si="43"/>
        <v>2063574.9754541509</v>
      </c>
      <c r="M79" s="15">
        <f t="shared" si="35"/>
        <v>0.37093163185196903</v>
      </c>
      <c r="N79" s="13">
        <f t="shared" si="27"/>
        <v>867.76877944891385</v>
      </c>
      <c r="O79" s="13">
        <f t="shared" si="36"/>
        <v>40818.85459012026</v>
      </c>
      <c r="P79" s="15">
        <f t="shared" si="28"/>
        <v>0.17285884686713318</v>
      </c>
      <c r="Q79" s="7">
        <f t="shared" si="37"/>
        <v>236139.80614770274</v>
      </c>
      <c r="R79" s="7">
        <f t="shared" si="38"/>
        <v>195320.95155758248</v>
      </c>
      <c r="S79" s="13">
        <f>IF('Calc (2)'!$AD$32="Sim",R79,Q79)</f>
        <v>195320.95155758248</v>
      </c>
      <c r="T79" s="9">
        <f t="shared" si="39"/>
        <v>75</v>
      </c>
      <c r="U79" s="17">
        <f t="shared" ca="1" si="40"/>
        <v>47788</v>
      </c>
      <c r="V79" s="22"/>
      <c r="W79" s="22"/>
      <c r="X79" s="22"/>
    </row>
    <row r="80" spans="2:24" x14ac:dyDescent="0.2">
      <c r="B80" s="17">
        <f t="shared" ca="1" si="29"/>
        <v>47788</v>
      </c>
      <c r="C80" s="9">
        <f t="shared" si="41"/>
        <v>76</v>
      </c>
      <c r="D80" s="9"/>
      <c r="E80" s="13">
        <f t="shared" si="30"/>
        <v>1362.0683269147235</v>
      </c>
      <c r="F80" s="14">
        <f t="shared" si="42"/>
        <v>124232.30058836374</v>
      </c>
      <c r="G80" s="15">
        <f t="shared" si="31"/>
        <v>0.62581453249794217</v>
      </c>
      <c r="H80" s="13">
        <f t="shared" si="32"/>
        <v>3072.8990866259228</v>
      </c>
      <c r="I80" s="13">
        <f t="shared" si="33"/>
        <v>116342.47297287956</v>
      </c>
      <c r="J80" s="15">
        <f t="shared" si="26"/>
        <v>0.37418546750205783</v>
      </c>
      <c r="K80" s="13">
        <f t="shared" si="34"/>
        <v>74280.667930423821</v>
      </c>
      <c r="L80" s="13">
        <f t="shared" si="43"/>
        <v>2137855.6433845749</v>
      </c>
      <c r="M80" s="15">
        <f t="shared" si="35"/>
        <v>0.37418546750205789</v>
      </c>
      <c r="N80" s="13">
        <f t="shared" si="27"/>
        <v>884.06643939082403</v>
      </c>
      <c r="O80" s="13">
        <f t="shared" si="36"/>
        <v>42061.805042455817</v>
      </c>
      <c r="P80" s="15">
        <f t="shared" si="28"/>
        <v>0.17483880134152177</v>
      </c>
      <c r="Q80" s="7">
        <f t="shared" si="37"/>
        <v>240574.77356124338</v>
      </c>
      <c r="R80" s="7">
        <f t="shared" si="38"/>
        <v>198512.96851878756</v>
      </c>
      <c r="S80" s="13">
        <f>IF('Calc (2)'!$AD$32="Sim",R80,Q80)</f>
        <v>198512.96851878756</v>
      </c>
      <c r="T80" s="9">
        <f t="shared" si="39"/>
        <v>76</v>
      </c>
      <c r="U80" s="17">
        <f t="shared" ca="1" si="40"/>
        <v>47818</v>
      </c>
      <c r="V80" s="22"/>
      <c r="W80" s="22"/>
      <c r="X80" s="22"/>
    </row>
    <row r="81" spans="2:24" x14ac:dyDescent="0.2">
      <c r="B81" s="17">
        <f t="shared" ca="1" si="29"/>
        <v>47818</v>
      </c>
      <c r="C81" s="9">
        <f t="shared" si="41"/>
        <v>77</v>
      </c>
      <c r="D81" s="9"/>
      <c r="E81" s="13">
        <f t="shared" si="30"/>
        <v>1367.6175618803609</v>
      </c>
      <c r="F81" s="14">
        <f t="shared" si="42"/>
        <v>125599.91815024411</v>
      </c>
      <c r="G81" s="15">
        <f t="shared" si="31"/>
        <v>0.62258223800608548</v>
      </c>
      <c r="H81" s="13">
        <f t="shared" si="32"/>
        <v>3130.6115389930619</v>
      </c>
      <c r="I81" s="13">
        <f t="shared" si="33"/>
        <v>119473.08451187263</v>
      </c>
      <c r="J81" s="15">
        <f t="shared" si="26"/>
        <v>0.37741776199391452</v>
      </c>
      <c r="K81" s="13">
        <f t="shared" si="34"/>
        <v>76140.366880207439</v>
      </c>
      <c r="L81" s="13">
        <f t="shared" si="43"/>
        <v>2213996.0102647822</v>
      </c>
      <c r="M81" s="15">
        <f t="shared" si="35"/>
        <v>0.37741776199391452</v>
      </c>
      <c r="N81" s="13">
        <f t="shared" si="27"/>
        <v>900.59657397603223</v>
      </c>
      <c r="O81" s="13">
        <f t="shared" si="36"/>
        <v>43332.717631665233</v>
      </c>
      <c r="P81" s="15">
        <f t="shared" si="28"/>
        <v>0.17681554949325953</v>
      </c>
      <c r="Q81" s="7">
        <f t="shared" si="37"/>
        <v>245073.00266211678</v>
      </c>
      <c r="R81" s="7">
        <f t="shared" si="38"/>
        <v>201740.28503045155</v>
      </c>
      <c r="S81" s="13">
        <f>IF('Calc (2)'!$AD$32="Sim",R81,Q81)</f>
        <v>201740.28503045155</v>
      </c>
      <c r="T81" s="9">
        <f t="shared" si="39"/>
        <v>77</v>
      </c>
      <c r="U81" s="17">
        <f t="shared" ca="1" si="40"/>
        <v>47849</v>
      </c>
      <c r="V81" s="22"/>
      <c r="W81" s="22"/>
      <c r="X81" s="22"/>
    </row>
    <row r="82" spans="2:24" x14ac:dyDescent="0.2">
      <c r="B82" s="17">
        <f t="shared" ca="1" si="29"/>
        <v>47849</v>
      </c>
      <c r="C82" s="9">
        <f t="shared" si="41"/>
        <v>78</v>
      </c>
      <c r="D82" s="9"/>
      <c r="E82" s="13">
        <f t="shared" si="30"/>
        <v>1373.1894051161528</v>
      </c>
      <c r="F82" s="14">
        <f t="shared" si="42"/>
        <v>126973.10755536026</v>
      </c>
      <c r="G82" s="15">
        <f t="shared" si="31"/>
        <v>0.61937118609606767</v>
      </c>
      <c r="H82" s="13">
        <f t="shared" si="32"/>
        <v>3189.1472188557877</v>
      </c>
      <c r="I82" s="13">
        <f t="shared" si="33"/>
        <v>122662.23173072841</v>
      </c>
      <c r="J82" s="15">
        <f t="shared" si="26"/>
        <v>0.38062881390393233</v>
      </c>
      <c r="K82" s="13">
        <f t="shared" si="34"/>
        <v>78030.144784612276</v>
      </c>
      <c r="L82" s="13">
        <f t="shared" si="43"/>
        <v>2292026.1550493944</v>
      </c>
      <c r="M82" s="15">
        <f t="shared" si="35"/>
        <v>0.38062881390393227</v>
      </c>
      <c r="N82" s="13">
        <f t="shared" si="27"/>
        <v>917.36229148976179</v>
      </c>
      <c r="O82" s="13">
        <f t="shared" si="36"/>
        <v>44632.086946116207</v>
      </c>
      <c r="P82" s="15">
        <f t="shared" si="28"/>
        <v>0.17878913728222851</v>
      </c>
      <c r="Q82" s="7">
        <f t="shared" si="37"/>
        <v>249635.33928608874</v>
      </c>
      <c r="R82" s="7">
        <f t="shared" si="38"/>
        <v>205003.25233997253</v>
      </c>
      <c r="S82" s="13">
        <f>IF('Calc (2)'!$AD$32="Sim",R82,Q82)</f>
        <v>205003.25233997253</v>
      </c>
      <c r="T82" s="9">
        <f t="shared" si="39"/>
        <v>78</v>
      </c>
      <c r="U82" s="17">
        <f t="shared" ca="1" si="40"/>
        <v>47880</v>
      </c>
      <c r="V82" s="22"/>
      <c r="W82" s="22"/>
      <c r="X82" s="22"/>
    </row>
    <row r="83" spans="2:24" x14ac:dyDescent="0.2">
      <c r="B83" s="17">
        <f t="shared" ca="1" si="29"/>
        <v>47880</v>
      </c>
      <c r="C83" s="9">
        <f t="shared" si="41"/>
        <v>79</v>
      </c>
      <c r="D83" s="9"/>
      <c r="E83" s="13">
        <f t="shared" si="30"/>
        <v>1378.7839487309905</v>
      </c>
      <c r="F83" s="14">
        <f t="shared" si="42"/>
        <v>128351.89150409125</v>
      </c>
      <c r="G83" s="15">
        <f t="shared" si="31"/>
        <v>0.61618108721472709</v>
      </c>
      <c r="H83" s="13">
        <f t="shared" si="32"/>
        <v>3248.5171331171482</v>
      </c>
      <c r="I83" s="13">
        <f t="shared" si="33"/>
        <v>125910.74886384555</v>
      </c>
      <c r="J83" s="15">
        <f t="shared" si="26"/>
        <v>0.38381891278527291</v>
      </c>
      <c r="K83" s="13">
        <f t="shared" si="34"/>
        <v>79950.333551646487</v>
      </c>
      <c r="L83" s="13">
        <f t="shared" si="43"/>
        <v>2371976.488601041</v>
      </c>
      <c r="M83" s="15">
        <f t="shared" si="35"/>
        <v>0.38381891278527286</v>
      </c>
      <c r="N83" s="13">
        <f t="shared" si="27"/>
        <v>934.36674100398898</v>
      </c>
      <c r="O83" s="13">
        <f t="shared" si="36"/>
        <v>45960.415312199155</v>
      </c>
      <c r="P83" s="15">
        <f t="shared" si="28"/>
        <v>0.18075960843359065</v>
      </c>
      <c r="Q83" s="7">
        <f t="shared" si="37"/>
        <v>254262.6403679369</v>
      </c>
      <c r="R83" s="7">
        <f t="shared" si="38"/>
        <v>208302.22505573774</v>
      </c>
      <c r="S83" s="13">
        <f>IF('Calc (2)'!$AD$32="Sim",R83,Q83)</f>
        <v>208302.22505573774</v>
      </c>
      <c r="T83" s="9">
        <f t="shared" si="39"/>
        <v>79</v>
      </c>
      <c r="U83" s="17">
        <f t="shared" ca="1" si="40"/>
        <v>47908</v>
      </c>
      <c r="V83" s="22"/>
      <c r="W83" s="22"/>
      <c r="X83" s="22"/>
    </row>
    <row r="84" spans="2:24" x14ac:dyDescent="0.2">
      <c r="B84" s="17">
        <f t="shared" ca="1" si="29"/>
        <v>47908</v>
      </c>
      <c r="C84" s="9">
        <f t="shared" si="41"/>
        <v>80</v>
      </c>
      <c r="D84" s="9"/>
      <c r="E84" s="13">
        <f t="shared" si="30"/>
        <v>1384.4012852090279</v>
      </c>
      <c r="F84" s="14">
        <f t="shared" si="42"/>
        <v>129736.29278930028</v>
      </c>
      <c r="G84" s="15">
        <f t="shared" si="31"/>
        <v>0.6130116604382444</v>
      </c>
      <c r="H84" s="13">
        <f t="shared" si="32"/>
        <v>3308.7324331121877</v>
      </c>
      <c r="I84" s="13">
        <f t="shared" si="33"/>
        <v>129219.48129695775</v>
      </c>
      <c r="J84" s="15">
        <f t="shared" si="26"/>
        <v>0.3869883395617556</v>
      </c>
      <c r="K84" s="13">
        <f t="shared" si="34"/>
        <v>81901.268389472898</v>
      </c>
      <c r="L84" s="13">
        <f t="shared" si="43"/>
        <v>2453877.7569905138</v>
      </c>
      <c r="M84" s="15">
        <f t="shared" si="35"/>
        <v>0.3869883395617556</v>
      </c>
      <c r="N84" s="13">
        <f t="shared" si="27"/>
        <v>951.61311290958292</v>
      </c>
      <c r="O84" s="13">
        <f t="shared" si="36"/>
        <v>47318.212907484936</v>
      </c>
      <c r="P84" s="15">
        <f t="shared" si="28"/>
        <v>0.1827270045414135</v>
      </c>
      <c r="Q84" s="7">
        <f t="shared" si="37"/>
        <v>258955.77408625811</v>
      </c>
      <c r="R84" s="7">
        <f t="shared" si="38"/>
        <v>211637.56117877318</v>
      </c>
      <c r="S84" s="13">
        <f>IF('Calc (2)'!$AD$32="Sim",R84,Q84)</f>
        <v>211637.56117877318</v>
      </c>
      <c r="T84" s="9">
        <f t="shared" si="39"/>
        <v>80</v>
      </c>
      <c r="U84" s="17">
        <f t="shared" ca="1" si="40"/>
        <v>47939</v>
      </c>
      <c r="V84" s="22"/>
      <c r="W84" s="22"/>
      <c r="X84" s="22"/>
    </row>
    <row r="85" spans="2:24" x14ac:dyDescent="0.2">
      <c r="B85" s="17">
        <f t="shared" ca="1" si="29"/>
        <v>47939</v>
      </c>
      <c r="C85" s="9">
        <f t="shared" si="41"/>
        <v>81</v>
      </c>
      <c r="D85" s="9"/>
      <c r="E85" s="13">
        <f t="shared" si="30"/>
        <v>1390.0415074112113</v>
      </c>
      <c r="F85" s="14">
        <f t="shared" si="42"/>
        <v>131126.33429671149</v>
      </c>
      <c r="G85" s="15">
        <f t="shared" si="31"/>
        <v>0.60986263309913435</v>
      </c>
      <c r="H85" s="13">
        <f t="shared" si="32"/>
        <v>3369.8044164923303</v>
      </c>
      <c r="I85" s="13">
        <f t="shared" si="33"/>
        <v>132589.28571345008</v>
      </c>
      <c r="J85" s="15">
        <f t="shared" si="26"/>
        <v>0.39013736690086565</v>
      </c>
      <c r="K85" s="13">
        <f t="shared" si="34"/>
        <v>83883.287837977725</v>
      </c>
      <c r="L85" s="13">
        <f t="shared" si="43"/>
        <v>2537761.0448284913</v>
      </c>
      <c r="M85" s="15">
        <f t="shared" si="35"/>
        <v>0.39013736690086565</v>
      </c>
      <c r="N85" s="13">
        <f t="shared" si="27"/>
        <v>969.10463945537469</v>
      </c>
      <c r="O85" s="13">
        <f t="shared" si="36"/>
        <v>48705.997875472443</v>
      </c>
      <c r="P85" s="15">
        <f t="shared" si="28"/>
        <v>0.18469136516674922</v>
      </c>
      <c r="Q85" s="7">
        <f t="shared" si="37"/>
        <v>263715.62001016166</v>
      </c>
      <c r="R85" s="7">
        <f t="shared" si="38"/>
        <v>215009.62213468921</v>
      </c>
      <c r="S85" s="13">
        <f>IF('Calc (2)'!$AD$32="Sim",R85,Q85)</f>
        <v>215009.62213468921</v>
      </c>
      <c r="T85" s="9">
        <f t="shared" si="39"/>
        <v>81</v>
      </c>
      <c r="U85" s="17">
        <f t="shared" ca="1" si="40"/>
        <v>47969</v>
      </c>
      <c r="V85" s="22"/>
      <c r="W85" s="22"/>
      <c r="X85" s="22"/>
    </row>
    <row r="86" spans="2:24" x14ac:dyDescent="0.2">
      <c r="B86" s="17">
        <f t="shared" ca="1" si="29"/>
        <v>47969</v>
      </c>
      <c r="C86" s="9">
        <f t="shared" si="41"/>
        <v>82</v>
      </c>
      <c r="D86" s="9"/>
      <c r="E86" s="13">
        <f t="shared" si="30"/>
        <v>1395.7047085768138</v>
      </c>
      <c r="F86" s="14">
        <f t="shared" si="42"/>
        <v>132522.0390052883</v>
      </c>
      <c r="G86" s="15">
        <f t="shared" si="31"/>
        <v>0.60673374043283457</v>
      </c>
      <c r="H86" s="13">
        <f t="shared" si="32"/>
        <v>3431.744529134307</v>
      </c>
      <c r="I86" s="13">
        <f t="shared" si="33"/>
        <v>136021.03024258438</v>
      </c>
      <c r="J86" s="15">
        <f t="shared" si="26"/>
        <v>0.39326625956716543</v>
      </c>
      <c r="K86" s="13">
        <f t="shared" si="34"/>
        <v>85896.733800636575</v>
      </c>
      <c r="L86" s="13">
        <f t="shared" si="43"/>
        <v>2623657.7786291279</v>
      </c>
      <c r="M86" s="15">
        <f t="shared" si="35"/>
        <v>0.39326625956716538</v>
      </c>
      <c r="N86" s="13">
        <f t="shared" si="27"/>
        <v>986.84459529424737</v>
      </c>
      <c r="O86" s="13">
        <f t="shared" si="36"/>
        <v>50124.296441947925</v>
      </c>
      <c r="P86" s="15">
        <f t="shared" si="28"/>
        <v>0.1866527279305123</v>
      </c>
      <c r="Q86" s="7">
        <f t="shared" si="37"/>
        <v>268543.0692478728</v>
      </c>
      <c r="R86" s="7">
        <f t="shared" si="38"/>
        <v>218418.77280592488</v>
      </c>
      <c r="S86" s="13">
        <f>IF('Calc (2)'!$AD$32="Sim",R86,Q86)</f>
        <v>218418.77280592488</v>
      </c>
      <c r="T86" s="9">
        <f t="shared" si="39"/>
        <v>82</v>
      </c>
      <c r="U86" s="17">
        <f t="shared" ca="1" si="40"/>
        <v>48000</v>
      </c>
      <c r="V86" s="22"/>
      <c r="W86" s="22"/>
      <c r="X86" s="22"/>
    </row>
    <row r="87" spans="2:24" x14ac:dyDescent="0.2">
      <c r="B87" s="17">
        <f t="shared" ca="1" si="29"/>
        <v>48000</v>
      </c>
      <c r="C87" s="9">
        <f t="shared" si="41"/>
        <v>83</v>
      </c>
      <c r="D87" s="9"/>
      <c r="E87" s="13">
        <f t="shared" si="30"/>
        <v>1401.3909823249767</v>
      </c>
      <c r="F87" s="14">
        <f t="shared" si="42"/>
        <v>133923.42998761329</v>
      </c>
      <c r="G87" s="15">
        <f t="shared" si="31"/>
        <v>0.60362472524269817</v>
      </c>
      <c r="H87" s="13">
        <f t="shared" si="32"/>
        <v>3494.5643670739423</v>
      </c>
      <c r="I87" s="13">
        <f t="shared" si="33"/>
        <v>139515.59460965832</v>
      </c>
      <c r="J87" s="15">
        <f t="shared" si="26"/>
        <v>0.39637527475730183</v>
      </c>
      <c r="K87" s="13">
        <f t="shared" si="34"/>
        <v>87941.951576680585</v>
      </c>
      <c r="L87" s="13">
        <f t="shared" si="43"/>
        <v>2711599.7302058083</v>
      </c>
      <c r="M87" s="15">
        <f t="shared" si="35"/>
        <v>0.39637527475730178</v>
      </c>
      <c r="N87" s="13">
        <f t="shared" si="27"/>
        <v>1004.8362980363374</v>
      </c>
      <c r="O87" s="13">
        <f t="shared" si="36"/>
        <v>51573.643032977823</v>
      </c>
      <c r="P87" s="15">
        <f t="shared" si="28"/>
        <v>0.18861112860147472</v>
      </c>
      <c r="Q87" s="7">
        <f t="shared" si="37"/>
        <v>273439.02459727169</v>
      </c>
      <c r="R87" s="7">
        <f t="shared" si="38"/>
        <v>221865.38156429387</v>
      </c>
      <c r="S87" s="13">
        <f>IF('Calc (2)'!$AD$32="Sim",R87,Q87)</f>
        <v>221865.38156429387</v>
      </c>
      <c r="T87" s="9">
        <f t="shared" si="39"/>
        <v>83</v>
      </c>
      <c r="U87" s="17">
        <f t="shared" ca="1" si="40"/>
        <v>48030</v>
      </c>
      <c r="V87" s="22"/>
      <c r="W87" s="22"/>
      <c r="X87" s="22"/>
    </row>
    <row r="88" spans="2:24" x14ac:dyDescent="0.2">
      <c r="B88" s="17">
        <f t="shared" ca="1" si="29"/>
        <v>48030</v>
      </c>
      <c r="C88" s="9">
        <f t="shared" si="41"/>
        <v>84</v>
      </c>
      <c r="D88" s="9">
        <v>7</v>
      </c>
      <c r="E88" s="13">
        <f t="shared" si="30"/>
        <v>1407.1004226562573</v>
      </c>
      <c r="F88" s="14">
        <f t="shared" si="42"/>
        <v>135330.53041026954</v>
      </c>
      <c r="G88" s="15">
        <f t="shared" si="31"/>
        <v>0.60053533758228006</v>
      </c>
      <c r="H88" s="13">
        <f t="shared" si="32"/>
        <v>3558.2756784651224</v>
      </c>
      <c r="I88" s="13">
        <f t="shared" si="33"/>
        <v>143073.87028812343</v>
      </c>
      <c r="J88" s="15">
        <f t="shared" si="26"/>
        <v>0.39946466241771994</v>
      </c>
      <c r="K88" s="13">
        <f t="shared" si="34"/>
        <v>90019.289893565176</v>
      </c>
      <c r="L88" s="13">
        <f t="shared" si="43"/>
        <v>2801619.0200993735</v>
      </c>
      <c r="M88" s="15">
        <f t="shared" si="35"/>
        <v>0.39946466241771988</v>
      </c>
      <c r="N88" s="13">
        <f t="shared" si="27"/>
        <v>1023.0831088094429</v>
      </c>
      <c r="O88" s="13">
        <f t="shared" si="36"/>
        <v>53054.580394558405</v>
      </c>
      <c r="P88" s="15">
        <f t="shared" si="28"/>
        <v>0.19056660117967963</v>
      </c>
      <c r="Q88" s="7">
        <f t="shared" si="37"/>
        <v>278404.40069839312</v>
      </c>
      <c r="R88" s="7">
        <f t="shared" si="38"/>
        <v>225349.82030383471</v>
      </c>
      <c r="S88" s="13">
        <f>IF('Calc (2)'!$AD$32="Sim",R88,Q88)</f>
        <v>225349.82030383471</v>
      </c>
      <c r="T88" s="9">
        <f t="shared" si="39"/>
        <v>84</v>
      </c>
      <c r="U88" s="17">
        <f t="shared" ca="1" si="40"/>
        <v>48061</v>
      </c>
      <c r="V88" s="22"/>
      <c r="W88" s="22"/>
      <c r="X88" s="22"/>
    </row>
    <row r="89" spans="2:24" x14ac:dyDescent="0.2">
      <c r="B89" s="17">
        <f t="shared" ca="1" si="29"/>
        <v>48061</v>
      </c>
      <c r="C89" s="9">
        <f t="shared" si="41"/>
        <v>85</v>
      </c>
      <c r="D89" s="9"/>
      <c r="E89" s="13">
        <f t="shared" si="30"/>
        <v>1412.8331239541828</v>
      </c>
      <c r="F89" s="14">
        <f t="shared" si="42"/>
        <v>136743.36353422372</v>
      </c>
      <c r="G89" s="15">
        <f t="shared" si="31"/>
        <v>0.59746533445388206</v>
      </c>
      <c r="H89" s="13">
        <f t="shared" si="32"/>
        <v>3622.890365564283</v>
      </c>
      <c r="I89" s="13">
        <f t="shared" si="33"/>
        <v>146696.76065368773</v>
      </c>
      <c r="J89" s="15">
        <f t="shared" si="26"/>
        <v>0.40253466554611794</v>
      </c>
      <c r="K89" s="13">
        <f t="shared" si="34"/>
        <v>92129.100939744618</v>
      </c>
      <c r="L89" s="13">
        <f t="shared" si="43"/>
        <v>2893748.1210391182</v>
      </c>
      <c r="M89" s="15">
        <f t="shared" si="35"/>
        <v>0.402534665546118</v>
      </c>
      <c r="N89" s="13">
        <f t="shared" si="27"/>
        <v>1041.5884328267259</v>
      </c>
      <c r="O89" s="13">
        <f t="shared" si="36"/>
        <v>54567.659713943227</v>
      </c>
      <c r="P89" s="15">
        <f t="shared" si="28"/>
        <v>0.19251917797554535</v>
      </c>
      <c r="Q89" s="7">
        <f t="shared" si="37"/>
        <v>283440.12418791157</v>
      </c>
      <c r="R89" s="7">
        <f t="shared" si="38"/>
        <v>228872.46447396834</v>
      </c>
      <c r="S89" s="13">
        <f>IF('Calc (2)'!$AD$32="Sim",R89,Q89)</f>
        <v>228872.46447396834</v>
      </c>
      <c r="T89" s="9">
        <f t="shared" si="39"/>
        <v>85</v>
      </c>
      <c r="U89" s="17">
        <f t="shared" ca="1" si="40"/>
        <v>48092</v>
      </c>
      <c r="V89" s="22"/>
      <c r="W89" s="22"/>
      <c r="X89" s="22"/>
    </row>
    <row r="90" spans="2:24" x14ac:dyDescent="0.2">
      <c r="B90" s="17">
        <f t="shared" ca="1" si="29"/>
        <v>48092</v>
      </c>
      <c r="C90" s="9">
        <f t="shared" si="41"/>
        <v>86</v>
      </c>
      <c r="D90" s="9"/>
      <c r="E90" s="13">
        <f t="shared" si="30"/>
        <v>1418.5891809868108</v>
      </c>
      <c r="F90" s="14">
        <f t="shared" si="42"/>
        <v>138161.95271521053</v>
      </c>
      <c r="G90" s="15">
        <f t="shared" si="31"/>
        <v>0.59441447952239068</v>
      </c>
      <c r="H90" s="13">
        <f t="shared" si="32"/>
        <v>3688.4204867407311</v>
      </c>
      <c r="I90" s="13">
        <f t="shared" si="33"/>
        <v>150385.18114042847</v>
      </c>
      <c r="J90" s="15">
        <f t="shared" si="26"/>
        <v>0.40558552047760932</v>
      </c>
      <c r="K90" s="13">
        <f t="shared" si="34"/>
        <v>94271.740397755057</v>
      </c>
      <c r="L90" s="13">
        <f t="shared" si="43"/>
        <v>2988019.8614368732</v>
      </c>
      <c r="M90" s="15">
        <f t="shared" si="35"/>
        <v>0.40558552047760926</v>
      </c>
      <c r="N90" s="13">
        <f t="shared" si="27"/>
        <v>1060.3557199618131</v>
      </c>
      <c r="O90" s="13">
        <f t="shared" si="36"/>
        <v>56113.440742673498</v>
      </c>
      <c r="P90" s="15">
        <f t="shared" si="28"/>
        <v>0.19446888968492476</v>
      </c>
      <c r="Q90" s="7">
        <f t="shared" si="37"/>
        <v>288547.13385563908</v>
      </c>
      <c r="R90" s="7">
        <f t="shared" si="38"/>
        <v>232433.69311296559</v>
      </c>
      <c r="S90" s="13">
        <f>IF('Calc (2)'!$AD$32="Sim",R90,Q90)</f>
        <v>232433.69311296559</v>
      </c>
      <c r="T90" s="9">
        <f t="shared" si="39"/>
        <v>86</v>
      </c>
      <c r="U90" s="17">
        <f t="shared" ca="1" si="40"/>
        <v>48122</v>
      </c>
      <c r="V90" s="22"/>
      <c r="W90" s="22"/>
      <c r="X90" s="22"/>
    </row>
    <row r="91" spans="2:24" x14ac:dyDescent="0.2">
      <c r="B91" s="17">
        <f t="shared" ca="1" si="29"/>
        <v>48122</v>
      </c>
      <c r="C91" s="9">
        <f t="shared" si="41"/>
        <v>87</v>
      </c>
      <c r="D91" s="9"/>
      <c r="E91" s="13">
        <f t="shared" si="30"/>
        <v>1424.3686889082953</v>
      </c>
      <c r="F91" s="14">
        <f t="shared" si="42"/>
        <v>139586.32140411882</v>
      </c>
      <c r="G91" s="15">
        <f t="shared" si="31"/>
        <v>0.59138254284351077</v>
      </c>
      <c r="H91" s="13">
        <f t="shared" si="32"/>
        <v>3754.8782585131598</v>
      </c>
      <c r="I91" s="13">
        <f t="shared" si="33"/>
        <v>154140.05939894164</v>
      </c>
      <c r="J91" s="15">
        <f t="shared" si="26"/>
        <v>0.40861745715648923</v>
      </c>
      <c r="K91" s="13">
        <f t="shared" si="34"/>
        <v>96447.567477608944</v>
      </c>
      <c r="L91" s="13">
        <f t="shared" si="43"/>
        <v>3084467.4289144822</v>
      </c>
      <c r="M91" s="15">
        <f t="shared" si="35"/>
        <v>0.40861745715648928</v>
      </c>
      <c r="N91" s="13">
        <f t="shared" si="27"/>
        <v>1079.3884653313812</v>
      </c>
      <c r="O91" s="13">
        <f t="shared" si="36"/>
        <v>57692.491921332781</v>
      </c>
      <c r="P91" s="15">
        <f t="shared" si="28"/>
        <v>0.19641576546035475</v>
      </c>
      <c r="Q91" s="7">
        <f t="shared" si="37"/>
        <v>293726.38080306054</v>
      </c>
      <c r="R91" s="7">
        <f t="shared" si="38"/>
        <v>236033.88888172776</v>
      </c>
      <c r="S91" s="13">
        <f>IF('Calc (2)'!$AD$32="Sim",R91,Q91)</f>
        <v>236033.88888172776</v>
      </c>
      <c r="T91" s="9">
        <f t="shared" si="39"/>
        <v>87</v>
      </c>
      <c r="U91" s="17">
        <f t="shared" ca="1" si="40"/>
        <v>48153</v>
      </c>
      <c r="V91" s="22"/>
      <c r="W91" s="22"/>
      <c r="X91" s="22"/>
    </row>
    <row r="92" spans="2:24" x14ac:dyDescent="0.2">
      <c r="B92" s="17">
        <f t="shared" ca="1" si="29"/>
        <v>48153</v>
      </c>
      <c r="C92" s="9">
        <f t="shared" si="41"/>
        <v>88</v>
      </c>
      <c r="D92" s="9"/>
      <c r="E92" s="13">
        <f t="shared" si="30"/>
        <v>1430.1717432604607</v>
      </c>
      <c r="F92" s="14">
        <f t="shared" si="42"/>
        <v>141016.49314737928</v>
      </c>
      <c r="G92" s="15">
        <f t="shared" si="31"/>
        <v>0.58836930060555104</v>
      </c>
      <c r="H92" s="13">
        <f t="shared" si="32"/>
        <v>3822.2760576126757</v>
      </c>
      <c r="I92" s="13">
        <f t="shared" si="33"/>
        <v>157962.33545655431</v>
      </c>
      <c r="J92" s="15">
        <f t="shared" si="26"/>
        <v>0.41163069939444896</v>
      </c>
      <c r="K92" s="13">
        <f t="shared" si="34"/>
        <v>98656.944950503792</v>
      </c>
      <c r="L92" s="13">
        <f t="shared" si="43"/>
        <v>3183124.373864986</v>
      </c>
      <c r="M92" s="15">
        <f t="shared" si="35"/>
        <v>0.41163069939444902</v>
      </c>
      <c r="N92" s="13">
        <f t="shared" si="27"/>
        <v>1098.6902098853336</v>
      </c>
      <c r="O92" s="13">
        <f t="shared" si="36"/>
        <v>59305.390506050608</v>
      </c>
      <c r="P92" s="15">
        <f t="shared" si="28"/>
        <v>0.19835983297872323</v>
      </c>
      <c r="Q92" s="7">
        <f t="shared" si="37"/>
        <v>298978.82860393368</v>
      </c>
      <c r="R92" s="7">
        <f t="shared" si="38"/>
        <v>239673.43809788307</v>
      </c>
      <c r="S92" s="13">
        <f>IF('Calc (2)'!$AD$32="Sim",R92,Q92)</f>
        <v>239673.43809788307</v>
      </c>
      <c r="T92" s="9">
        <f t="shared" si="39"/>
        <v>88</v>
      </c>
      <c r="U92" s="17">
        <f t="shared" ca="1" si="40"/>
        <v>48183</v>
      </c>
      <c r="V92" s="22"/>
      <c r="W92" s="22"/>
      <c r="X92" s="22"/>
    </row>
    <row r="93" spans="2:24" x14ac:dyDescent="0.2">
      <c r="B93" s="17">
        <f t="shared" ca="1" si="29"/>
        <v>48183</v>
      </c>
      <c r="C93" s="9">
        <f t="shared" si="41"/>
        <v>89</v>
      </c>
      <c r="D93" s="9"/>
      <c r="E93" s="13">
        <f t="shared" si="30"/>
        <v>1435.9984399743801</v>
      </c>
      <c r="F93" s="14">
        <f t="shared" si="42"/>
        <v>142452.49158735367</v>
      </c>
      <c r="G93" s="15">
        <f t="shared" si="31"/>
        <v>0.58537453488398139</v>
      </c>
      <c r="H93" s="13">
        <f t="shared" si="32"/>
        <v>3890.6264230726943</v>
      </c>
      <c r="I93" s="13">
        <f t="shared" si="33"/>
        <v>161852.96187962699</v>
      </c>
      <c r="J93" s="15">
        <f t="shared" si="26"/>
        <v>0.41462546511601861</v>
      </c>
      <c r="K93" s="13">
        <f t="shared" si="34"/>
        <v>100900.23918284819</v>
      </c>
      <c r="L93" s="13">
        <f t="shared" si="43"/>
        <v>3284024.613047834</v>
      </c>
      <c r="M93" s="15">
        <f t="shared" si="35"/>
        <v>0.41462546511601855</v>
      </c>
      <c r="N93" s="13">
        <f t="shared" si="27"/>
        <v>1118.2645410046598</v>
      </c>
      <c r="O93" s="13">
        <f t="shared" si="36"/>
        <v>60952.722696778917</v>
      </c>
      <c r="P93" s="15">
        <f t="shared" si="28"/>
        <v>0.20030111850556337</v>
      </c>
      <c r="Q93" s="7">
        <f t="shared" si="37"/>
        <v>304305.45346698078</v>
      </c>
      <c r="R93" s="7">
        <f t="shared" si="38"/>
        <v>243352.73077020186</v>
      </c>
      <c r="S93" s="13">
        <f>IF('Calc (2)'!$AD$32="Sim",R93,Q93)</f>
        <v>243352.73077020186</v>
      </c>
      <c r="T93" s="9">
        <f t="shared" si="39"/>
        <v>89</v>
      </c>
      <c r="U93" s="17">
        <f t="shared" ca="1" si="40"/>
        <v>48214</v>
      </c>
      <c r="V93" s="22"/>
      <c r="W93" s="22"/>
      <c r="X93" s="22"/>
    </row>
    <row r="94" spans="2:24" x14ac:dyDescent="0.2">
      <c r="B94" s="17">
        <f t="shared" ca="1" si="29"/>
        <v>48214</v>
      </c>
      <c r="C94" s="9">
        <f t="shared" si="41"/>
        <v>90</v>
      </c>
      <c r="D94" s="9"/>
      <c r="E94" s="13">
        <f t="shared" si="30"/>
        <v>1441.8488753719616</v>
      </c>
      <c r="F94" s="14">
        <f t="shared" si="42"/>
        <v>143894.34046272564</v>
      </c>
      <c r="G94" s="15">
        <f t="shared" si="31"/>
        <v>0.58239803340802709</v>
      </c>
      <c r="H94" s="13">
        <f t="shared" si="32"/>
        <v>3959.9420583460555</v>
      </c>
      <c r="I94" s="13">
        <f t="shared" si="33"/>
        <v>165812.90393797305</v>
      </c>
      <c r="J94" s="15">
        <f t="shared" si="26"/>
        <v>0.41760196659197291</v>
      </c>
      <c r="K94" s="13">
        <f t="shared" si="34"/>
        <v>103177.82017060791</v>
      </c>
      <c r="L94" s="13">
        <f t="shared" si="43"/>
        <v>3387202.4332184419</v>
      </c>
      <c r="M94" s="15">
        <f t="shared" si="35"/>
        <v>0.41760196659197285</v>
      </c>
      <c r="N94" s="13">
        <f t="shared" si="27"/>
        <v>1138.1150931070813</v>
      </c>
      <c r="O94" s="13">
        <f t="shared" si="36"/>
        <v>62635.083767365257</v>
      </c>
      <c r="P94" s="15">
        <f t="shared" si="28"/>
        <v>0.20223964695616894</v>
      </c>
      <c r="Q94" s="7">
        <f t="shared" si="37"/>
        <v>309707.24440069881</v>
      </c>
      <c r="R94" s="7">
        <f t="shared" si="38"/>
        <v>247072.16063333355</v>
      </c>
      <c r="S94" s="13">
        <f>IF('Calc (2)'!$AD$32="Sim",R94,Q94)</f>
        <v>247072.16063333355</v>
      </c>
      <c r="T94" s="9">
        <f t="shared" si="39"/>
        <v>90</v>
      </c>
      <c r="U94" s="17">
        <f t="shared" ca="1" si="40"/>
        <v>48245</v>
      </c>
      <c r="V94" s="22"/>
      <c r="W94" s="22"/>
      <c r="X94" s="22"/>
    </row>
    <row r="95" spans="2:24" x14ac:dyDescent="0.2">
      <c r="B95" s="17">
        <f t="shared" ca="1" si="29"/>
        <v>48245</v>
      </c>
      <c r="C95" s="9">
        <f t="shared" si="41"/>
        <v>91</v>
      </c>
      <c r="D95" s="9"/>
      <c r="E95" s="13">
        <f t="shared" si="30"/>
        <v>1447.7231461675412</v>
      </c>
      <c r="F95" s="14">
        <f t="shared" si="42"/>
        <v>145342.06360889319</v>
      </c>
      <c r="G95" s="15">
        <f t="shared" si="31"/>
        <v>0.57943958933861384</v>
      </c>
      <c r="H95" s="13">
        <f t="shared" si="32"/>
        <v>4030.2358334497062</v>
      </c>
      <c r="I95" s="13">
        <f t="shared" si="33"/>
        <v>169843.13977142275</v>
      </c>
      <c r="J95" s="15">
        <f t="shared" si="26"/>
        <v>0.42056041066138616</v>
      </c>
      <c r="K95" s="13">
        <f t="shared" si="34"/>
        <v>105490.06157397546</v>
      </c>
      <c r="L95" s="13">
        <f t="shared" si="43"/>
        <v>3492692.4947924172</v>
      </c>
      <c r="M95" s="15">
        <f t="shared" si="35"/>
        <v>0.42056041066138616</v>
      </c>
      <c r="N95" s="13">
        <f t="shared" si="27"/>
        <v>1158.2455482605862</v>
      </c>
      <c r="O95" s="13">
        <f t="shared" si="36"/>
        <v>64353.078197447379</v>
      </c>
      <c r="P95" s="15">
        <f t="shared" si="28"/>
        <v>0.2041754419537144</v>
      </c>
      <c r="Q95" s="7">
        <f t="shared" si="37"/>
        <v>315185.20338031603</v>
      </c>
      <c r="R95" s="7">
        <f t="shared" si="38"/>
        <v>250832.12518286865</v>
      </c>
      <c r="S95" s="13">
        <f>IF('Calc (2)'!$AD$32="Sim",R95,Q95)</f>
        <v>250832.12518286865</v>
      </c>
      <c r="T95" s="9">
        <f t="shared" si="39"/>
        <v>91</v>
      </c>
      <c r="U95" s="17">
        <f t="shared" ca="1" si="40"/>
        <v>48274</v>
      </c>
      <c r="V95" s="22"/>
      <c r="W95" s="22"/>
      <c r="X95" s="22"/>
    </row>
    <row r="96" spans="2:24" x14ac:dyDescent="0.2">
      <c r="B96" s="17">
        <f t="shared" ca="1" si="29"/>
        <v>48274</v>
      </c>
      <c r="C96" s="9">
        <f t="shared" si="41"/>
        <v>92</v>
      </c>
      <c r="D96" s="9"/>
      <c r="E96" s="13">
        <f t="shared" si="30"/>
        <v>1453.6213494694807</v>
      </c>
      <c r="F96" s="14">
        <f t="shared" si="42"/>
        <v>146795.68495836266</v>
      </c>
      <c r="G96" s="15">
        <f t="shared" si="31"/>
        <v>0.57649900105702512</v>
      </c>
      <c r="H96" s="13">
        <f t="shared" si="32"/>
        <v>4101.5207871373159</v>
      </c>
      <c r="I96" s="13">
        <f t="shared" si="33"/>
        <v>173944.66055856008</v>
      </c>
      <c r="J96" s="15">
        <f t="shared" si="26"/>
        <v>0.42350099894297488</v>
      </c>
      <c r="K96" s="13">
        <f t="shared" si="34"/>
        <v>107837.34075236562</v>
      </c>
      <c r="L96" s="13">
        <f t="shared" si="43"/>
        <v>3600529.8355447827</v>
      </c>
      <c r="M96" s="15">
        <f t="shared" si="35"/>
        <v>0.42350099894297483</v>
      </c>
      <c r="N96" s="13">
        <f t="shared" si="27"/>
        <v>1178.6596368049518</v>
      </c>
      <c r="O96" s="13">
        <f t="shared" si="36"/>
        <v>66107.319806194544</v>
      </c>
      <c r="P96" s="15">
        <f t="shared" si="28"/>
        <v>0.20610852588455109</v>
      </c>
      <c r="Q96" s="7">
        <f t="shared" si="37"/>
        <v>320740.34551692283</v>
      </c>
      <c r="R96" s="7">
        <f t="shared" si="38"/>
        <v>254633.02571072828</v>
      </c>
      <c r="S96" s="13">
        <f>IF('Calc (2)'!$AD$32="Sim",R96,Q96)</f>
        <v>254633.02571072828</v>
      </c>
      <c r="T96" s="9">
        <f t="shared" si="39"/>
        <v>92</v>
      </c>
      <c r="U96" s="17">
        <f t="shared" ca="1" si="40"/>
        <v>48305</v>
      </c>
      <c r="V96" s="22"/>
      <c r="W96" s="22"/>
      <c r="X96" s="22"/>
    </row>
    <row r="97" spans="2:24" x14ac:dyDescent="0.2">
      <c r="B97" s="17">
        <f t="shared" ca="1" si="29"/>
        <v>48305</v>
      </c>
      <c r="C97" s="9">
        <f t="shared" si="41"/>
        <v>93</v>
      </c>
      <c r="D97" s="9"/>
      <c r="E97" s="13">
        <f t="shared" si="30"/>
        <v>1459.5435827817732</v>
      </c>
      <c r="F97" s="14">
        <f t="shared" si="42"/>
        <v>148255.22854114443</v>
      </c>
      <c r="G97" s="15">
        <f t="shared" si="31"/>
        <v>0.57357607196367089</v>
      </c>
      <c r="H97" s="13">
        <f t="shared" si="32"/>
        <v>4173.8101291001822</v>
      </c>
      <c r="I97" s="13">
        <f t="shared" si="33"/>
        <v>178118.47068766027</v>
      </c>
      <c r="J97" s="15">
        <f t="shared" si="26"/>
        <v>0.42642392803632911</v>
      </c>
      <c r="K97" s="13">
        <f t="shared" si="34"/>
        <v>110220.0387997404</v>
      </c>
      <c r="L97" s="13">
        <f t="shared" si="43"/>
        <v>3710749.8743445231</v>
      </c>
      <c r="M97" s="15">
        <f t="shared" si="35"/>
        <v>0.42642392803632911</v>
      </c>
      <c r="N97" s="13">
        <f t="shared" si="27"/>
        <v>1199.3611379813615</v>
      </c>
      <c r="O97" s="13">
        <f t="shared" si="36"/>
        <v>67898.431887919956</v>
      </c>
      <c r="P97" s="15">
        <f t="shared" si="28"/>
        <v>0.20803891995083726</v>
      </c>
      <c r="Q97" s="7">
        <f t="shared" si="37"/>
        <v>326373.69922880479</v>
      </c>
      <c r="R97" s="7">
        <f t="shared" si="38"/>
        <v>258475.26734088483</v>
      </c>
      <c r="S97" s="13">
        <f>IF('Calc (2)'!$AD$32="Sim",R97,Q97)</f>
        <v>258475.26734088483</v>
      </c>
      <c r="T97" s="9">
        <f t="shared" si="39"/>
        <v>93</v>
      </c>
      <c r="U97" s="17">
        <f t="shared" ca="1" si="40"/>
        <v>48335</v>
      </c>
      <c r="V97" s="22"/>
      <c r="W97" s="22"/>
      <c r="X97" s="22"/>
    </row>
    <row r="98" spans="2:24" x14ac:dyDescent="0.2">
      <c r="B98" s="17">
        <f t="shared" ca="1" si="29"/>
        <v>48335</v>
      </c>
      <c r="C98" s="9">
        <f t="shared" si="41"/>
        <v>94</v>
      </c>
      <c r="D98" s="9"/>
      <c r="E98" s="13">
        <f t="shared" si="30"/>
        <v>1465.4899440056558</v>
      </c>
      <c r="F98" s="14">
        <f t="shared" si="42"/>
        <v>149720.71848515008</v>
      </c>
      <c r="G98" s="15">
        <f t="shared" si="31"/>
        <v>0.57067061028640431</v>
      </c>
      <c r="H98" s="13">
        <f t="shared" si="32"/>
        <v>4247.1172421967985</v>
      </c>
      <c r="I98" s="13">
        <f t="shared" si="33"/>
        <v>182365.58792985708</v>
      </c>
      <c r="J98" s="15">
        <f t="shared" si="26"/>
        <v>0.42932938971359569</v>
      </c>
      <c r="K98" s="13">
        <f t="shared" si="34"/>
        <v>112638.54058026639</v>
      </c>
      <c r="L98" s="13">
        <f t="shared" si="43"/>
        <v>3823388.4149247892</v>
      </c>
      <c r="M98" s="15">
        <f t="shared" si="35"/>
        <v>0.42932938971359563</v>
      </c>
      <c r="N98" s="13">
        <f t="shared" si="27"/>
        <v>1220.3538805702215</v>
      </c>
      <c r="O98" s="13">
        <f t="shared" si="36"/>
        <v>69727.047349590808</v>
      </c>
      <c r="P98" s="15">
        <f t="shared" si="28"/>
        <v>0.20996664422065367</v>
      </c>
      <c r="Q98" s="7">
        <f t="shared" si="37"/>
        <v>332086.30641500728</v>
      </c>
      <c r="R98" s="7">
        <f t="shared" si="38"/>
        <v>262359.25906541647</v>
      </c>
      <c r="S98" s="13">
        <f>IF('Calc (2)'!$AD$32="Sim",R98,Q98)</f>
        <v>262359.25906541647</v>
      </c>
      <c r="T98" s="9">
        <f t="shared" si="39"/>
        <v>94</v>
      </c>
      <c r="U98" s="17">
        <f t="shared" ca="1" si="40"/>
        <v>48366</v>
      </c>
      <c r="V98" s="22"/>
      <c r="W98" s="22"/>
      <c r="X98" s="22"/>
    </row>
    <row r="99" spans="2:24" x14ac:dyDescent="0.2">
      <c r="B99" s="17">
        <f t="shared" ca="1" si="29"/>
        <v>48366</v>
      </c>
      <c r="C99" s="9">
        <f t="shared" si="41"/>
        <v>95</v>
      </c>
      <c r="D99" s="9"/>
      <c r="E99" s="13">
        <f t="shared" si="30"/>
        <v>1471.4605314412267</v>
      </c>
      <c r="F99" s="14">
        <f t="shared" si="42"/>
        <v>151192.17901659131</v>
      </c>
      <c r="G99" s="15">
        <f t="shared" si="31"/>
        <v>0.56778242889786357</v>
      </c>
      <c r="H99" s="13">
        <f t="shared" si="32"/>
        <v>4321.45568471146</v>
      </c>
      <c r="I99" s="13">
        <f t="shared" si="33"/>
        <v>186687.04361456854</v>
      </c>
      <c r="J99" s="15">
        <f t="shared" si="26"/>
        <v>0.43221757110213643</v>
      </c>
      <c r="K99" s="13">
        <f t="shared" si="34"/>
        <v>115093.23476430742</v>
      </c>
      <c r="L99" s="13">
        <f t="shared" si="43"/>
        <v>3938481.6496890965</v>
      </c>
      <c r="M99" s="15">
        <f t="shared" si="35"/>
        <v>0.43221757110213643</v>
      </c>
      <c r="N99" s="13">
        <f t="shared" si="27"/>
        <v>1241.6417435372823</v>
      </c>
      <c r="O99" s="13">
        <f t="shared" si="36"/>
        <v>71593.808850261208</v>
      </c>
      <c r="P99" s="15">
        <f t="shared" si="28"/>
        <v>0.21189171767574286</v>
      </c>
      <c r="Q99" s="7">
        <f t="shared" si="37"/>
        <v>337879.22263115994</v>
      </c>
      <c r="R99" s="7">
        <f t="shared" si="38"/>
        <v>266285.41378089873</v>
      </c>
      <c r="S99" s="13">
        <f>IF('Calc (2)'!$AD$32="Sim",R99,Q99)</f>
        <v>266285.41378089873</v>
      </c>
      <c r="T99" s="9">
        <f t="shared" si="39"/>
        <v>95</v>
      </c>
      <c r="U99" s="17">
        <f t="shared" ca="1" si="40"/>
        <v>48396</v>
      </c>
      <c r="V99" s="22"/>
      <c r="W99" s="22"/>
      <c r="X99" s="22"/>
    </row>
    <row r="100" spans="2:24" x14ac:dyDescent="0.2">
      <c r="B100" s="17">
        <f t="shared" ca="1" si="29"/>
        <v>48396</v>
      </c>
      <c r="C100" s="9">
        <f t="shared" si="41"/>
        <v>96</v>
      </c>
      <c r="D100" s="9">
        <v>8</v>
      </c>
      <c r="E100" s="13">
        <f t="shared" si="30"/>
        <v>1477.4554437890713</v>
      </c>
      <c r="F100" s="14">
        <f t="shared" si="42"/>
        <v>152669.63446038039</v>
      </c>
      <c r="G100" s="15">
        <f t="shared" si="31"/>
        <v>0.56491134514134111</v>
      </c>
      <c r="H100" s="13">
        <f t="shared" si="32"/>
        <v>4396.8391926422728</v>
      </c>
      <c r="I100" s="13">
        <f t="shared" si="33"/>
        <v>191083.88280721082</v>
      </c>
      <c r="J100" s="15">
        <f t="shared" si="26"/>
        <v>0.43508865485865889</v>
      </c>
      <c r="K100" s="13">
        <f t="shared" si="34"/>
        <v>117584.51386475613</v>
      </c>
      <c r="L100" s="13">
        <f t="shared" si="43"/>
        <v>4056066.1635538526</v>
      </c>
      <c r="M100" s="15">
        <f t="shared" si="35"/>
        <v>0.43508865485865889</v>
      </c>
      <c r="N100" s="13">
        <f t="shared" si="27"/>
        <v>1263.228656688176</v>
      </c>
      <c r="O100" s="13">
        <f t="shared" si="36"/>
        <v>73499.368942454748</v>
      </c>
      <c r="P100" s="15">
        <f t="shared" si="28"/>
        <v>0.21381415825700467</v>
      </c>
      <c r="Q100" s="7">
        <f t="shared" si="37"/>
        <v>343753.51726759126</v>
      </c>
      <c r="R100" s="7">
        <f t="shared" si="38"/>
        <v>270254.14832513651</v>
      </c>
      <c r="S100" s="13">
        <f>IF('Calc (2)'!$AD$32="Sim",R100,Q100)</f>
        <v>270254.14832513651</v>
      </c>
      <c r="T100" s="9">
        <f t="shared" si="39"/>
        <v>96</v>
      </c>
      <c r="U100" s="17">
        <f t="shared" ca="1" si="40"/>
        <v>48427</v>
      </c>
      <c r="V100" s="22"/>
      <c r="W100" s="22"/>
      <c r="X100" s="22"/>
    </row>
    <row r="101" spans="2:24" x14ac:dyDescent="0.2">
      <c r="B101" s="17">
        <f t="shared" ca="1" si="29"/>
        <v>48427</v>
      </c>
      <c r="C101" s="9">
        <f t="shared" si="41"/>
        <v>97</v>
      </c>
      <c r="D101" s="9"/>
      <c r="E101" s="13">
        <f t="shared" si="30"/>
        <v>1483.4747801518931</v>
      </c>
      <c r="F101" s="14">
        <f t="shared" si="42"/>
        <v>154153.10924053227</v>
      </c>
      <c r="G101" s="15">
        <f t="shared" si="31"/>
        <v>0.56205718066472199</v>
      </c>
      <c r="H101" s="13">
        <f t="shared" si="32"/>
        <v>4473.2816820189719</v>
      </c>
      <c r="I101" s="13">
        <f t="shared" si="33"/>
        <v>195557.16448922979</v>
      </c>
      <c r="J101" s="15">
        <f t="shared" si="26"/>
        <v>0.43794281933527801</v>
      </c>
      <c r="K101" s="13">
        <f t="shared" si="34"/>
        <v>120112.77427370683</v>
      </c>
      <c r="L101" s="13">
        <f t="shared" si="43"/>
        <v>4176178.9378275592</v>
      </c>
      <c r="M101" s="15">
        <f t="shared" si="35"/>
        <v>0.43794281933527807</v>
      </c>
      <c r="N101" s="13">
        <f t="shared" si="27"/>
        <v>1285.1186013314743</v>
      </c>
      <c r="O101" s="13">
        <f t="shared" si="36"/>
        <v>75444.390215523017</v>
      </c>
      <c r="P101" s="15">
        <f t="shared" si="28"/>
        <v>0.21573398290786994</v>
      </c>
      <c r="Q101" s="7">
        <f t="shared" si="37"/>
        <v>349710.27372976212</v>
      </c>
      <c r="R101" s="7">
        <f t="shared" si="38"/>
        <v>274265.8835142391</v>
      </c>
      <c r="S101" s="13">
        <f>IF('Calc (2)'!$AD$32="Sim",R101,Q101)</f>
        <v>274265.8835142391</v>
      </c>
      <c r="T101" s="9">
        <f t="shared" si="39"/>
        <v>97</v>
      </c>
      <c r="U101" s="17">
        <f t="shared" ca="1" si="40"/>
        <v>48458</v>
      </c>
      <c r="V101" s="22"/>
      <c r="W101" s="22"/>
      <c r="X101" s="22"/>
    </row>
    <row r="102" spans="2:24" x14ac:dyDescent="0.2">
      <c r="B102" s="17">
        <f t="shared" ca="1" si="29"/>
        <v>48458</v>
      </c>
      <c r="C102" s="9">
        <f t="shared" si="41"/>
        <v>98</v>
      </c>
      <c r="D102" s="9"/>
      <c r="E102" s="13">
        <f t="shared" si="30"/>
        <v>1489.5186400361524</v>
      </c>
      <c r="F102" s="14">
        <f t="shared" si="42"/>
        <v>155642.62788056841</v>
      </c>
      <c r="G102" s="15">
        <f t="shared" si="31"/>
        <v>0.55921976126205286</v>
      </c>
      <c r="H102" s="13">
        <f t="shared" si="32"/>
        <v>4550.7972512509059</v>
      </c>
      <c r="I102" s="13">
        <f t="shared" si="33"/>
        <v>200107.96174048071</v>
      </c>
      <c r="J102" s="15">
        <f t="shared" si="26"/>
        <v>0.44078023873794714</v>
      </c>
      <c r="K102" s="13">
        <f t="shared" si="34"/>
        <v>122678.4162994737</v>
      </c>
      <c r="L102" s="13">
        <f t="shared" si="43"/>
        <v>4298857.3541270327</v>
      </c>
      <c r="M102" s="15">
        <f t="shared" si="35"/>
        <v>0.44078023873794714</v>
      </c>
      <c r="N102" s="13">
        <f t="shared" si="27"/>
        <v>1307.3156109503841</v>
      </c>
      <c r="O102" s="13">
        <f t="shared" si="36"/>
        <v>77429.545441007067</v>
      </c>
      <c r="P102" s="15">
        <f t="shared" si="28"/>
        <v>0.21765120761566739</v>
      </c>
      <c r="Q102" s="7">
        <f t="shared" si="37"/>
        <v>355750.58962104918</v>
      </c>
      <c r="R102" s="7">
        <f t="shared" si="38"/>
        <v>278321.04418004211</v>
      </c>
      <c r="S102" s="13">
        <f>IF('Calc (2)'!$AD$32="Sim",R102,Q102)</f>
        <v>278321.04418004211</v>
      </c>
      <c r="T102" s="9">
        <f t="shared" si="39"/>
        <v>98</v>
      </c>
      <c r="U102" s="17">
        <f t="shared" ca="1" si="40"/>
        <v>48488</v>
      </c>
      <c r="V102" s="22"/>
      <c r="W102" s="22"/>
      <c r="X102" s="22"/>
    </row>
    <row r="103" spans="2:24" x14ac:dyDescent="0.2">
      <c r="B103" s="17">
        <f t="shared" ca="1" si="29"/>
        <v>48488</v>
      </c>
      <c r="C103" s="9">
        <f t="shared" si="41"/>
        <v>99</v>
      </c>
      <c r="D103" s="9"/>
      <c r="E103" s="13">
        <f t="shared" si="30"/>
        <v>1495.5871233537111</v>
      </c>
      <c r="F103" s="14">
        <f t="shared" si="42"/>
        <v>157138.21500392212</v>
      </c>
      <c r="G103" s="15">
        <f t="shared" si="31"/>
        <v>0.55639891672233632</v>
      </c>
      <c r="H103" s="13">
        <f t="shared" si="32"/>
        <v>4629.4001835056151</v>
      </c>
      <c r="I103" s="13">
        <f t="shared" si="33"/>
        <v>204737.36192398632</v>
      </c>
      <c r="J103" s="15">
        <f t="shared" si="26"/>
        <v>0.44360108327766368</v>
      </c>
      <c r="K103" s="13">
        <f t="shared" si="34"/>
        <v>125281.84420395718</v>
      </c>
      <c r="L103" s="13">
        <f t="shared" si="43"/>
        <v>4424139.19833099</v>
      </c>
      <c r="M103" s="15">
        <f t="shared" si="35"/>
        <v>0.44360108327766373</v>
      </c>
      <c r="N103" s="13">
        <f t="shared" si="27"/>
        <v>1329.8237718831872</v>
      </c>
      <c r="O103" s="13">
        <f t="shared" si="36"/>
        <v>79455.517720029224</v>
      </c>
      <c r="P103" s="15">
        <f t="shared" si="28"/>
        <v>0.21956584745109242</v>
      </c>
      <c r="Q103" s="7">
        <f t="shared" si="37"/>
        <v>361875.57692790852</v>
      </c>
      <c r="R103" s="7">
        <f t="shared" si="38"/>
        <v>282420.0592078793</v>
      </c>
      <c r="S103" s="13">
        <f>IF('Calc (2)'!$AD$32="Sim",R103,Q103)</f>
        <v>282420.0592078793</v>
      </c>
      <c r="T103" s="9">
        <f t="shared" si="39"/>
        <v>99</v>
      </c>
      <c r="U103" s="17">
        <f t="shared" ca="1" si="40"/>
        <v>48519</v>
      </c>
      <c r="V103" s="22"/>
      <c r="W103" s="22"/>
      <c r="X103" s="22"/>
    </row>
    <row r="104" spans="2:24" x14ac:dyDescent="0.2">
      <c r="B104" s="17">
        <f t="shared" ca="1" si="29"/>
        <v>48519</v>
      </c>
      <c r="C104" s="9">
        <f t="shared" si="41"/>
        <v>100</v>
      </c>
      <c r="D104" s="9"/>
      <c r="E104" s="13">
        <f t="shared" si="30"/>
        <v>1501.6803304234847</v>
      </c>
      <c r="F104" s="14">
        <f t="shared" si="42"/>
        <v>158639.89533434561</v>
      </c>
      <c r="G104" s="15">
        <f t="shared" si="31"/>
        <v>0.55359448068516637</v>
      </c>
      <c r="H104" s="13">
        <f t="shared" si="32"/>
        <v>4709.1049491183676</v>
      </c>
      <c r="I104" s="13">
        <f t="shared" si="33"/>
        <v>209446.46687310468</v>
      </c>
      <c r="J104" s="15">
        <f t="shared" si="26"/>
        <v>0.44640551931483363</v>
      </c>
      <c r="K104" s="13">
        <f t="shared" si="34"/>
        <v>127923.46624036159</v>
      </c>
      <c r="L104" s="13">
        <f t="shared" si="43"/>
        <v>4552062.6645713514</v>
      </c>
      <c r="M104" s="15">
        <f t="shared" si="35"/>
        <v>0.44640551931483358</v>
      </c>
      <c r="N104" s="13">
        <f t="shared" si="27"/>
        <v>1352.6472240125424</v>
      </c>
      <c r="O104" s="13">
        <f t="shared" si="36"/>
        <v>81523.000632743177</v>
      </c>
      <c r="P104" s="15">
        <f t="shared" si="28"/>
        <v>0.22147791660587929</v>
      </c>
      <c r="Q104" s="7">
        <f t="shared" si="37"/>
        <v>368086.36220745038</v>
      </c>
      <c r="R104" s="7">
        <f t="shared" si="38"/>
        <v>286563.3615747072</v>
      </c>
      <c r="S104" s="13">
        <f>IF('Calc (2)'!$AD$32="Sim",R104,Q104)</f>
        <v>286563.3615747072</v>
      </c>
      <c r="T104" s="9">
        <f t="shared" si="39"/>
        <v>100</v>
      </c>
      <c r="U104" s="17">
        <f t="shared" ca="1" si="40"/>
        <v>48549</v>
      </c>
      <c r="V104" s="22"/>
      <c r="W104" s="22"/>
      <c r="X104" s="22"/>
    </row>
    <row r="105" spans="2:24" x14ac:dyDescent="0.2">
      <c r="B105" s="17">
        <f t="shared" ca="1" si="29"/>
        <v>48549</v>
      </c>
      <c r="C105" s="9">
        <f t="shared" si="41"/>
        <v>101</v>
      </c>
      <c r="D105" s="9"/>
      <c r="E105" s="13">
        <f t="shared" si="30"/>
        <v>1507.7983619730999</v>
      </c>
      <c r="F105" s="14">
        <f t="shared" si="42"/>
        <v>160147.69369631872</v>
      </c>
      <c r="G105" s="15">
        <f t="shared" si="31"/>
        <v>0.55080629050284602</v>
      </c>
      <c r="H105" s="13">
        <f t="shared" si="32"/>
        <v>4789.9262080330818</v>
      </c>
      <c r="I105" s="13">
        <f t="shared" si="33"/>
        <v>214236.39308113776</v>
      </c>
      <c r="J105" s="15">
        <f t="shared" si="26"/>
        <v>0.44919370949715398</v>
      </c>
      <c r="K105" s="13">
        <f t="shared" si="34"/>
        <v>130603.69469126768</v>
      </c>
      <c r="L105" s="13">
        <f t="shared" si="43"/>
        <v>4682666.3592626192</v>
      </c>
      <c r="M105" s="15">
        <f t="shared" si="35"/>
        <v>0.44919370949715398</v>
      </c>
      <c r="N105" s="13">
        <f t="shared" si="27"/>
        <v>1375.7901614637633</v>
      </c>
      <c r="O105" s="13">
        <f t="shared" si="36"/>
        <v>83632.698389870173</v>
      </c>
      <c r="P105" s="15">
        <f t="shared" si="28"/>
        <v>0.22338742842877179</v>
      </c>
      <c r="Q105" s="7">
        <f t="shared" si="37"/>
        <v>374384.08677745657</v>
      </c>
      <c r="R105" s="7">
        <f t="shared" si="38"/>
        <v>290751.3883875864</v>
      </c>
      <c r="S105" s="13">
        <f>IF('Calc (2)'!$AD$32="Sim",R105,Q105)</f>
        <v>290751.3883875864</v>
      </c>
      <c r="T105" s="9">
        <f t="shared" si="39"/>
        <v>101</v>
      </c>
      <c r="U105" s="17">
        <f t="shared" ca="1" si="40"/>
        <v>48580</v>
      </c>
      <c r="V105" s="22"/>
      <c r="W105" s="22"/>
      <c r="X105" s="22"/>
    </row>
    <row r="106" spans="2:24" x14ac:dyDescent="0.2">
      <c r="B106" s="17">
        <f t="shared" ca="1" si="29"/>
        <v>48580</v>
      </c>
      <c r="C106" s="9">
        <f t="shared" si="41"/>
        <v>102</v>
      </c>
      <c r="D106" s="9"/>
      <c r="E106" s="13">
        <f t="shared" si="30"/>
        <v>1513.9413191405606</v>
      </c>
      <c r="F106" s="14">
        <f t="shared" si="42"/>
        <v>161661.63501545927</v>
      </c>
      <c r="G106" s="15">
        <f t="shared" si="31"/>
        <v>0.54803418710864626</v>
      </c>
      <c r="H106" s="13">
        <f t="shared" si="32"/>
        <v>4871.8788122750329</v>
      </c>
      <c r="I106" s="13">
        <f t="shared" si="33"/>
        <v>219108.27189341281</v>
      </c>
      <c r="J106" s="15">
        <f t="shared" si="26"/>
        <v>0.45196581289135374</v>
      </c>
      <c r="K106" s="13">
        <f t="shared" si="34"/>
        <v>133322.94590706314</v>
      </c>
      <c r="L106" s="13">
        <f t="shared" si="43"/>
        <v>4815989.305169682</v>
      </c>
      <c r="M106" s="15">
        <f t="shared" si="35"/>
        <v>0.45196581289135368</v>
      </c>
      <c r="N106" s="13">
        <f t="shared" si="27"/>
        <v>1399.2568333121881</v>
      </c>
      <c r="O106" s="13">
        <f t="shared" si="36"/>
        <v>85785.325986349722</v>
      </c>
      <c r="P106" s="15">
        <f t="shared" si="28"/>
        <v>0.22529439545988156</v>
      </c>
      <c r="Q106" s="7">
        <f t="shared" si="37"/>
        <v>380769.90690887213</v>
      </c>
      <c r="R106" s="7">
        <f t="shared" si="38"/>
        <v>294984.58092252241</v>
      </c>
      <c r="S106" s="13">
        <f>IF('Calc (2)'!$AD$32="Sim",R106,Q106)</f>
        <v>294984.58092252241</v>
      </c>
      <c r="T106" s="9">
        <f t="shared" si="39"/>
        <v>102</v>
      </c>
      <c r="U106" s="17">
        <f t="shared" ca="1" si="40"/>
        <v>48611</v>
      </c>
      <c r="V106" s="22"/>
      <c r="W106" s="22"/>
      <c r="X106" s="22"/>
    </row>
    <row r="107" spans="2:24" x14ac:dyDescent="0.2">
      <c r="B107" s="17">
        <f t="shared" ca="1" si="29"/>
        <v>48611</v>
      </c>
      <c r="C107" s="9">
        <f t="shared" si="41"/>
        <v>103</v>
      </c>
      <c r="D107" s="9"/>
      <c r="E107" s="13">
        <f t="shared" si="30"/>
        <v>1520.1093034759192</v>
      </c>
      <c r="F107" s="14">
        <f t="shared" si="42"/>
        <v>163181.74431893518</v>
      </c>
      <c r="G107" s="15">
        <f t="shared" si="31"/>
        <v>0.545278014890892</v>
      </c>
      <c r="H107" s="13">
        <f t="shared" si="32"/>
        <v>4954.9778084557547</v>
      </c>
      <c r="I107" s="13">
        <f t="shared" si="33"/>
        <v>224063.24970186857</v>
      </c>
      <c r="J107" s="15">
        <f t="shared" si="26"/>
        <v>0.454721985109108</v>
      </c>
      <c r="K107" s="13">
        <f t="shared" si="34"/>
        <v>136081.64034473445</v>
      </c>
      <c r="L107" s="13">
        <f t="shared" si="43"/>
        <v>4952070.9455144163</v>
      </c>
      <c r="M107" s="15">
        <f t="shared" si="35"/>
        <v>0.45472198510910805</v>
      </c>
      <c r="N107" s="13">
        <f t="shared" si="27"/>
        <v>1423.0515442997623</v>
      </c>
      <c r="O107" s="13">
        <f t="shared" si="36"/>
        <v>87981.609357134206</v>
      </c>
      <c r="P107" s="15">
        <f t="shared" si="28"/>
        <v>0.22719882946351941</v>
      </c>
      <c r="Q107" s="7">
        <f t="shared" si="37"/>
        <v>387244.99402080383</v>
      </c>
      <c r="R107" s="7">
        <f t="shared" si="38"/>
        <v>299263.38466366963</v>
      </c>
      <c r="S107" s="13">
        <f>IF('Calc (2)'!$AD$32="Sim",R107,Q107)</f>
        <v>299263.38466366963</v>
      </c>
      <c r="T107" s="9">
        <f t="shared" si="39"/>
        <v>103</v>
      </c>
      <c r="U107" s="17">
        <f t="shared" ca="1" si="40"/>
        <v>48639</v>
      </c>
      <c r="V107" s="22"/>
      <c r="W107" s="22"/>
      <c r="X107" s="22"/>
    </row>
    <row r="108" spans="2:24" x14ac:dyDescent="0.2">
      <c r="B108" s="17">
        <f t="shared" ca="1" si="29"/>
        <v>48639</v>
      </c>
      <c r="C108" s="9">
        <f t="shared" si="41"/>
        <v>104</v>
      </c>
      <c r="D108" s="9"/>
      <c r="E108" s="13">
        <f t="shared" si="30"/>
        <v>1526.3024169429557</v>
      </c>
      <c r="F108" s="14">
        <f t="shared" si="42"/>
        <v>164708.04673587813</v>
      </c>
      <c r="G108" s="15">
        <f t="shared" si="31"/>
        <v>0.54253762157256991</v>
      </c>
      <c r="H108" s="13">
        <f t="shared" si="32"/>
        <v>5039.2384403105661</v>
      </c>
      <c r="I108" s="13">
        <f t="shared" si="33"/>
        <v>229102.48814217912</v>
      </c>
      <c r="J108" s="15">
        <f t="shared" si="26"/>
        <v>0.45746237842743009</v>
      </c>
      <c r="K108" s="13">
        <f t="shared" si="34"/>
        <v>138880.20260702344</v>
      </c>
      <c r="L108" s="13">
        <f t="shared" si="43"/>
        <v>5090951.1481214399</v>
      </c>
      <c r="M108" s="15">
        <f t="shared" si="35"/>
        <v>0.45746237842743009</v>
      </c>
      <c r="N108" s="13">
        <f t="shared" si="27"/>
        <v>1447.1786555609497</v>
      </c>
      <c r="O108" s="13">
        <f t="shared" si="36"/>
        <v>90222.285535155796</v>
      </c>
      <c r="P108" s="15">
        <f t="shared" si="28"/>
        <v>0.22910074145957762</v>
      </c>
      <c r="Q108" s="7">
        <f t="shared" si="37"/>
        <v>393810.53487805737</v>
      </c>
      <c r="R108" s="7">
        <f t="shared" si="38"/>
        <v>303588.24934290157</v>
      </c>
      <c r="S108" s="13">
        <f>IF('Calc (2)'!$AD$32="Sim",R108,Q108)</f>
        <v>303588.24934290157</v>
      </c>
      <c r="T108" s="9">
        <f t="shared" si="39"/>
        <v>104</v>
      </c>
      <c r="U108" s="17">
        <f t="shared" ca="1" si="40"/>
        <v>48670</v>
      </c>
      <c r="V108" s="22"/>
      <c r="W108" s="22"/>
      <c r="X108" s="22"/>
    </row>
    <row r="109" spans="2:24" x14ac:dyDescent="0.2">
      <c r="B109" s="17">
        <f t="shared" ca="1" si="29"/>
        <v>48670</v>
      </c>
      <c r="C109" s="9">
        <f t="shared" si="41"/>
        <v>105</v>
      </c>
      <c r="D109" s="9"/>
      <c r="E109" s="13">
        <f t="shared" si="30"/>
        <v>1532.5207619208629</v>
      </c>
      <c r="F109" s="14">
        <f t="shared" si="42"/>
        <v>166240.567497799</v>
      </c>
      <c r="G109" s="15">
        <f t="shared" si="31"/>
        <v>0.53981285809618063</v>
      </c>
      <c r="H109" s="13">
        <f t="shared" si="32"/>
        <v>5124.6761512691337</v>
      </c>
      <c r="I109" s="13">
        <f t="shared" si="33"/>
        <v>234227.16429344827</v>
      </c>
      <c r="J109" s="15">
        <f t="shared" si="26"/>
        <v>0.46018714190381937</v>
      </c>
      <c r="K109" s="13">
        <f t="shared" si="34"/>
        <v>141719.06148195243</v>
      </c>
      <c r="L109" s="13">
        <f t="shared" si="43"/>
        <v>5232670.2096033925</v>
      </c>
      <c r="M109" s="15">
        <f t="shared" si="35"/>
        <v>0.46018714190381937</v>
      </c>
      <c r="N109" s="13">
        <f t="shared" si="27"/>
        <v>1471.6425853580995</v>
      </c>
      <c r="O109" s="13">
        <f t="shared" si="36"/>
        <v>92508.10281149589</v>
      </c>
      <c r="P109" s="15">
        <f t="shared" si="28"/>
        <v>0.23100014175353781</v>
      </c>
      <c r="Q109" s="7">
        <f t="shared" si="37"/>
        <v>400467.73179124732</v>
      </c>
      <c r="R109" s="7">
        <f t="shared" si="38"/>
        <v>307959.62897975143</v>
      </c>
      <c r="S109" s="13">
        <f>IF('Calc (2)'!$AD$32="Sim",R109,Q109)</f>
        <v>307959.62897975143</v>
      </c>
      <c r="T109" s="9">
        <f t="shared" si="39"/>
        <v>105</v>
      </c>
      <c r="U109" s="17">
        <f t="shared" ca="1" si="40"/>
        <v>48700</v>
      </c>
      <c r="V109" s="22"/>
      <c r="W109" s="22"/>
      <c r="X109" s="22"/>
    </row>
    <row r="110" spans="2:24" x14ac:dyDescent="0.2">
      <c r="B110" s="17">
        <f t="shared" ca="1" si="29"/>
        <v>48700</v>
      </c>
      <c r="C110" s="9">
        <f t="shared" si="41"/>
        <v>106</v>
      </c>
      <c r="D110" s="9"/>
      <c r="E110" s="13">
        <f t="shared" si="30"/>
        <v>1538.7644412059396</v>
      </c>
      <c r="F110" s="14">
        <f t="shared" si="42"/>
        <v>167779.33193900494</v>
      </c>
      <c r="G110" s="15">
        <f t="shared" si="31"/>
        <v>0.53710357851356649</v>
      </c>
      <c r="H110" s="13">
        <f t="shared" si="32"/>
        <v>5211.3065870595092</v>
      </c>
      <c r="I110" s="13">
        <f t="shared" si="33"/>
        <v>239438.47088050778</v>
      </c>
      <c r="J110" s="15">
        <f t="shared" si="26"/>
        <v>0.46289642148643351</v>
      </c>
      <c r="K110" s="13">
        <f t="shared" si="34"/>
        <v>144598.64998272056</v>
      </c>
      <c r="L110" s="13">
        <f t="shared" si="43"/>
        <v>5377268.8595861131</v>
      </c>
      <c r="M110" s="15">
        <f t="shared" si="35"/>
        <v>0.46289642148643351</v>
      </c>
      <c r="N110" s="13">
        <f t="shared" si="27"/>
        <v>1496.4478098263858</v>
      </c>
      <c r="O110" s="13">
        <f t="shared" si="36"/>
        <v>94839.820897787286</v>
      </c>
      <c r="P110" s="15">
        <f t="shared" si="28"/>
        <v>0.23289703996517613</v>
      </c>
      <c r="Q110" s="7">
        <f t="shared" si="37"/>
        <v>407217.80281951278</v>
      </c>
      <c r="R110" s="7">
        <f t="shared" si="38"/>
        <v>312377.9819217255</v>
      </c>
      <c r="S110" s="13">
        <f>IF('Calc (2)'!$AD$32="Sim",R110,Q110)</f>
        <v>312377.9819217255</v>
      </c>
      <c r="T110" s="9">
        <f t="shared" si="39"/>
        <v>106</v>
      </c>
      <c r="U110" s="17">
        <f t="shared" ca="1" si="40"/>
        <v>48731</v>
      </c>
      <c r="V110" s="22"/>
      <c r="W110" s="22"/>
      <c r="X110" s="22"/>
    </row>
    <row r="111" spans="2:24" x14ac:dyDescent="0.2">
      <c r="B111" s="17">
        <f t="shared" ca="1" si="29"/>
        <v>48731</v>
      </c>
      <c r="C111" s="9">
        <f t="shared" si="41"/>
        <v>107</v>
      </c>
      <c r="D111" s="9"/>
      <c r="E111" s="13">
        <f t="shared" si="30"/>
        <v>1545.0335580132892</v>
      </c>
      <c r="F111" s="14">
        <f t="shared" si="42"/>
        <v>169324.36549701824</v>
      </c>
      <c r="G111" s="15">
        <f t="shared" si="31"/>
        <v>0.53440963988046608</v>
      </c>
      <c r="H111" s="13">
        <f t="shared" si="32"/>
        <v>5299.1455983460819</v>
      </c>
      <c r="I111" s="13">
        <f t="shared" si="33"/>
        <v>244737.61647885386</v>
      </c>
      <c r="J111" s="15">
        <f t="shared" si="26"/>
        <v>0.46559036011953392</v>
      </c>
      <c r="K111" s="13">
        <f t="shared" si="34"/>
        <v>147519.40538797519</v>
      </c>
      <c r="L111" s="13">
        <f t="shared" si="43"/>
        <v>5524788.2649740884</v>
      </c>
      <c r="M111" s="15">
        <f t="shared" si="35"/>
        <v>0.46559036011953392</v>
      </c>
      <c r="N111" s="13">
        <f t="shared" si="27"/>
        <v>1521.598863728449</v>
      </c>
      <c r="O111" s="13">
        <f t="shared" si="36"/>
        <v>97218.2110908787</v>
      </c>
      <c r="P111" s="15">
        <f t="shared" si="28"/>
        <v>0.23479144505602961</v>
      </c>
      <c r="Q111" s="7">
        <f t="shared" si="37"/>
        <v>414061.98197587213</v>
      </c>
      <c r="R111" s="7">
        <f t="shared" si="38"/>
        <v>316843.77088499343</v>
      </c>
      <c r="S111" s="13">
        <f>IF('Calc (2)'!$AD$32="Sim",R111,Q111)</f>
        <v>316843.77088499343</v>
      </c>
      <c r="T111" s="9">
        <f t="shared" si="39"/>
        <v>107</v>
      </c>
      <c r="U111" s="17">
        <f t="shared" ca="1" si="40"/>
        <v>48761</v>
      </c>
      <c r="V111" s="22"/>
      <c r="W111" s="22"/>
      <c r="X111" s="22"/>
    </row>
    <row r="112" spans="2:24" x14ac:dyDescent="0.2">
      <c r="B112" s="17">
        <f t="shared" ca="1" si="29"/>
        <v>48761</v>
      </c>
      <c r="C112" s="9">
        <f t="shared" si="41"/>
        <v>108</v>
      </c>
      <c r="D112" s="9">
        <v>9</v>
      </c>
      <c r="E112" s="13">
        <f t="shared" si="30"/>
        <v>1551.328215978526</v>
      </c>
      <c r="F112" s="14">
        <f t="shared" si="42"/>
        <v>170875.69371299676</v>
      </c>
      <c r="G112" s="15">
        <f t="shared" si="31"/>
        <v>0.53173090215555752</v>
      </c>
      <c r="H112" s="13">
        <f t="shared" si="32"/>
        <v>5388.2092434018668</v>
      </c>
      <c r="I112" s="13">
        <f t="shared" si="33"/>
        <v>250125.82572225571</v>
      </c>
      <c r="J112" s="15">
        <f t="shared" si="26"/>
        <v>0.46826909784444248</v>
      </c>
      <c r="K112" s="13">
        <f t="shared" si="34"/>
        <v>150481.76928246251</v>
      </c>
      <c r="L112" s="13">
        <f t="shared" si="43"/>
        <v>5675270.0342565505</v>
      </c>
      <c r="M112" s="15">
        <f t="shared" si="35"/>
        <v>0.46826909784444248</v>
      </c>
      <c r="N112" s="13">
        <f t="shared" si="27"/>
        <v>1547.1003412188638</v>
      </c>
      <c r="O112" s="13">
        <f t="shared" si="36"/>
        <v>99644.056439793261</v>
      </c>
      <c r="P112" s="15">
        <f t="shared" si="28"/>
        <v>0.23668336535568707</v>
      </c>
      <c r="Q112" s="7">
        <f t="shared" si="37"/>
        <v>421001.51943525253</v>
      </c>
      <c r="R112" s="7">
        <f t="shared" si="38"/>
        <v>321357.46299545927</v>
      </c>
      <c r="S112" s="13">
        <f>IF('Calc (2)'!$AD$32="Sim",R112,Q112)</f>
        <v>321357.46299545927</v>
      </c>
      <c r="T112" s="9">
        <f t="shared" si="39"/>
        <v>108</v>
      </c>
      <c r="U112" s="17">
        <f t="shared" ca="1" si="40"/>
        <v>48792</v>
      </c>
      <c r="V112" s="22"/>
      <c r="W112" s="22"/>
      <c r="X112" s="22"/>
    </row>
    <row r="113" spans="2:24" x14ac:dyDescent="0.2">
      <c r="B113" s="17">
        <f t="shared" ca="1" si="29"/>
        <v>48792</v>
      </c>
      <c r="C113" s="9">
        <f t="shared" si="41"/>
        <v>109</v>
      </c>
      <c r="D113" s="9"/>
      <c r="E113" s="13">
        <f t="shared" si="30"/>
        <v>1557.6485191594888</v>
      </c>
      <c r="F113" s="14">
        <f t="shared" si="42"/>
        <v>172433.34223215625</v>
      </c>
      <c r="G113" s="15">
        <f t="shared" si="31"/>
        <v>0.52906722810377016</v>
      </c>
      <c r="H113" s="13">
        <f t="shared" si="32"/>
        <v>5478.5137908156057</v>
      </c>
      <c r="I113" s="13">
        <f t="shared" si="33"/>
        <v>255604.33951307132</v>
      </c>
      <c r="J113" s="15">
        <f t="shared" si="26"/>
        <v>0.47093277189622984</v>
      </c>
      <c r="K113" s="13">
        <f t="shared" si="34"/>
        <v>153486.18759805942</v>
      </c>
      <c r="L113" s="13">
        <f t="shared" si="43"/>
        <v>5828756.2218546104</v>
      </c>
      <c r="M113" s="15">
        <f t="shared" si="35"/>
        <v>0.47093277189622978</v>
      </c>
      <c r="N113" s="13">
        <f t="shared" si="27"/>
        <v>1572.9568966185598</v>
      </c>
      <c r="O113" s="13">
        <f t="shared" si="36"/>
        <v>102118.15191501193</v>
      </c>
      <c r="P113" s="15">
        <f t="shared" si="28"/>
        <v>0.23857280858696384</v>
      </c>
      <c r="Q113" s="7">
        <f t="shared" si="37"/>
        <v>428037.6817452276</v>
      </c>
      <c r="R113" s="7">
        <f t="shared" si="38"/>
        <v>325919.52983021567</v>
      </c>
      <c r="S113" s="13">
        <f>IF('Calc (2)'!$AD$32="Sim",R113,Q113)</f>
        <v>325919.52983021567</v>
      </c>
      <c r="T113" s="9">
        <f t="shared" si="39"/>
        <v>109</v>
      </c>
      <c r="U113" s="17">
        <f t="shared" ca="1" si="40"/>
        <v>48823</v>
      </c>
      <c r="V113" s="22"/>
      <c r="W113" s="22"/>
      <c r="X113" s="22"/>
    </row>
    <row r="114" spans="2:24" x14ac:dyDescent="0.2">
      <c r="B114" s="17">
        <f t="shared" ca="1" si="29"/>
        <v>48823</v>
      </c>
      <c r="C114" s="9">
        <f t="shared" si="41"/>
        <v>110</v>
      </c>
      <c r="D114" s="9"/>
      <c r="E114" s="13">
        <f t="shared" si="30"/>
        <v>1563.9945720379612</v>
      </c>
      <c r="F114" s="14">
        <f t="shared" si="42"/>
        <v>173997.3368041942</v>
      </c>
      <c r="G114" s="15">
        <f t="shared" si="31"/>
        <v>0.52641848320365159</v>
      </c>
      <c r="H114" s="13">
        <f t="shared" si="32"/>
        <v>5570.0757222341072</v>
      </c>
      <c r="I114" s="13">
        <f t="shared" si="33"/>
        <v>261174.41523530544</v>
      </c>
      <c r="J114" s="15">
        <f t="shared" si="26"/>
        <v>0.47358151679634841</v>
      </c>
      <c r="K114" s="13">
        <f t="shared" si="34"/>
        <v>156533.11065519176</v>
      </c>
      <c r="L114" s="13">
        <f t="shared" si="43"/>
        <v>5985289.3325098017</v>
      </c>
      <c r="M114" s="15">
        <f t="shared" si="35"/>
        <v>0.47358151679634847</v>
      </c>
      <c r="N114" s="13">
        <f t="shared" si="27"/>
        <v>1599.1732451993278</v>
      </c>
      <c r="O114" s="13">
        <f t="shared" si="36"/>
        <v>104641.30458011368</v>
      </c>
      <c r="P114" s="15">
        <f t="shared" si="28"/>
        <v>0.24045978189001477</v>
      </c>
      <c r="Q114" s="7">
        <f t="shared" si="37"/>
        <v>435171.75203949964</v>
      </c>
      <c r="R114" s="7">
        <f t="shared" si="38"/>
        <v>330530.44745938596</v>
      </c>
      <c r="S114" s="13">
        <f>IF('Calc (2)'!$AD$32="Sim",R114,Q114)</f>
        <v>330530.44745938596</v>
      </c>
      <c r="T114" s="9">
        <f t="shared" si="39"/>
        <v>110</v>
      </c>
      <c r="U114" s="17">
        <f t="shared" ca="1" si="40"/>
        <v>48853</v>
      </c>
      <c r="V114" s="22"/>
      <c r="W114" s="22"/>
      <c r="X114" s="22"/>
    </row>
    <row r="115" spans="2:24" x14ac:dyDescent="0.2">
      <c r="B115" s="17">
        <f t="shared" ca="1" si="29"/>
        <v>48853</v>
      </c>
      <c r="C115" s="9">
        <f t="shared" si="41"/>
        <v>111</v>
      </c>
      <c r="D115" s="9"/>
      <c r="E115" s="13">
        <f t="shared" si="30"/>
        <v>1570.3664795213981</v>
      </c>
      <c r="F115" s="14">
        <f t="shared" si="42"/>
        <v>175567.70328371559</v>
      </c>
      <c r="G115" s="15">
        <f t="shared" si="31"/>
        <v>0.52378453555859317</v>
      </c>
      <c r="H115" s="13">
        <f t="shared" si="32"/>
        <v>5662.9117351402983</v>
      </c>
      <c r="I115" s="13">
        <f t="shared" si="33"/>
        <v>266837.32697044575</v>
      </c>
      <c r="J115" s="15">
        <f t="shared" si="26"/>
        <v>0.47621546444140683</v>
      </c>
      <c r="K115" s="13">
        <f t="shared" si="34"/>
        <v>159622.99320464168</v>
      </c>
      <c r="L115" s="13">
        <f t="shared" si="43"/>
        <v>6144912.3257144438</v>
      </c>
      <c r="M115" s="15">
        <f t="shared" si="35"/>
        <v>0.47621546444140678</v>
      </c>
      <c r="N115" s="13">
        <f t="shared" si="27"/>
        <v>1625.7541639785418</v>
      </c>
      <c r="O115" s="13">
        <f t="shared" si="36"/>
        <v>107214.33376580407</v>
      </c>
      <c r="P115" s="15">
        <f t="shared" si="28"/>
        <v>0.24234429184543746</v>
      </c>
      <c r="Q115" s="7">
        <f t="shared" si="37"/>
        <v>442405.03025416133</v>
      </c>
      <c r="R115" s="7">
        <f t="shared" si="38"/>
        <v>335190.69648835727</v>
      </c>
      <c r="S115" s="13">
        <f>IF('Calc (2)'!$AD$32="Sim",R115,Q115)</f>
        <v>335190.69648835727</v>
      </c>
      <c r="T115" s="9">
        <f t="shared" si="39"/>
        <v>111</v>
      </c>
      <c r="U115" s="17">
        <f t="shared" ca="1" si="40"/>
        <v>48884</v>
      </c>
      <c r="V115" s="22"/>
      <c r="W115" s="22"/>
      <c r="X115" s="22"/>
    </row>
    <row r="116" spans="2:24" x14ac:dyDescent="0.2">
      <c r="B116" s="17">
        <f t="shared" ca="1" si="29"/>
        <v>48884</v>
      </c>
      <c r="C116" s="9">
        <f t="shared" si="41"/>
        <v>112</v>
      </c>
      <c r="D116" s="9"/>
      <c r="E116" s="13">
        <f t="shared" si="30"/>
        <v>1576.7643469446605</v>
      </c>
      <c r="F116" s="14">
        <f t="shared" si="42"/>
        <v>177144.46763066025</v>
      </c>
      <c r="G116" s="15">
        <f t="shared" si="31"/>
        <v>0.52116525581172746</v>
      </c>
      <c r="H116" s="13">
        <f t="shared" si="32"/>
        <v>5757.0387456674534</v>
      </c>
      <c r="I116" s="13">
        <f t="shared" si="33"/>
        <v>272594.36571611319</v>
      </c>
      <c r="J116" s="15">
        <f t="shared" si="26"/>
        <v>0.47883474418827254</v>
      </c>
      <c r="K116" s="13">
        <f t="shared" si="34"/>
        <v>162756.29446974778</v>
      </c>
      <c r="L116" s="13">
        <f t="shared" si="43"/>
        <v>6307668.6201841915</v>
      </c>
      <c r="M116" s="15">
        <f t="shared" si="35"/>
        <v>0.4788347441882726</v>
      </c>
      <c r="N116" s="13">
        <f t="shared" si="27"/>
        <v>1652.7044925242253</v>
      </c>
      <c r="O116" s="13">
        <f t="shared" si="36"/>
        <v>109838.07124636538</v>
      </c>
      <c r="P116" s="15">
        <f t="shared" si="28"/>
        <v>0.24422634449641617</v>
      </c>
      <c r="Q116" s="7">
        <f t="shared" si="37"/>
        <v>449738.8333467734</v>
      </c>
      <c r="R116" s="7">
        <f t="shared" si="38"/>
        <v>339900.76210040803</v>
      </c>
      <c r="S116" s="13">
        <f>IF('Calc (2)'!$AD$32="Sim",R116,Q116)</f>
        <v>339900.76210040803</v>
      </c>
      <c r="T116" s="9">
        <f t="shared" si="39"/>
        <v>112</v>
      </c>
      <c r="U116" s="17">
        <f t="shared" ca="1" si="40"/>
        <v>48914</v>
      </c>
      <c r="V116" s="22"/>
      <c r="W116" s="22"/>
      <c r="X116" s="22"/>
    </row>
    <row r="117" spans="2:24" x14ac:dyDescent="0.2">
      <c r="B117" s="17">
        <f t="shared" ca="1" si="29"/>
        <v>48914</v>
      </c>
      <c r="C117" s="9">
        <f t="shared" si="41"/>
        <v>113</v>
      </c>
      <c r="D117" s="9"/>
      <c r="E117" s="13">
        <f t="shared" si="30"/>
        <v>1583.1882800717565</v>
      </c>
      <c r="F117" s="14">
        <f t="shared" si="42"/>
        <v>178727.65591073199</v>
      </c>
      <c r="G117" s="15">
        <f t="shared" si="31"/>
        <v>0.51856051706431661</v>
      </c>
      <c r="H117" s="13">
        <f t="shared" si="32"/>
        <v>5852.4738914500576</v>
      </c>
      <c r="I117" s="13">
        <f t="shared" si="33"/>
        <v>278446.83960756322</v>
      </c>
      <c r="J117" s="15">
        <f t="shared" si="26"/>
        <v>0.48143948293568339</v>
      </c>
      <c r="K117" s="13">
        <f t="shared" si="34"/>
        <v>165933.47818900232</v>
      </c>
      <c r="L117" s="13">
        <f t="shared" si="43"/>
        <v>6473602.0983731942</v>
      </c>
      <c r="M117" s="15">
        <f t="shared" si="35"/>
        <v>0.48143948293568339</v>
      </c>
      <c r="N117" s="13">
        <f t="shared" si="27"/>
        <v>1680.0291337706064</v>
      </c>
      <c r="O117" s="13">
        <f t="shared" si="36"/>
        <v>112513.3614185609</v>
      </c>
      <c r="P117" s="15">
        <f t="shared" si="28"/>
        <v>0.24610594536995195</v>
      </c>
      <c r="Q117" s="7">
        <f t="shared" si="37"/>
        <v>457174.49551829521</v>
      </c>
      <c r="R117" s="7">
        <f t="shared" si="38"/>
        <v>344661.13409973431</v>
      </c>
      <c r="S117" s="13">
        <f>IF('Calc (2)'!$AD$32="Sim",R117,Q117)</f>
        <v>344661.13409973431</v>
      </c>
      <c r="T117" s="9">
        <f t="shared" si="39"/>
        <v>113</v>
      </c>
      <c r="U117" s="17">
        <f t="shared" ca="1" si="40"/>
        <v>48945</v>
      </c>
      <c r="V117" s="22"/>
      <c r="W117" s="22"/>
      <c r="X117" s="22"/>
    </row>
    <row r="118" spans="2:24" x14ac:dyDescent="0.2">
      <c r="B118" s="17">
        <f t="shared" ca="1" si="29"/>
        <v>48945</v>
      </c>
      <c r="C118" s="9">
        <f t="shared" si="41"/>
        <v>114</v>
      </c>
      <c r="D118" s="9"/>
      <c r="E118" s="13">
        <f t="shared" si="30"/>
        <v>1589.6383850975901</v>
      </c>
      <c r="F118" s="14">
        <f t="shared" si="42"/>
        <v>180317.29429582958</v>
      </c>
      <c r="G118" s="15">
        <f t="shared" si="31"/>
        <v>0.51597019479747031</v>
      </c>
      <c r="H118" s="13">
        <f t="shared" si="32"/>
        <v>5949.2345345118065</v>
      </c>
      <c r="I118" s="13">
        <f t="shared" si="33"/>
        <v>284396.07414207503</v>
      </c>
      <c r="J118" s="15">
        <f t="shared" si="26"/>
        <v>0.48402980520252969</v>
      </c>
      <c r="K118" s="13">
        <f t="shared" si="34"/>
        <v>169155.01265904811</v>
      </c>
      <c r="L118" s="13">
        <f t="shared" si="43"/>
        <v>6642757.111032242</v>
      </c>
      <c r="M118" s="15">
        <f t="shared" si="35"/>
        <v>0.48402980520252969</v>
      </c>
      <c r="N118" s="13">
        <f t="shared" si="27"/>
        <v>1707.733054844286</v>
      </c>
      <c r="O118" s="13">
        <f t="shared" si="36"/>
        <v>115241.06148302695</v>
      </c>
      <c r="P118" s="15">
        <f t="shared" si="28"/>
        <v>0.24798309949722386</v>
      </c>
      <c r="Q118" s="7">
        <f t="shared" si="37"/>
        <v>464713.36843790463</v>
      </c>
      <c r="R118" s="7">
        <f t="shared" si="38"/>
        <v>349472.30695487768</v>
      </c>
      <c r="S118" s="13">
        <f>IF('Calc (2)'!$AD$32="Sim",R118,Q118)</f>
        <v>349472.30695487768</v>
      </c>
      <c r="T118" s="9">
        <f t="shared" si="39"/>
        <v>114</v>
      </c>
      <c r="U118" s="17">
        <f t="shared" ca="1" si="40"/>
        <v>48976</v>
      </c>
      <c r="V118" s="22"/>
      <c r="W118" s="22"/>
      <c r="X118" s="22"/>
    </row>
    <row r="119" spans="2:24" x14ac:dyDescent="0.2">
      <c r="B119" s="17">
        <f t="shared" ca="1" si="29"/>
        <v>48976</v>
      </c>
      <c r="C119" s="9">
        <f t="shared" si="41"/>
        <v>115</v>
      </c>
      <c r="D119" s="9"/>
      <c r="E119" s="13">
        <f t="shared" si="30"/>
        <v>1596.1147686497166</v>
      </c>
      <c r="F119" s="14">
        <f t="shared" si="42"/>
        <v>181913.40906447929</v>
      </c>
      <c r="G119" s="15">
        <f t="shared" si="31"/>
        <v>0.51339416679702854</v>
      </c>
      <c r="H119" s="13">
        <f t="shared" si="32"/>
        <v>6047.3382641911912</v>
      </c>
      <c r="I119" s="13">
        <f t="shared" si="33"/>
        <v>290443.4124062662</v>
      </c>
      <c r="J119" s="15">
        <f t="shared" si="26"/>
        <v>0.48660583320297146</v>
      </c>
      <c r="K119" s="13">
        <f t="shared" si="34"/>
        <v>172421.37077808002</v>
      </c>
      <c r="L119" s="13">
        <f t="shared" si="43"/>
        <v>6815178.481810322</v>
      </c>
      <c r="M119" s="15">
        <f t="shared" si="35"/>
        <v>0.48660583320297141</v>
      </c>
      <c r="N119" s="13">
        <f t="shared" si="27"/>
        <v>1735.8212879011674</v>
      </c>
      <c r="O119" s="13">
        <f t="shared" si="36"/>
        <v>118022.04162818624</v>
      </c>
      <c r="P119" s="15">
        <f t="shared" si="28"/>
        <v>0.24985781143312163</v>
      </c>
      <c r="Q119" s="7">
        <f t="shared" si="37"/>
        <v>472356.82147074555</v>
      </c>
      <c r="R119" s="7">
        <f t="shared" si="38"/>
        <v>354334.77984255931</v>
      </c>
      <c r="S119" s="13">
        <f>IF('Calc (2)'!$AD$32="Sim",R119,Q119)</f>
        <v>354334.77984255931</v>
      </c>
      <c r="T119" s="9">
        <f t="shared" si="39"/>
        <v>115</v>
      </c>
      <c r="U119" s="17">
        <f t="shared" ca="1" si="40"/>
        <v>49004</v>
      </c>
      <c r="V119" s="22"/>
      <c r="W119" s="22"/>
      <c r="X119" s="22"/>
    </row>
    <row r="120" spans="2:24" x14ac:dyDescent="0.2">
      <c r="B120" s="17">
        <f t="shared" ca="1" si="29"/>
        <v>49004</v>
      </c>
      <c r="C120" s="9">
        <f t="shared" si="41"/>
        <v>116</v>
      </c>
      <c r="D120" s="9"/>
      <c r="E120" s="13">
        <f t="shared" si="30"/>
        <v>1602.6175377901047</v>
      </c>
      <c r="F120" s="14">
        <f t="shared" si="42"/>
        <v>183516.02660226938</v>
      </c>
      <c r="G120" s="15">
        <f t="shared" si="31"/>
        <v>0.51083231308146404</v>
      </c>
      <c r="H120" s="13">
        <f t="shared" si="32"/>
        <v>6146.8029001051964</v>
      </c>
      <c r="I120" s="13">
        <f t="shared" si="33"/>
        <v>296590.21530637139</v>
      </c>
      <c r="J120" s="15">
        <f t="shared" si="26"/>
        <v>0.48916768691853596</v>
      </c>
      <c r="K120" s="13">
        <f t="shared" si="34"/>
        <v>175733.03008965426</v>
      </c>
      <c r="L120" s="13">
        <f t="shared" si="43"/>
        <v>6990911.5118999761</v>
      </c>
      <c r="M120" s="15">
        <f t="shared" si="35"/>
        <v>0.4891676869185359</v>
      </c>
      <c r="N120" s="13">
        <f t="shared" si="27"/>
        <v>1764.2989309742825</v>
      </c>
      <c r="O120" s="13">
        <f t="shared" si="36"/>
        <v>120857.18521671719</v>
      </c>
      <c r="P120" s="15">
        <f t="shared" si="28"/>
        <v>0.25173008527499013</v>
      </c>
      <c r="Q120" s="7">
        <f t="shared" si="37"/>
        <v>480106.24190864083</v>
      </c>
      <c r="R120" s="7">
        <f t="shared" si="38"/>
        <v>359249.05669192364</v>
      </c>
      <c r="S120" s="13">
        <f>IF('Calc (2)'!$AD$32="Sim",R120,Q120)</f>
        <v>359249.05669192364</v>
      </c>
      <c r="T120" s="9">
        <f t="shared" si="39"/>
        <v>116</v>
      </c>
      <c r="U120" s="17">
        <f t="shared" ca="1" si="40"/>
        <v>49035</v>
      </c>
      <c r="V120" s="22"/>
      <c r="W120" s="22"/>
      <c r="X120" s="22"/>
    </row>
    <row r="121" spans="2:24" x14ac:dyDescent="0.2">
      <c r="B121" s="17">
        <f t="shared" ca="1" si="29"/>
        <v>49035</v>
      </c>
      <c r="C121" s="9">
        <f t="shared" si="41"/>
        <v>117</v>
      </c>
      <c r="D121" s="9"/>
      <c r="E121" s="13">
        <f t="shared" si="30"/>
        <v>1609.1468000169073</v>
      </c>
      <c r="F121" s="14">
        <f t="shared" si="42"/>
        <v>185125.17340228628</v>
      </c>
      <c r="G121" s="15">
        <f t="shared" si="31"/>
        <v>0.50828451583266088</v>
      </c>
      <c r="H121" s="13">
        <f t="shared" si="32"/>
        <v>6247.6464951515727</v>
      </c>
      <c r="I121" s="13">
        <f t="shared" si="33"/>
        <v>302837.86180152296</v>
      </c>
      <c r="J121" s="15">
        <f t="shared" si="26"/>
        <v>0.49171548416733912</v>
      </c>
      <c r="K121" s="13">
        <f t="shared" si="34"/>
        <v>179090.47282690913</v>
      </c>
      <c r="L121" s="13">
        <f t="shared" si="43"/>
        <v>7170001.9847268853</v>
      </c>
      <c r="M121" s="15">
        <f t="shared" si="35"/>
        <v>0.49171548416733912</v>
      </c>
      <c r="N121" s="13">
        <f t="shared" si="27"/>
        <v>1793.1711488326569</v>
      </c>
      <c r="O121" s="13">
        <f t="shared" si="36"/>
        <v>123747.38897461392</v>
      </c>
      <c r="P121" s="15">
        <f t="shared" si="28"/>
        <v>0.25359992468062237</v>
      </c>
      <c r="Q121" s="7">
        <f t="shared" si="37"/>
        <v>487963.03520380933</v>
      </c>
      <c r="R121" s="7">
        <f t="shared" si="38"/>
        <v>364215.64622919541</v>
      </c>
      <c r="S121" s="13">
        <f>IF('Calc (2)'!$AD$32="Sim",R121,Q121)</f>
        <v>364215.64622919541</v>
      </c>
      <c r="T121" s="9">
        <f t="shared" si="39"/>
        <v>117</v>
      </c>
      <c r="U121" s="17">
        <f t="shared" ca="1" si="40"/>
        <v>49065</v>
      </c>
      <c r="V121" s="22"/>
      <c r="W121" s="22"/>
      <c r="X121" s="22"/>
    </row>
    <row r="122" spans="2:24" x14ac:dyDescent="0.2">
      <c r="B122" s="17">
        <f t="shared" ca="1" si="29"/>
        <v>49065</v>
      </c>
      <c r="C122" s="9">
        <f t="shared" si="41"/>
        <v>118</v>
      </c>
      <c r="D122" s="9"/>
      <c r="E122" s="13">
        <f t="shared" si="30"/>
        <v>1615.7026632662378</v>
      </c>
      <c r="F122" s="14">
        <f t="shared" si="42"/>
        <v>186740.87606555253</v>
      </c>
      <c r="G122" s="15">
        <f t="shared" si="31"/>
        <v>0.50575065932943508</v>
      </c>
      <c r="H122" s="13">
        <f t="shared" si="32"/>
        <v>6349.8873385502102</v>
      </c>
      <c r="I122" s="13">
        <f t="shared" si="33"/>
        <v>309187.7491400732</v>
      </c>
      <c r="J122" s="15">
        <f t="shared" si="26"/>
        <v>0.49424934067056492</v>
      </c>
      <c r="K122" s="13">
        <f t="shared" si="34"/>
        <v>182494.18595720117</v>
      </c>
      <c r="L122" s="13">
        <f t="shared" si="43"/>
        <v>7352496.1706840862</v>
      </c>
      <c r="M122" s="15">
        <f t="shared" si="35"/>
        <v>0.49424934067056497</v>
      </c>
      <c r="N122" s="13">
        <f t="shared" si="27"/>
        <v>1822.4431738513576</v>
      </c>
      <c r="O122" s="13">
        <f t="shared" si="36"/>
        <v>126693.56318287208</v>
      </c>
      <c r="P122" s="15">
        <f t="shared" si="28"/>
        <v>0.25546733288553652</v>
      </c>
      <c r="Q122" s="7">
        <f t="shared" si="37"/>
        <v>495928.62520562578</v>
      </c>
      <c r="R122" s="7">
        <f t="shared" si="38"/>
        <v>369235.0620227537</v>
      </c>
      <c r="S122" s="13">
        <f>IF('Calc (2)'!$AD$32="Sim",R122,Q122)</f>
        <v>369235.0620227537</v>
      </c>
      <c r="T122" s="9">
        <f t="shared" si="39"/>
        <v>118</v>
      </c>
      <c r="U122" s="17">
        <f t="shared" ca="1" si="40"/>
        <v>49096</v>
      </c>
      <c r="V122" s="22"/>
      <c r="W122" s="22"/>
      <c r="X122" s="22"/>
    </row>
    <row r="123" spans="2:24" x14ac:dyDescent="0.2">
      <c r="B123" s="17">
        <f t="shared" ca="1" si="29"/>
        <v>49096</v>
      </c>
      <c r="C123" s="9">
        <f t="shared" si="41"/>
        <v>119</v>
      </c>
      <c r="D123" s="9"/>
      <c r="E123" s="13">
        <f t="shared" si="30"/>
        <v>1622.2852359139547</v>
      </c>
      <c r="F123" s="14">
        <f t="shared" si="42"/>
        <v>188363.16130146649</v>
      </c>
      <c r="G123" s="15">
        <f t="shared" si="31"/>
        <v>0.5032306298836704</v>
      </c>
      <c r="H123" s="13">
        <f t="shared" si="32"/>
        <v>6453.5439589241087</v>
      </c>
      <c r="I123" s="13">
        <f t="shared" si="33"/>
        <v>315641.29309899732</v>
      </c>
      <c r="J123" s="15">
        <f t="shared" si="26"/>
        <v>0.4967693701163296</v>
      </c>
      <c r="K123" s="13">
        <f t="shared" si="34"/>
        <v>185944.66122716133</v>
      </c>
      <c r="L123" s="13">
        <f t="shared" si="43"/>
        <v>7538440.8319112472</v>
      </c>
      <c r="M123" s="15">
        <f t="shared" si="35"/>
        <v>0.4967693701163296</v>
      </c>
      <c r="N123" s="13">
        <f t="shared" si="27"/>
        <v>1852.120306892871</v>
      </c>
      <c r="O123" s="13">
        <f t="shared" si="36"/>
        <v>129696.63187183603</v>
      </c>
      <c r="P123" s="15">
        <f t="shared" si="28"/>
        <v>0.25733231271956925</v>
      </c>
      <c r="Q123" s="7">
        <f t="shared" si="37"/>
        <v>504004.45440046384</v>
      </c>
      <c r="R123" s="7">
        <f t="shared" si="38"/>
        <v>374307.82252862782</v>
      </c>
      <c r="S123" s="13">
        <f>IF('Calc (2)'!$AD$32="Sim",R123,Q123)</f>
        <v>374307.82252862782</v>
      </c>
      <c r="T123" s="9">
        <f t="shared" si="39"/>
        <v>119</v>
      </c>
      <c r="U123" s="17">
        <f t="shared" ca="1" si="40"/>
        <v>49126</v>
      </c>
      <c r="V123" s="22"/>
      <c r="W123" s="22"/>
      <c r="X123" s="22"/>
    </row>
    <row r="124" spans="2:24" x14ac:dyDescent="0.2">
      <c r="B124" s="17">
        <f t="shared" ca="1" si="29"/>
        <v>49126</v>
      </c>
      <c r="C124" s="9">
        <f t="shared" si="41"/>
        <v>120</v>
      </c>
      <c r="D124" s="9">
        <v>10</v>
      </c>
      <c r="E124" s="13">
        <f t="shared" si="30"/>
        <v>1628.8946267774534</v>
      </c>
      <c r="F124" s="14">
        <f t="shared" si="42"/>
        <v>189992.05592824394</v>
      </c>
      <c r="G124" s="15">
        <f t="shared" si="31"/>
        <v>0.50072431577894938</v>
      </c>
      <c r="H124" s="13">
        <f t="shared" si="32"/>
        <v>6558.6351274204635</v>
      </c>
      <c r="I124" s="13">
        <f t="shared" si="33"/>
        <v>322199.9282264178</v>
      </c>
      <c r="J124" s="15">
        <f t="shared" si="26"/>
        <v>0.49927568422105062</v>
      </c>
      <c r="K124" s="13">
        <f t="shared" si="34"/>
        <v>189442.39520817369</v>
      </c>
      <c r="L124" s="13">
        <f t="shared" si="43"/>
        <v>7727883.2271194207</v>
      </c>
      <c r="M124" s="15">
        <f t="shared" si="35"/>
        <v>0.49927568422105056</v>
      </c>
      <c r="N124" s="13">
        <f t="shared" si="27"/>
        <v>1882.2079181999538</v>
      </c>
      <c r="O124" s="13">
        <f t="shared" si="36"/>
        <v>132757.53301824414</v>
      </c>
      <c r="P124" s="15">
        <f t="shared" si="28"/>
        <v>0.25919486662281815</v>
      </c>
      <c r="Q124" s="7">
        <f t="shared" si="37"/>
        <v>512191.98415466177</v>
      </c>
      <c r="R124" s="7">
        <f t="shared" si="38"/>
        <v>379434.45113641763</v>
      </c>
      <c r="S124" s="13">
        <f>IF('Calc (2)'!$AD$32="Sim",R124,Q124)</f>
        <v>379434.45113641763</v>
      </c>
      <c r="T124" s="9">
        <f t="shared" si="39"/>
        <v>120</v>
      </c>
      <c r="U124" s="17">
        <f t="shared" ca="1" si="40"/>
        <v>49157</v>
      </c>
      <c r="V124" s="22"/>
      <c r="W124" s="22"/>
      <c r="X124" s="22"/>
    </row>
    <row r="125" spans="2:24" x14ac:dyDescent="0.2">
      <c r="B125" s="17">
        <f t="shared" ca="1" si="29"/>
        <v>49157</v>
      </c>
      <c r="C125" s="9">
        <f t="shared" si="41"/>
        <v>121</v>
      </c>
      <c r="D125" s="9"/>
      <c r="E125" s="13">
        <f t="shared" si="30"/>
        <v>1635.5309451174644</v>
      </c>
      <c r="F125" s="14">
        <f t="shared" si="42"/>
        <v>191627.5868733614</v>
      </c>
      <c r="G125" s="15">
        <f t="shared" si="31"/>
        <v>0.49823160721156506</v>
      </c>
      <c r="H125" s="13">
        <f t="shared" si="32"/>
        <v>6665.1798608723939</v>
      </c>
      <c r="I125" s="13">
        <f t="shared" si="33"/>
        <v>328865.10808729019</v>
      </c>
      <c r="J125" s="15">
        <f t="shared" si="26"/>
        <v>0.50176839278843488</v>
      </c>
      <c r="K125" s="13">
        <f t="shared" si="34"/>
        <v>192987.88934228182</v>
      </c>
      <c r="L125" s="13">
        <f t="shared" si="43"/>
        <v>7920871.1164617026</v>
      </c>
      <c r="M125" s="15">
        <f t="shared" si="35"/>
        <v>0.50176839278843488</v>
      </c>
      <c r="N125" s="13">
        <f t="shared" si="27"/>
        <v>1912.7114483001133</v>
      </c>
      <c r="O125" s="13">
        <f t="shared" si="36"/>
        <v>135877.2187450084</v>
      </c>
      <c r="P125" s="15">
        <f t="shared" si="28"/>
        <v>0.26105499666096271</v>
      </c>
      <c r="Q125" s="7">
        <f t="shared" si="37"/>
        <v>520492.69496065163</v>
      </c>
      <c r="R125" s="7">
        <f t="shared" si="38"/>
        <v>384615.47621564323</v>
      </c>
      <c r="S125" s="13">
        <f>IF('Calc (2)'!$AD$32="Sim",R125,Q125)</f>
        <v>384615.47621564323</v>
      </c>
      <c r="T125" s="9">
        <f t="shared" si="39"/>
        <v>121</v>
      </c>
      <c r="U125" s="17">
        <f t="shared" ca="1" si="40"/>
        <v>49188</v>
      </c>
      <c r="V125" s="22"/>
      <c r="W125" s="22"/>
      <c r="X125" s="22"/>
    </row>
    <row r="126" spans="2:24" x14ac:dyDescent="0.2">
      <c r="B126" s="17">
        <f t="shared" ca="1" si="29"/>
        <v>49188</v>
      </c>
      <c r="C126" s="9">
        <f t="shared" si="41"/>
        <v>122</v>
      </c>
      <c r="D126" s="9"/>
      <c r="E126" s="13">
        <f t="shared" si="30"/>
        <v>1642.1943006398603</v>
      </c>
      <c r="F126" s="14">
        <f t="shared" si="42"/>
        <v>193269.78117400125</v>
      </c>
      <c r="G126" s="15">
        <f t="shared" si="31"/>
        <v>0.49575239623380474</v>
      </c>
      <c r="H126" s="13">
        <f t="shared" si="32"/>
        <v>6773.1974250018302</v>
      </c>
      <c r="I126" s="13">
        <f t="shared" si="33"/>
        <v>335638.30551229202</v>
      </c>
      <c r="J126" s="15">
        <f t="shared" si="26"/>
        <v>0.50424760376619526</v>
      </c>
      <c r="K126" s="13">
        <f t="shared" si="34"/>
        <v>196581.64998852639</v>
      </c>
      <c r="L126" s="13">
        <f t="shared" si="43"/>
        <v>8117452.7664502291</v>
      </c>
      <c r="M126" s="15">
        <f t="shared" si="35"/>
        <v>0.50424760376619526</v>
      </c>
      <c r="N126" s="13">
        <f t="shared" si="27"/>
        <v>1943.63640892186</v>
      </c>
      <c r="O126" s="13">
        <f t="shared" si="36"/>
        <v>139056.65552376572</v>
      </c>
      <c r="P126" s="15">
        <f t="shared" si="28"/>
        <v>0.2629127045399916</v>
      </c>
      <c r="Q126" s="7">
        <f t="shared" si="37"/>
        <v>528908.08668629336</v>
      </c>
      <c r="R126" s="7">
        <f t="shared" si="38"/>
        <v>389851.43116252765</v>
      </c>
      <c r="S126" s="13">
        <f>IF('Calc (2)'!$AD$32="Sim",R126,Q126)</f>
        <v>389851.43116252765</v>
      </c>
      <c r="T126" s="9">
        <f t="shared" si="39"/>
        <v>122</v>
      </c>
      <c r="U126" s="17">
        <f t="shared" ca="1" si="40"/>
        <v>49218</v>
      </c>
      <c r="V126" s="22"/>
      <c r="W126" s="22"/>
      <c r="X126" s="22"/>
    </row>
    <row r="127" spans="2:24" x14ac:dyDescent="0.2">
      <c r="B127" s="17">
        <f t="shared" ca="1" si="29"/>
        <v>49218</v>
      </c>
      <c r="C127" s="9">
        <f t="shared" si="41"/>
        <v>123</v>
      </c>
      <c r="D127" s="9"/>
      <c r="E127" s="13">
        <f t="shared" si="30"/>
        <v>1648.884803497469</v>
      </c>
      <c r="F127" s="14">
        <f t="shared" si="42"/>
        <v>194918.66597749872</v>
      </c>
      <c r="G127" s="15">
        <f t="shared" si="31"/>
        <v>0.49328657669940473</v>
      </c>
      <c r="H127" s="13">
        <f t="shared" si="32"/>
        <v>6882.7073376641147</v>
      </c>
      <c r="I127" s="13">
        <f t="shared" si="33"/>
        <v>342521.01284995611</v>
      </c>
      <c r="J127" s="15">
        <f t="shared" si="26"/>
        <v>0.50671342330059521</v>
      </c>
      <c r="K127" s="13">
        <f t="shared" si="34"/>
        <v>200224.18846971806</v>
      </c>
      <c r="L127" s="13">
        <f t="shared" si="43"/>
        <v>8317676.9549199473</v>
      </c>
      <c r="M127" s="15">
        <f t="shared" si="35"/>
        <v>0.50671342330059532</v>
      </c>
      <c r="N127" s="13">
        <f t="shared" si="27"/>
        <v>1974.9883839228937</v>
      </c>
      <c r="O127" s="13">
        <f t="shared" si="36"/>
        <v>142296.82438023813</v>
      </c>
      <c r="P127" s="15">
        <f t="shared" si="28"/>
        <v>0.26476799162036296</v>
      </c>
      <c r="Q127" s="7">
        <f t="shared" si="37"/>
        <v>537439.67882745492</v>
      </c>
      <c r="R127" s="7">
        <f t="shared" si="38"/>
        <v>395142.85444721679</v>
      </c>
      <c r="S127" s="13">
        <f>IF('Calc (2)'!$AD$32="Sim",R127,Q127)</f>
        <v>395142.85444721679</v>
      </c>
      <c r="T127" s="9">
        <f t="shared" si="39"/>
        <v>123</v>
      </c>
      <c r="U127" s="17">
        <f t="shared" ca="1" si="40"/>
        <v>49249</v>
      </c>
      <c r="V127" s="22"/>
      <c r="W127" s="22"/>
      <c r="X127" s="22"/>
    </row>
    <row r="128" spans="2:24" x14ac:dyDescent="0.2">
      <c r="B128" s="17">
        <f t="shared" ca="1" si="29"/>
        <v>49249</v>
      </c>
      <c r="C128" s="9">
        <f t="shared" si="41"/>
        <v>124</v>
      </c>
      <c r="D128" s="9"/>
      <c r="E128" s="13">
        <f t="shared" si="30"/>
        <v>1655.6025642918944</v>
      </c>
      <c r="F128" s="14">
        <f t="shared" si="42"/>
        <v>196574.2685417906</v>
      </c>
      <c r="G128" s="15">
        <f t="shared" si="31"/>
        <v>0.49083404421107746</v>
      </c>
      <c r="H128" s="13">
        <f t="shared" si="32"/>
        <v>6993.7293721348387</v>
      </c>
      <c r="I128" s="13">
        <f t="shared" si="33"/>
        <v>349514.74222209095</v>
      </c>
      <c r="J128" s="15">
        <f t="shared" si="26"/>
        <v>0.50916595578892254</v>
      </c>
      <c r="K128" s="13">
        <f t="shared" si="34"/>
        <v>203916.0211196497</v>
      </c>
      <c r="L128" s="13">
        <f t="shared" si="43"/>
        <v>8521592.9760395978</v>
      </c>
      <c r="M128" s="15">
        <f t="shared" si="35"/>
        <v>0.50916595578892254</v>
      </c>
      <c r="N128" s="13">
        <f t="shared" si="27"/>
        <v>2006.773030230373</v>
      </c>
      <c r="O128" s="13">
        <f t="shared" si="36"/>
        <v>145598.72110244131</v>
      </c>
      <c r="P128" s="15">
        <f t="shared" si="28"/>
        <v>0.26662085893062476</v>
      </c>
      <c r="Q128" s="7">
        <f t="shared" si="37"/>
        <v>546089.01076388161</v>
      </c>
      <c r="R128" s="7">
        <f t="shared" si="38"/>
        <v>400490.2896614403</v>
      </c>
      <c r="S128" s="13">
        <f>IF('Calc (2)'!$AD$32="Sim",R128,Q128)</f>
        <v>400490.2896614403</v>
      </c>
      <c r="T128" s="9">
        <f t="shared" si="39"/>
        <v>124</v>
      </c>
      <c r="U128" s="17">
        <f t="shared" ca="1" si="40"/>
        <v>49279</v>
      </c>
      <c r="V128" s="22"/>
      <c r="W128" s="22"/>
      <c r="X128" s="22"/>
    </row>
    <row r="129" spans="2:24" x14ac:dyDescent="0.2">
      <c r="B129" s="17">
        <f t="shared" ca="1" si="29"/>
        <v>49279</v>
      </c>
      <c r="C129" s="9">
        <f t="shared" si="41"/>
        <v>125</v>
      </c>
      <c r="D129" s="9"/>
      <c r="E129" s="13">
        <f t="shared" si="30"/>
        <v>1662.3476940753453</v>
      </c>
      <c r="F129" s="14">
        <f t="shared" si="42"/>
        <v>198236.61623586595</v>
      </c>
      <c r="G129" s="15">
        <f t="shared" si="31"/>
        <v>0.48839469607001945</v>
      </c>
      <c r="H129" s="13">
        <f t="shared" si="32"/>
        <v>7106.2835604394795</v>
      </c>
      <c r="I129" s="13">
        <f t="shared" si="33"/>
        <v>356621.02578253043</v>
      </c>
      <c r="J129" s="15">
        <f t="shared" si="26"/>
        <v>0.5116053039299806</v>
      </c>
      <c r="K129" s="13">
        <f t="shared" si="34"/>
        <v>207657.66933075179</v>
      </c>
      <c r="L129" s="13">
        <f t="shared" si="43"/>
        <v>8729250.6453703493</v>
      </c>
      <c r="M129" s="15">
        <f t="shared" si="35"/>
        <v>0.5116053039299806</v>
      </c>
      <c r="N129" s="13">
        <f t="shared" si="27"/>
        <v>2038.9960787934285</v>
      </c>
      <c r="O129" s="13">
        <f t="shared" si="36"/>
        <v>148963.35645177867</v>
      </c>
      <c r="P129" s="15">
        <f t="shared" si="28"/>
        <v>0.26847130718051776</v>
      </c>
      <c r="Q129" s="7">
        <f t="shared" si="37"/>
        <v>554857.64201839641</v>
      </c>
      <c r="R129" s="7">
        <f t="shared" si="38"/>
        <v>405894.28556661773</v>
      </c>
      <c r="S129" s="13">
        <f>IF('Calc (2)'!$AD$32="Sim",R129,Q129)</f>
        <v>405894.28556661773</v>
      </c>
      <c r="T129" s="9">
        <f t="shared" si="39"/>
        <v>125</v>
      </c>
      <c r="U129" s="17">
        <f t="shared" ca="1" si="40"/>
        <v>49310</v>
      </c>
      <c r="V129" s="22"/>
      <c r="W129" s="22"/>
      <c r="X129" s="22"/>
    </row>
    <row r="130" spans="2:24" x14ac:dyDescent="0.2">
      <c r="B130" s="17">
        <f t="shared" ca="1" si="29"/>
        <v>49310</v>
      </c>
      <c r="C130" s="9">
        <f t="shared" si="41"/>
        <v>126</v>
      </c>
      <c r="D130" s="9"/>
      <c r="E130" s="13">
        <f t="shared" si="30"/>
        <v>1669.1203043524706</v>
      </c>
      <c r="F130" s="14">
        <f t="shared" si="42"/>
        <v>199905.73654021841</v>
      </c>
      <c r="G130" s="15">
        <f t="shared" si="31"/>
        <v>0.48596843122731131</v>
      </c>
      <c r="H130" s="13">
        <f t="shared" si="32"/>
        <v>7220.3901967263928</v>
      </c>
      <c r="I130" s="13">
        <f t="shared" si="33"/>
        <v>363841.4159792568</v>
      </c>
      <c r="J130" s="15">
        <f t="shared" si="26"/>
        <v>0.51403156877268863</v>
      </c>
      <c r="K130" s="13">
        <f t="shared" si="34"/>
        <v>211449.65960219619</v>
      </c>
      <c r="L130" s="13">
        <f t="shared" si="43"/>
        <v>8940700.3049725462</v>
      </c>
      <c r="M130" s="15">
        <f t="shared" si="35"/>
        <v>0.51403156877268874</v>
      </c>
      <c r="N130" s="13">
        <f t="shared" si="27"/>
        <v>2071.6633355480753</v>
      </c>
      <c r="O130" s="13">
        <f t="shared" si="36"/>
        <v>152391.75637706072</v>
      </c>
      <c r="P130" s="15">
        <f t="shared" si="28"/>
        <v>0.27031933677358339</v>
      </c>
      <c r="Q130" s="7">
        <f t="shared" si="37"/>
        <v>563747.15251947532</v>
      </c>
      <c r="R130" s="7">
        <f t="shared" si="38"/>
        <v>411355.3961424146</v>
      </c>
      <c r="S130" s="13">
        <f>IF('Calc (2)'!$AD$32="Sim",R130,Q130)</f>
        <v>411355.3961424146</v>
      </c>
      <c r="T130" s="9">
        <f t="shared" si="39"/>
        <v>126</v>
      </c>
      <c r="U130" s="17">
        <f t="shared" ca="1" si="40"/>
        <v>49341</v>
      </c>
      <c r="V130" s="22"/>
      <c r="W130" s="22"/>
      <c r="X130" s="22"/>
    </row>
    <row r="131" spans="2:24" x14ac:dyDescent="0.2">
      <c r="B131" s="17">
        <f t="shared" ca="1" si="29"/>
        <v>49341</v>
      </c>
      <c r="C131" s="9">
        <f t="shared" si="41"/>
        <v>127</v>
      </c>
      <c r="D131" s="9"/>
      <c r="E131" s="13">
        <f t="shared" si="30"/>
        <v>1675.9205070822034</v>
      </c>
      <c r="F131" s="14">
        <f t="shared" si="42"/>
        <v>201581.6570473006</v>
      </c>
      <c r="G131" s="15">
        <f t="shared" si="31"/>
        <v>0.48355515023712869</v>
      </c>
      <c r="H131" s="13">
        <f t="shared" si="32"/>
        <v>7336.0698406837128</v>
      </c>
      <c r="I131" s="13">
        <f t="shared" si="33"/>
        <v>371177.48581994051</v>
      </c>
      <c r="J131" s="15">
        <f t="shared" si="26"/>
        <v>0.51644484976287131</v>
      </c>
      <c r="K131" s="13">
        <f t="shared" si="34"/>
        <v>215292.52358845063</v>
      </c>
      <c r="L131" s="13">
        <f t="shared" si="43"/>
        <v>9155992.8285609968</v>
      </c>
      <c r="M131" s="15">
        <f t="shared" si="35"/>
        <v>0.51644484976287131</v>
      </c>
      <c r="N131" s="13">
        <f t="shared" si="27"/>
        <v>2104.7806823946921</v>
      </c>
      <c r="O131" s="13">
        <f t="shared" si="36"/>
        <v>155884.96223149006</v>
      </c>
      <c r="P131" s="15">
        <f t="shared" si="28"/>
        <v>0.27216494781930062</v>
      </c>
      <c r="Q131" s="7">
        <f t="shared" si="37"/>
        <v>572759.14286724129</v>
      </c>
      <c r="R131" s="7">
        <f t="shared" si="38"/>
        <v>416874.18063575123</v>
      </c>
      <c r="S131" s="13">
        <f>IF('Calc (2)'!$AD$32="Sim",R131,Q131)</f>
        <v>416874.18063575123</v>
      </c>
      <c r="T131" s="9">
        <f t="shared" si="39"/>
        <v>127</v>
      </c>
      <c r="U131" s="17">
        <f t="shared" ca="1" si="40"/>
        <v>49369</v>
      </c>
      <c r="V131" s="22"/>
      <c r="W131" s="22"/>
      <c r="X131" s="22"/>
    </row>
    <row r="132" spans="2:24" x14ac:dyDescent="0.2">
      <c r="B132" s="17">
        <f t="shared" ca="1" si="29"/>
        <v>49369</v>
      </c>
      <c r="C132" s="9">
        <f t="shared" si="41"/>
        <v>128</v>
      </c>
      <c r="D132" s="9"/>
      <c r="E132" s="13">
        <f t="shared" si="30"/>
        <v>1682.748414679611</v>
      </c>
      <c r="F132" s="14">
        <f t="shared" si="42"/>
        <v>203264.4054619802</v>
      </c>
      <c r="G132" s="15">
        <f t="shared" si="31"/>
        <v>0.48115475521168233</v>
      </c>
      <c r="H132" s="13">
        <f t="shared" si="32"/>
        <v>7453.3433210007506</v>
      </c>
      <c r="I132" s="13">
        <f t="shared" si="33"/>
        <v>378630.82914094126</v>
      </c>
      <c r="J132" s="15">
        <f t="shared" si="26"/>
        <v>0.51884524478831762</v>
      </c>
      <c r="K132" s="13">
        <f t="shared" si="34"/>
        <v>219186.79814829014</v>
      </c>
      <c r="L132" s="13">
        <f t="shared" si="43"/>
        <v>9375179.6267092861</v>
      </c>
      <c r="M132" s="15">
        <f t="shared" si="35"/>
        <v>0.51884524478831762</v>
      </c>
      <c r="N132" s="13">
        <f t="shared" si="27"/>
        <v>2138.3540781882239</v>
      </c>
      <c r="O132" s="13">
        <f t="shared" si="36"/>
        <v>159444.03099265142</v>
      </c>
      <c r="P132" s="15">
        <f t="shared" si="28"/>
        <v>0.27400814014477037</v>
      </c>
      <c r="Q132" s="7">
        <f t="shared" si="37"/>
        <v>581895.23460292176</v>
      </c>
      <c r="R132" s="7">
        <f t="shared" si="38"/>
        <v>422451.20361027034</v>
      </c>
      <c r="S132" s="13">
        <f>IF('Calc (2)'!$AD$32="Sim",R132,Q132)</f>
        <v>422451.20361027034</v>
      </c>
      <c r="T132" s="9">
        <f t="shared" si="39"/>
        <v>128</v>
      </c>
      <c r="U132" s="17">
        <f t="shared" ca="1" si="40"/>
        <v>49400</v>
      </c>
      <c r="V132" s="22"/>
      <c r="W132" s="22"/>
      <c r="X132" s="22"/>
    </row>
    <row r="133" spans="2:24" x14ac:dyDescent="0.2">
      <c r="B133" s="17">
        <f t="shared" ca="1" si="29"/>
        <v>49400</v>
      </c>
      <c r="C133" s="9">
        <f t="shared" si="41"/>
        <v>129</v>
      </c>
      <c r="D133" s="9"/>
      <c r="E133" s="13">
        <f t="shared" si="30"/>
        <v>1689.6041400177537</v>
      </c>
      <c r="F133" s="14">
        <f t="shared" si="42"/>
        <v>204954.00960199797</v>
      </c>
      <c r="G133" s="15">
        <f t="shared" si="31"/>
        <v>0.4787671497778147</v>
      </c>
      <c r="H133" s="13">
        <f t="shared" si="32"/>
        <v>7572.2317388744532</v>
      </c>
      <c r="I133" s="13">
        <f t="shared" si="33"/>
        <v>386203.06087981572</v>
      </c>
      <c r="J133" s="15">
        <f t="shared" ref="J133:J196" si="44">1-G133</f>
        <v>0.52123285022218524</v>
      </c>
      <c r="K133" s="13">
        <f t="shared" si="34"/>
        <v>223133.02539426822</v>
      </c>
      <c r="L133" s="13">
        <f t="shared" si="43"/>
        <v>9598312.6521035545</v>
      </c>
      <c r="M133" s="15">
        <f t="shared" si="35"/>
        <v>0.52123285022218535</v>
      </c>
      <c r="N133" s="13">
        <f t="shared" ref="N133:N196" si="45">Q133*Inflação_2</f>
        <v>2172.3895597412802</v>
      </c>
      <c r="O133" s="13">
        <f t="shared" si="36"/>
        <v>163070.03548554779</v>
      </c>
      <c r="P133" s="15">
        <f t="shared" ref="P133:P196" si="46">O133/Q133</f>
        <v>0.27584891330596778</v>
      </c>
      <c r="Q133" s="7">
        <f t="shared" si="37"/>
        <v>591157.07048181398</v>
      </c>
      <c r="R133" s="7">
        <f t="shared" si="38"/>
        <v>428087.03499626619</v>
      </c>
      <c r="S133" s="13">
        <f>IF('Calc (2)'!$AD$32="Sim",R133,Q133)</f>
        <v>428087.03499626619</v>
      </c>
      <c r="T133" s="9">
        <f t="shared" si="39"/>
        <v>129</v>
      </c>
      <c r="U133" s="17">
        <f t="shared" ca="1" si="40"/>
        <v>49430</v>
      </c>
      <c r="V133" s="22"/>
      <c r="W133" s="22"/>
      <c r="X133" s="22"/>
    </row>
    <row r="134" spans="2:24" x14ac:dyDescent="0.2">
      <c r="B134" s="17">
        <f t="shared" ref="B134:B197" ca="1" si="47">DATE(YEAR(B133),MONTH(B133)+1,1)</f>
        <v>49430</v>
      </c>
      <c r="C134" s="9">
        <f t="shared" si="41"/>
        <v>130</v>
      </c>
      <c r="D134" s="9"/>
      <c r="E134" s="13">
        <f t="shared" ref="E134:E197" si="48">IF($AE$33,IF($AE$34,$E133*(1+Inflação_2)*(1+Crescimento_Salário_2),$E133*(1+Inflação_2)),IF($AE$34,$E133*(1+Crescimento_Salário_2),$E133))</f>
        <v>1696.4877964295508</v>
      </c>
      <c r="F134" s="14">
        <f t="shared" si="42"/>
        <v>206650.49739842751</v>
      </c>
      <c r="G134" s="15">
        <f t="shared" ref="G134:G197" si="49">IF(F134&lt;=0,0,F134/S134)</f>
        <v>0.47639223903517947</v>
      </c>
      <c r="H134" s="13">
        <f t="shared" ref="H134:H197" si="50">Q133*Taxa_2</f>
        <v>7692.7564715615172</v>
      </c>
      <c r="I134" s="13">
        <f t="shared" ref="I134:I197" si="51">I133+H134</f>
        <v>393895.81735137722</v>
      </c>
      <c r="J134" s="15">
        <f t="shared" si="44"/>
        <v>0.52360776096482053</v>
      </c>
      <c r="K134" s="13">
        <f t="shared" ref="K134:K197" si="52">R134-F134</f>
        <v>227131.75274265272</v>
      </c>
      <c r="L134" s="13">
        <f t="shared" si="43"/>
        <v>9825444.4048462063</v>
      </c>
      <c r="M134" s="15">
        <f t="shared" ref="M134:M197" si="53">K134/R134</f>
        <v>0.52360776096482053</v>
      </c>
      <c r="N134" s="13">
        <f t="shared" si="45"/>
        <v>2206.8932428402918</v>
      </c>
      <c r="O134" s="13">
        <f t="shared" ref="O134:O197" si="54">Q134-R134</f>
        <v>166764.06460872479</v>
      </c>
      <c r="P134" s="15">
        <f t="shared" si="46"/>
        <v>0.27768726659858156</v>
      </c>
      <c r="Q134" s="7">
        <f t="shared" ref="Q134:Q197" si="55">Q133+E134+H134</f>
        <v>600546.31474980502</v>
      </c>
      <c r="R134" s="7">
        <f t="shared" ref="R134:R197" si="56">(R133+E134)*(1+((1+Taxa_2)/(1+Inflação_2)-1))</f>
        <v>433782.25014108024</v>
      </c>
      <c r="S134" s="13">
        <f>IF('Calc (2)'!$AD$32="Sim",R134,Q134)</f>
        <v>433782.25014108024</v>
      </c>
      <c r="T134" s="9">
        <f t="shared" ref="T134:T197" si="57">C134</f>
        <v>130</v>
      </c>
      <c r="U134" s="17">
        <f t="shared" ref="U134:U197" ca="1" si="58">DATE(YEAR(U133),MONTH(U133)+1,1)</f>
        <v>49461</v>
      </c>
      <c r="V134" s="22"/>
      <c r="W134" s="22"/>
      <c r="X134" s="22"/>
    </row>
    <row r="135" spans="2:24" x14ac:dyDescent="0.2">
      <c r="B135" s="17">
        <f t="shared" ca="1" si="47"/>
        <v>49461</v>
      </c>
      <c r="C135" s="9">
        <f t="shared" ref="C135:C198" si="59">C134+1</f>
        <v>131</v>
      </c>
      <c r="D135" s="9"/>
      <c r="E135" s="13">
        <f t="shared" si="48"/>
        <v>1703.3994977096536</v>
      </c>
      <c r="F135" s="14">
        <f t="shared" ref="F135:F198" si="60">F134+E135</f>
        <v>208353.89689613716</v>
      </c>
      <c r="G135" s="15">
        <f t="shared" si="49"/>
        <v>0.47402992951593814</v>
      </c>
      <c r="H135" s="13">
        <f t="shared" si="50"/>
        <v>7814.9391759767595</v>
      </c>
      <c r="I135" s="13">
        <f t="shared" si="51"/>
        <v>401710.75652735395</v>
      </c>
      <c r="J135" s="15">
        <f t="shared" si="44"/>
        <v>0.52597007048406186</v>
      </c>
      <c r="K135" s="13">
        <f t="shared" si="52"/>
        <v>231183.53296383069</v>
      </c>
      <c r="L135" s="13">
        <f t="shared" ref="L135:L198" si="61">L134+K135</f>
        <v>10056627.937810037</v>
      </c>
      <c r="M135" s="15">
        <f t="shared" si="53"/>
        <v>0.52597007048406186</v>
      </c>
      <c r="N135" s="13">
        <f t="shared" si="45"/>
        <v>2241.8713232748964</v>
      </c>
      <c r="O135" s="13">
        <f t="shared" si="54"/>
        <v>170527.22356352367</v>
      </c>
      <c r="P135" s="15">
        <f t="shared" si="46"/>
        <v>0.27952319906845674</v>
      </c>
      <c r="Q135" s="7">
        <f t="shared" si="55"/>
        <v>610064.65342349152</v>
      </c>
      <c r="R135" s="7">
        <f t="shared" si="56"/>
        <v>439537.42985996784</v>
      </c>
      <c r="S135" s="13">
        <f>IF('Calc (2)'!$AD$32="Sim",R135,Q135)</f>
        <v>439537.42985996784</v>
      </c>
      <c r="T135" s="9">
        <f t="shared" si="57"/>
        <v>131</v>
      </c>
      <c r="U135" s="17">
        <f t="shared" ca="1" si="58"/>
        <v>49491</v>
      </c>
      <c r="V135" s="22"/>
      <c r="W135" s="22"/>
      <c r="X135" s="22"/>
    </row>
    <row r="136" spans="2:24" x14ac:dyDescent="0.2">
      <c r="B136" s="17">
        <f t="shared" ca="1" si="47"/>
        <v>49491</v>
      </c>
      <c r="C136" s="9">
        <f t="shared" si="59"/>
        <v>132</v>
      </c>
      <c r="D136" s="9">
        <v>11</v>
      </c>
      <c r="E136" s="13">
        <f t="shared" si="48"/>
        <v>1710.339358116327</v>
      </c>
      <c r="F136" s="14">
        <f t="shared" si="60"/>
        <v>210064.23625425348</v>
      </c>
      <c r="G136" s="15">
        <f t="shared" si="49"/>
        <v>0.47168012914590718</v>
      </c>
      <c r="H136" s="13">
        <f t="shared" si="50"/>
        <v>7938.8017923383259</v>
      </c>
      <c r="I136" s="13">
        <f t="shared" si="51"/>
        <v>409649.55831969227</v>
      </c>
      <c r="J136" s="15">
        <f t="shared" si="44"/>
        <v>0.52831987085409282</v>
      </c>
      <c r="K136" s="13">
        <f t="shared" si="52"/>
        <v>235288.92423318623</v>
      </c>
      <c r="L136" s="13">
        <f t="shared" si="61"/>
        <v>10291916.862043224</v>
      </c>
      <c r="M136" s="15">
        <f t="shared" si="53"/>
        <v>0.52831987085409282</v>
      </c>
      <c r="N136" s="13">
        <f t="shared" si="45"/>
        <v>2277.3300778807297</v>
      </c>
      <c r="O136" s="13">
        <f t="shared" si="54"/>
        <v>174360.63408650656</v>
      </c>
      <c r="P136" s="15">
        <f t="shared" si="46"/>
        <v>0.28135670952165853</v>
      </c>
      <c r="Q136" s="7">
        <f t="shared" si="55"/>
        <v>619713.79457394627</v>
      </c>
      <c r="R136" s="7">
        <f t="shared" si="56"/>
        <v>445353.16048743972</v>
      </c>
      <c r="S136" s="13">
        <f>IF('Calc (2)'!$AD$32="Sim",R136,Q136)</f>
        <v>445353.16048743972</v>
      </c>
      <c r="T136" s="9">
        <f t="shared" si="57"/>
        <v>132</v>
      </c>
      <c r="U136" s="17">
        <f t="shared" ca="1" si="58"/>
        <v>49522</v>
      </c>
      <c r="V136" s="22"/>
      <c r="W136" s="22"/>
      <c r="X136" s="22"/>
    </row>
    <row r="137" spans="2:24" x14ac:dyDescent="0.2">
      <c r="B137" s="17">
        <f t="shared" ca="1" si="47"/>
        <v>49522</v>
      </c>
      <c r="C137" s="9">
        <f t="shared" si="59"/>
        <v>133</v>
      </c>
      <c r="D137" s="9"/>
      <c r="E137" s="13">
        <f t="shared" si="48"/>
        <v>1717.3074923733386</v>
      </c>
      <c r="F137" s="14">
        <f t="shared" si="60"/>
        <v>211781.54374662682</v>
      </c>
      <c r="G137" s="15">
        <f t="shared" si="49"/>
        <v>0.46934274720709529</v>
      </c>
      <c r="H137" s="13">
        <f t="shared" si="50"/>
        <v>8064.3665478603607</v>
      </c>
      <c r="I137" s="13">
        <f t="shared" si="51"/>
        <v>417713.92486755265</v>
      </c>
      <c r="J137" s="15">
        <f t="shared" si="44"/>
        <v>0.53065725279290477</v>
      </c>
      <c r="K137" s="13">
        <f t="shared" si="52"/>
        <v>239448.49018245656</v>
      </c>
      <c r="L137" s="13">
        <f t="shared" si="61"/>
        <v>10531365.35222568</v>
      </c>
      <c r="M137" s="15">
        <f t="shared" si="53"/>
        <v>0.53065725279290465</v>
      </c>
      <c r="N137" s="13">
        <f t="shared" si="45"/>
        <v>2313.2758655957896</v>
      </c>
      <c r="O137" s="13">
        <f t="shared" si="54"/>
        <v>178265.43468509661</v>
      </c>
      <c r="P137" s="15">
        <f t="shared" si="46"/>
        <v>0.28318779653417353</v>
      </c>
      <c r="Q137" s="7">
        <f t="shared" si="55"/>
        <v>629495.46861417999</v>
      </c>
      <c r="R137" s="7">
        <f t="shared" si="56"/>
        <v>451230.03392908338</v>
      </c>
      <c r="S137" s="13">
        <f>IF('Calc (2)'!$AD$32="Sim",R137,Q137)</f>
        <v>451230.03392908338</v>
      </c>
      <c r="T137" s="9">
        <f t="shared" si="57"/>
        <v>133</v>
      </c>
      <c r="U137" s="17">
        <f t="shared" ca="1" si="58"/>
        <v>49553</v>
      </c>
      <c r="V137" s="22"/>
      <c r="W137" s="22"/>
      <c r="X137" s="22"/>
    </row>
    <row r="138" spans="2:24" x14ac:dyDescent="0.2">
      <c r="B138" s="17">
        <f t="shared" ca="1" si="47"/>
        <v>49553</v>
      </c>
      <c r="C138" s="9">
        <f t="shared" si="59"/>
        <v>134</v>
      </c>
      <c r="D138" s="9"/>
      <c r="E138" s="13">
        <f t="shared" si="48"/>
        <v>1724.3040156718544</v>
      </c>
      <c r="F138" s="14">
        <f t="shared" si="60"/>
        <v>213505.84776229868</v>
      </c>
      <c r="G138" s="15">
        <f t="shared" si="49"/>
        <v>0.46701769430157258</v>
      </c>
      <c r="H138" s="13">
        <f t="shared" si="50"/>
        <v>8191.6559604937638</v>
      </c>
      <c r="I138" s="13">
        <f t="shared" si="51"/>
        <v>425905.58082804643</v>
      </c>
      <c r="J138" s="15">
        <f t="shared" si="44"/>
        <v>0.53298230569842742</v>
      </c>
      <c r="K138" s="13">
        <f t="shared" si="52"/>
        <v>243662.79995156961</v>
      </c>
      <c r="L138" s="13">
        <f t="shared" si="61"/>
        <v>10775028.15217725</v>
      </c>
      <c r="M138" s="15">
        <f t="shared" si="53"/>
        <v>0.53298230569842742</v>
      </c>
      <c r="N138" s="13">
        <f t="shared" si="45"/>
        <v>2349.7151285305586</v>
      </c>
      <c r="O138" s="13">
        <f t="shared" si="54"/>
        <v>182242.78087647725</v>
      </c>
      <c r="P138" s="15">
        <f t="shared" si="46"/>
        <v>0.28501645846126328</v>
      </c>
      <c r="Q138" s="7">
        <f t="shared" si="55"/>
        <v>639411.42859034555</v>
      </c>
      <c r="R138" s="7">
        <f t="shared" si="56"/>
        <v>457168.6477138683</v>
      </c>
      <c r="S138" s="13">
        <f>IF('Calc (2)'!$AD$32="Sim",R138,Q138)</f>
        <v>457168.6477138683</v>
      </c>
      <c r="T138" s="9">
        <f t="shared" si="57"/>
        <v>134</v>
      </c>
      <c r="U138" s="17">
        <f t="shared" ca="1" si="58"/>
        <v>49583</v>
      </c>
      <c r="V138" s="22"/>
      <c r="W138" s="22"/>
      <c r="X138" s="22"/>
    </row>
    <row r="139" spans="2:24" x14ac:dyDescent="0.2">
      <c r="B139" s="17">
        <f t="shared" ca="1" si="47"/>
        <v>49583</v>
      </c>
      <c r="C139" s="9">
        <f t="shared" si="59"/>
        <v>135</v>
      </c>
      <c r="D139" s="9"/>
      <c r="E139" s="13">
        <f t="shared" si="48"/>
        <v>1731.3290436723435</v>
      </c>
      <c r="F139" s="14">
        <f t="shared" si="60"/>
        <v>215237.17680597102</v>
      </c>
      <c r="G139" s="15">
        <f t="shared" si="49"/>
        <v>0.46470488231661439</v>
      </c>
      <c r="H139" s="13">
        <f t="shared" si="50"/>
        <v>8320.6928427156417</v>
      </c>
      <c r="I139" s="13">
        <f t="shared" si="51"/>
        <v>434226.27367076208</v>
      </c>
      <c r="J139" s="15">
        <f t="shared" si="44"/>
        <v>0.53529511768338556</v>
      </c>
      <c r="K139" s="13">
        <f t="shared" si="52"/>
        <v>247932.42824096896</v>
      </c>
      <c r="L139" s="13">
        <f t="shared" si="61"/>
        <v>11022960.58041822</v>
      </c>
      <c r="M139" s="15">
        <f t="shared" si="53"/>
        <v>0.53529511768338556</v>
      </c>
      <c r="N139" s="13">
        <f t="shared" si="45"/>
        <v>2386.6543930520538</v>
      </c>
      <c r="O139" s="13">
        <f t="shared" si="54"/>
        <v>186293.84542979352</v>
      </c>
      <c r="P139" s="15">
        <f t="shared" si="46"/>
        <v>0.28684269344648416</v>
      </c>
      <c r="Q139" s="7">
        <f t="shared" si="55"/>
        <v>649463.4504767335</v>
      </c>
      <c r="R139" s="7">
        <f t="shared" si="56"/>
        <v>463169.60504693998</v>
      </c>
      <c r="S139" s="13">
        <f>IF('Calc (2)'!$AD$32="Sim",R139,Q139)</f>
        <v>463169.60504693998</v>
      </c>
      <c r="T139" s="9">
        <f t="shared" si="57"/>
        <v>135</v>
      </c>
      <c r="U139" s="17">
        <f t="shared" ca="1" si="58"/>
        <v>49614</v>
      </c>
      <c r="V139" s="22"/>
      <c r="W139" s="22"/>
      <c r="X139" s="22"/>
    </row>
    <row r="140" spans="2:24" x14ac:dyDescent="0.2">
      <c r="B140" s="17">
        <f t="shared" ca="1" si="47"/>
        <v>49614</v>
      </c>
      <c r="C140" s="9">
        <f t="shared" si="59"/>
        <v>136</v>
      </c>
      <c r="D140" s="9"/>
      <c r="E140" s="13">
        <f t="shared" si="48"/>
        <v>1738.38269250649</v>
      </c>
      <c r="F140" s="14">
        <f t="shared" si="60"/>
        <v>216975.55949847749</v>
      </c>
      <c r="G140" s="15">
        <f t="shared" si="49"/>
        <v>0.46240422439106887</v>
      </c>
      <c r="H140" s="13">
        <f t="shared" si="50"/>
        <v>8451.5003053681048</v>
      </c>
      <c r="I140" s="13">
        <f t="shared" si="51"/>
        <v>442677.77397613018</v>
      </c>
      <c r="J140" s="15">
        <f t="shared" si="44"/>
        <v>0.53759577560893113</v>
      </c>
      <c r="K140" s="13">
        <f t="shared" si="52"/>
        <v>252257.95536442928</v>
      </c>
      <c r="L140" s="13">
        <f t="shared" si="61"/>
        <v>11275218.535782648</v>
      </c>
      <c r="M140" s="15">
        <f t="shared" si="53"/>
        <v>0.53759577560893113</v>
      </c>
      <c r="N140" s="13">
        <f t="shared" si="45"/>
        <v>2424.1002708819951</v>
      </c>
      <c r="O140" s="13">
        <f t="shared" si="54"/>
        <v>190419.81861170137</v>
      </c>
      <c r="P140" s="15">
        <f t="shared" si="46"/>
        <v>0.2886664994303878</v>
      </c>
      <c r="Q140" s="7">
        <f t="shared" si="55"/>
        <v>659653.33347460814</v>
      </c>
      <c r="R140" s="7">
        <f t="shared" si="56"/>
        <v>469233.51486290677</v>
      </c>
      <c r="S140" s="13">
        <f>IF('Calc (2)'!$AD$32="Sim",R140,Q140)</f>
        <v>469233.51486290677</v>
      </c>
      <c r="T140" s="9">
        <f t="shared" si="57"/>
        <v>136</v>
      </c>
      <c r="U140" s="17">
        <f t="shared" ca="1" si="58"/>
        <v>49644</v>
      </c>
      <c r="V140" s="22"/>
      <c r="W140" s="22"/>
      <c r="X140" s="22"/>
    </row>
    <row r="141" spans="2:24" x14ac:dyDescent="0.2">
      <c r="B141" s="17">
        <f t="shared" ca="1" si="47"/>
        <v>49644</v>
      </c>
      <c r="C141" s="9">
        <f t="shared" si="59"/>
        <v>137</v>
      </c>
      <c r="D141" s="9"/>
      <c r="E141" s="13">
        <f t="shared" si="48"/>
        <v>1745.4650787791134</v>
      </c>
      <c r="F141" s="14">
        <f t="shared" si="60"/>
        <v>218721.02457725661</v>
      </c>
      <c r="G141" s="15">
        <f t="shared" si="49"/>
        <v>0.4601156348828957</v>
      </c>
      <c r="H141" s="13">
        <f t="shared" si="50"/>
        <v>8584.1017615470282</v>
      </c>
      <c r="I141" s="13">
        <f t="shared" si="51"/>
        <v>451261.87573767721</v>
      </c>
      <c r="J141" s="15">
        <f t="shared" si="44"/>
        <v>0.53988436511710436</v>
      </c>
      <c r="K141" s="13">
        <f t="shared" si="52"/>
        <v>256639.96730236823</v>
      </c>
      <c r="L141" s="13">
        <f t="shared" si="61"/>
        <v>11531858.503085017</v>
      </c>
      <c r="M141" s="15">
        <f t="shared" si="53"/>
        <v>0.53988436511710425</v>
      </c>
      <c r="N141" s="13">
        <f t="shared" si="45"/>
        <v>2462.0594602092665</v>
      </c>
      <c r="O141" s="13">
        <f t="shared" si="54"/>
        <v>194621.90843530948</v>
      </c>
      <c r="P141" s="15">
        <f t="shared" si="46"/>
        <v>0.29048787415891492</v>
      </c>
      <c r="Q141" s="7">
        <f t="shared" si="55"/>
        <v>669982.90031493432</v>
      </c>
      <c r="R141" s="7">
        <f t="shared" si="56"/>
        <v>475360.99187962484</v>
      </c>
      <c r="S141" s="13">
        <f>IF('Calc (2)'!$AD$32="Sim",R141,Q141)</f>
        <v>475360.99187962484</v>
      </c>
      <c r="T141" s="9">
        <f t="shared" si="57"/>
        <v>137</v>
      </c>
      <c r="U141" s="17">
        <f t="shared" ca="1" si="58"/>
        <v>49675</v>
      </c>
      <c r="V141" s="22"/>
      <c r="W141" s="22"/>
      <c r="X141" s="22"/>
    </row>
    <row r="142" spans="2:24" x14ac:dyDescent="0.2">
      <c r="B142" s="17">
        <f t="shared" ca="1" si="47"/>
        <v>49675</v>
      </c>
      <c r="C142" s="9">
        <f t="shared" si="59"/>
        <v>138</v>
      </c>
      <c r="D142" s="9"/>
      <c r="E142" s="13">
        <f t="shared" si="48"/>
        <v>1752.5763195700949</v>
      </c>
      <c r="F142" s="14">
        <f t="shared" si="60"/>
        <v>220473.60089682671</v>
      </c>
      <c r="G142" s="15">
        <f t="shared" si="49"/>
        <v>0.45783902933782922</v>
      </c>
      <c r="H142" s="13">
        <f t="shared" si="50"/>
        <v>8718.5209305414555</v>
      </c>
      <c r="I142" s="13">
        <f t="shared" si="51"/>
        <v>459980.39666821866</v>
      </c>
      <c r="J142" s="15">
        <f t="shared" si="44"/>
        <v>0.54216097066217084</v>
      </c>
      <c r="K142" s="13">
        <f t="shared" si="52"/>
        <v>261079.05575565837</v>
      </c>
      <c r="L142" s="13">
        <f t="shared" si="61"/>
        <v>11792937.558840675</v>
      </c>
      <c r="M142" s="15">
        <f t="shared" si="53"/>
        <v>0.54216097066217084</v>
      </c>
      <c r="N142" s="13">
        <f t="shared" si="45"/>
        <v>2500.5387468168647</v>
      </c>
      <c r="O142" s="13">
        <f t="shared" si="54"/>
        <v>198901.34091256076</v>
      </c>
      <c r="P142" s="15">
        <f t="shared" si="46"/>
        <v>0.29230681519149637</v>
      </c>
      <c r="Q142" s="7">
        <f t="shared" si="55"/>
        <v>680453.99756504584</v>
      </c>
      <c r="R142" s="7">
        <f t="shared" si="56"/>
        <v>481552.65665248508</v>
      </c>
      <c r="S142" s="13">
        <f>IF('Calc (2)'!$AD$32="Sim",R142,Q142)</f>
        <v>481552.65665248508</v>
      </c>
      <c r="T142" s="9">
        <f t="shared" si="57"/>
        <v>138</v>
      </c>
      <c r="U142" s="17">
        <f t="shared" ca="1" si="58"/>
        <v>49706</v>
      </c>
      <c r="V142" s="22"/>
      <c r="W142" s="22"/>
      <c r="X142" s="22"/>
    </row>
    <row r="143" spans="2:24" x14ac:dyDescent="0.2">
      <c r="B143" s="17">
        <f t="shared" ca="1" si="47"/>
        <v>49706</v>
      </c>
      <c r="C143" s="9">
        <f t="shared" si="59"/>
        <v>139</v>
      </c>
      <c r="D143" s="9"/>
      <c r="E143" s="13">
        <f t="shared" si="48"/>
        <v>1759.7165324363143</v>
      </c>
      <c r="F143" s="14">
        <f t="shared" si="60"/>
        <v>222233.31742926303</v>
      </c>
      <c r="G143" s="15">
        <f t="shared" si="49"/>
        <v>0.45557432445911916</v>
      </c>
      <c r="H143" s="13">
        <f t="shared" si="50"/>
        <v>8854.781841824295</v>
      </c>
      <c r="I143" s="13">
        <f t="shared" si="51"/>
        <v>468835.17851004296</v>
      </c>
      <c r="J143" s="15">
        <f t="shared" si="44"/>
        <v>0.54442567554088084</v>
      </c>
      <c r="K143" s="13">
        <f t="shared" si="52"/>
        <v>265575.81819994445</v>
      </c>
      <c r="L143" s="13">
        <f t="shared" si="61"/>
        <v>12058513.377040619</v>
      </c>
      <c r="M143" s="15">
        <f t="shared" si="53"/>
        <v>0.54442567554088084</v>
      </c>
      <c r="N143" s="13">
        <f t="shared" si="45"/>
        <v>2539.5450052235196</v>
      </c>
      <c r="O143" s="13">
        <f t="shared" si="54"/>
        <v>203259.36031009897</v>
      </c>
      <c r="P143" s="15">
        <f t="shared" si="46"/>
        <v>0.29412331990887103</v>
      </c>
      <c r="Q143" s="7">
        <f t="shared" si="55"/>
        <v>691068.49593930645</v>
      </c>
      <c r="R143" s="7">
        <f t="shared" si="56"/>
        <v>487809.13562920748</v>
      </c>
      <c r="S143" s="13">
        <f>IF('Calc (2)'!$AD$32="Sim",R143,Q143)</f>
        <v>487809.13562920748</v>
      </c>
      <c r="T143" s="9">
        <f t="shared" si="57"/>
        <v>139</v>
      </c>
      <c r="U143" s="17">
        <f t="shared" ca="1" si="58"/>
        <v>49735</v>
      </c>
      <c r="V143" s="22"/>
      <c r="W143" s="22"/>
      <c r="X143" s="22"/>
    </row>
    <row r="144" spans="2:24" x14ac:dyDescent="0.2">
      <c r="B144" s="17">
        <f t="shared" ca="1" si="47"/>
        <v>49735</v>
      </c>
      <c r="C144" s="9">
        <f t="shared" si="59"/>
        <v>140</v>
      </c>
      <c r="D144" s="9"/>
      <c r="E144" s="13">
        <f t="shared" si="48"/>
        <v>1766.8858354135923</v>
      </c>
      <c r="F144" s="14">
        <f t="shared" si="60"/>
        <v>224000.20326467662</v>
      </c>
      <c r="G144" s="15">
        <f t="shared" si="49"/>
        <v>0.4533214380783061</v>
      </c>
      <c r="H144" s="13">
        <f t="shared" si="50"/>
        <v>8992.9088390949546</v>
      </c>
      <c r="I144" s="13">
        <f t="shared" si="51"/>
        <v>477828.08734913793</v>
      </c>
      <c r="J144" s="15">
        <f t="shared" si="44"/>
        <v>0.54667856192169384</v>
      </c>
      <c r="K144" s="13">
        <f t="shared" si="52"/>
        <v>270130.85794047016</v>
      </c>
      <c r="L144" s="13">
        <f t="shared" si="61"/>
        <v>12328644.23498109</v>
      </c>
      <c r="M144" s="15">
        <f t="shared" si="53"/>
        <v>0.54667856192169395</v>
      </c>
      <c r="N144" s="13">
        <f t="shared" si="45"/>
        <v>2579.0851998401736</v>
      </c>
      <c r="O144" s="13">
        <f t="shared" si="54"/>
        <v>207697.22940866818</v>
      </c>
      <c r="P144" s="15">
        <f t="shared" si="46"/>
        <v>0.29593738552063409</v>
      </c>
      <c r="Q144" s="7">
        <f t="shared" si="55"/>
        <v>701828.29061381496</v>
      </c>
      <c r="R144" s="7">
        <f t="shared" si="56"/>
        <v>494131.06120514678</v>
      </c>
      <c r="S144" s="13">
        <f>IF('Calc (2)'!$AD$32="Sim",R144,Q144)</f>
        <v>494131.06120514678</v>
      </c>
      <c r="T144" s="9">
        <f t="shared" si="57"/>
        <v>140</v>
      </c>
      <c r="U144" s="17">
        <f t="shared" ca="1" si="58"/>
        <v>49766</v>
      </c>
      <c r="V144" s="22"/>
      <c r="W144" s="22"/>
      <c r="X144" s="22"/>
    </row>
    <row r="145" spans="2:24" x14ac:dyDescent="0.2">
      <c r="B145" s="17">
        <f t="shared" ca="1" si="47"/>
        <v>49766</v>
      </c>
      <c r="C145" s="9">
        <f t="shared" si="59"/>
        <v>141</v>
      </c>
      <c r="D145" s="9"/>
      <c r="E145" s="13">
        <f t="shared" si="48"/>
        <v>1774.0843470186421</v>
      </c>
      <c r="F145" s="14">
        <f t="shared" si="60"/>
        <v>225774.28761169527</v>
      </c>
      <c r="G145" s="15">
        <f t="shared" si="49"/>
        <v>0.45108028912698878</v>
      </c>
      <c r="H145" s="13">
        <f t="shared" si="50"/>
        <v>9132.9265843746252</v>
      </c>
      <c r="I145" s="13">
        <f t="shared" si="51"/>
        <v>486961.01393351256</v>
      </c>
      <c r="J145" s="15">
        <f t="shared" si="44"/>
        <v>0.54891971087301128</v>
      </c>
      <c r="K145" s="13">
        <f t="shared" si="52"/>
        <v>274744.78416741977</v>
      </c>
      <c r="L145" s="13">
        <f t="shared" si="61"/>
        <v>12603389.01914851</v>
      </c>
      <c r="M145" s="15">
        <f t="shared" si="53"/>
        <v>0.54891971087301117</v>
      </c>
      <c r="N145" s="13">
        <f t="shared" si="45"/>
        <v>2619.166386141525</v>
      </c>
      <c r="O145" s="13">
        <f t="shared" si="54"/>
        <v>212216.22976609314</v>
      </c>
      <c r="P145" s="15">
        <f t="shared" si="46"/>
        <v>0.29774900907252516</v>
      </c>
      <c r="Q145" s="7">
        <f t="shared" si="55"/>
        <v>712735.3015452082</v>
      </c>
      <c r="R145" s="7">
        <f t="shared" si="56"/>
        <v>500519.07177911507</v>
      </c>
      <c r="S145" s="13">
        <f>IF('Calc (2)'!$AD$32="Sim",R145,Q145)</f>
        <v>500519.07177911507</v>
      </c>
      <c r="T145" s="9">
        <f t="shared" si="57"/>
        <v>141</v>
      </c>
      <c r="U145" s="17">
        <f t="shared" ca="1" si="58"/>
        <v>49796</v>
      </c>
      <c r="V145" s="22"/>
      <c r="W145" s="22"/>
      <c r="X145" s="22"/>
    </row>
    <row r="146" spans="2:24" x14ac:dyDescent="0.2">
      <c r="B146" s="17">
        <f t="shared" ca="1" si="47"/>
        <v>49796</v>
      </c>
      <c r="C146" s="9">
        <f t="shared" si="59"/>
        <v>142</v>
      </c>
      <c r="D146" s="9"/>
      <c r="E146" s="13">
        <f t="shared" si="48"/>
        <v>1781.3121862510291</v>
      </c>
      <c r="F146" s="14">
        <f t="shared" si="60"/>
        <v>227555.59979794628</v>
      </c>
      <c r="G146" s="15">
        <f t="shared" si="49"/>
        <v>0.44885079760954411</v>
      </c>
      <c r="H146" s="13">
        <f t="shared" si="50"/>
        <v>9274.860062154874</v>
      </c>
      <c r="I146" s="13">
        <f t="shared" si="51"/>
        <v>496235.87399566744</v>
      </c>
      <c r="J146" s="15">
        <f t="shared" si="44"/>
        <v>0.55114920239045584</v>
      </c>
      <c r="K146" s="13">
        <f t="shared" si="52"/>
        <v>279418.21201177943</v>
      </c>
      <c r="L146" s="13">
        <f t="shared" si="61"/>
        <v>12882807.231160289</v>
      </c>
      <c r="M146" s="15">
        <f t="shared" si="53"/>
        <v>0.55114920239045595</v>
      </c>
      <c r="N146" s="13">
        <f t="shared" si="45"/>
        <v>2659.7957118528161</v>
      </c>
      <c r="O146" s="13">
        <f t="shared" si="54"/>
        <v>216817.66198388836</v>
      </c>
      <c r="P146" s="15">
        <f t="shared" si="46"/>
        <v>0.29955818745346668</v>
      </c>
      <c r="Q146" s="7">
        <f t="shared" si="55"/>
        <v>723791.47379361407</v>
      </c>
      <c r="R146" s="7">
        <f t="shared" si="56"/>
        <v>506973.81180972571</v>
      </c>
      <c r="S146" s="13">
        <f>IF('Calc (2)'!$AD$32="Sim",R146,Q146)</f>
        <v>506973.81180972571</v>
      </c>
      <c r="T146" s="9">
        <f t="shared" si="57"/>
        <v>142</v>
      </c>
      <c r="U146" s="17">
        <f t="shared" ca="1" si="58"/>
        <v>49827</v>
      </c>
      <c r="V146" s="22"/>
      <c r="W146" s="22"/>
      <c r="X146" s="22"/>
    </row>
    <row r="147" spans="2:24" x14ac:dyDescent="0.2">
      <c r="B147" s="17">
        <f t="shared" ca="1" si="47"/>
        <v>49827</v>
      </c>
      <c r="C147" s="9">
        <f t="shared" si="59"/>
        <v>143</v>
      </c>
      <c r="D147" s="9"/>
      <c r="E147" s="13">
        <f t="shared" si="48"/>
        <v>1788.5694725951371</v>
      </c>
      <c r="F147" s="14">
        <f t="shared" si="60"/>
        <v>229344.16927054143</v>
      </c>
      <c r="G147" s="15">
        <f t="shared" si="49"/>
        <v>0.44663288457676215</v>
      </c>
      <c r="H147" s="13">
        <f t="shared" si="50"/>
        <v>9418.7345836002532</v>
      </c>
      <c r="I147" s="13">
        <f t="shared" si="51"/>
        <v>505654.60857926769</v>
      </c>
      <c r="J147" s="15">
        <f t="shared" si="44"/>
        <v>0.5533671154232378</v>
      </c>
      <c r="K147" s="13">
        <f t="shared" si="52"/>
        <v>284151.76260172168</v>
      </c>
      <c r="L147" s="13">
        <f t="shared" si="61"/>
        <v>13166958.993762011</v>
      </c>
      <c r="M147" s="15">
        <f t="shared" si="53"/>
        <v>0.5533671154232378</v>
      </c>
      <c r="N147" s="13">
        <f t="shared" si="45"/>
        <v>2700.9804181520772</v>
      </c>
      <c r="O147" s="13">
        <f t="shared" si="54"/>
        <v>221502.84597754636</v>
      </c>
      <c r="P147" s="15">
        <f t="shared" si="46"/>
        <v>0.30136491740236404</v>
      </c>
      <c r="Q147" s="7">
        <f t="shared" si="55"/>
        <v>734998.7778498095</v>
      </c>
      <c r="R147" s="7">
        <f t="shared" si="56"/>
        <v>513495.93187226314</v>
      </c>
      <c r="S147" s="13">
        <f>IF('Calc (2)'!$AD$32="Sim",R147,Q147)</f>
        <v>513495.93187226314</v>
      </c>
      <c r="T147" s="9">
        <f t="shared" si="57"/>
        <v>143</v>
      </c>
      <c r="U147" s="17">
        <f t="shared" ca="1" si="58"/>
        <v>49857</v>
      </c>
      <c r="V147" s="22"/>
      <c r="W147" s="22"/>
      <c r="X147" s="22"/>
    </row>
    <row r="148" spans="2:24" x14ac:dyDescent="0.2">
      <c r="B148" s="17">
        <f t="shared" ca="1" si="47"/>
        <v>49857</v>
      </c>
      <c r="C148" s="9">
        <f t="shared" si="59"/>
        <v>144</v>
      </c>
      <c r="D148" s="9">
        <v>12</v>
      </c>
      <c r="E148" s="13">
        <f t="shared" si="48"/>
        <v>1795.8563260221442</v>
      </c>
      <c r="F148" s="14">
        <f t="shared" si="60"/>
        <v>231140.02559656359</v>
      </c>
      <c r="G148" s="15">
        <f t="shared" si="49"/>
        <v>0.44442647210035896</v>
      </c>
      <c r="H148" s="13">
        <f t="shared" si="50"/>
        <v>9564.5757908056185</v>
      </c>
      <c r="I148" s="13">
        <f t="shared" si="51"/>
        <v>515219.18437007332</v>
      </c>
      <c r="J148" s="15">
        <f t="shared" si="44"/>
        <v>0.55557352789964098</v>
      </c>
      <c r="K148" s="13">
        <f t="shared" si="52"/>
        <v>288946.06311952055</v>
      </c>
      <c r="L148" s="13">
        <f t="shared" si="61"/>
        <v>13455905.056881532</v>
      </c>
      <c r="M148" s="15">
        <f t="shared" si="53"/>
        <v>0.55557352789964098</v>
      </c>
      <c r="N148" s="13">
        <f t="shared" si="45"/>
        <v>2742.7278408880206</v>
      </c>
      <c r="O148" s="13">
        <f t="shared" si="54"/>
        <v>226273.12125055317</v>
      </c>
      <c r="P148" s="15">
        <f t="shared" si="46"/>
        <v>0.30316919551467408</v>
      </c>
      <c r="Q148" s="7">
        <f t="shared" si="55"/>
        <v>746359.20996663731</v>
      </c>
      <c r="R148" s="7">
        <f t="shared" si="56"/>
        <v>520086.08871608414</v>
      </c>
      <c r="S148" s="13">
        <f>IF('Calc (2)'!$AD$32="Sim",R148,Q148)</f>
        <v>520086.08871608414</v>
      </c>
      <c r="T148" s="9">
        <f t="shared" si="57"/>
        <v>144</v>
      </c>
      <c r="U148" s="17">
        <f t="shared" ca="1" si="58"/>
        <v>49888</v>
      </c>
      <c r="V148" s="22"/>
      <c r="W148" s="22"/>
      <c r="X148" s="22"/>
    </row>
    <row r="149" spans="2:24" x14ac:dyDescent="0.2">
      <c r="B149" s="17">
        <f t="shared" ca="1" si="47"/>
        <v>49888</v>
      </c>
      <c r="C149" s="9">
        <f t="shared" si="59"/>
        <v>145</v>
      </c>
      <c r="D149" s="9"/>
      <c r="E149" s="13">
        <f t="shared" si="48"/>
        <v>1803.1728669920064</v>
      </c>
      <c r="F149" s="14">
        <f t="shared" si="60"/>
        <v>232943.1984635556</v>
      </c>
      <c r="G149" s="15">
        <f t="shared" si="49"/>
        <v>0.44223148324833306</v>
      </c>
      <c r="H149" s="13">
        <f t="shared" si="50"/>
        <v>9712.4096611088753</v>
      </c>
      <c r="I149" s="13">
        <f t="shared" si="51"/>
        <v>524931.59403118223</v>
      </c>
      <c r="J149" s="15">
        <f t="shared" si="44"/>
        <v>0.55776851675166694</v>
      </c>
      <c r="K149" s="13">
        <f t="shared" si="52"/>
        <v>293801.74685899942</v>
      </c>
      <c r="L149" s="13">
        <f t="shared" si="61"/>
        <v>13749706.803740531</v>
      </c>
      <c r="M149" s="15">
        <f t="shared" si="53"/>
        <v>0.55776851675166694</v>
      </c>
      <c r="N149" s="13">
        <f t="shared" si="45"/>
        <v>2785.0454118137918</v>
      </c>
      <c r="O149" s="13">
        <f t="shared" si="54"/>
        <v>231129.8471721831</v>
      </c>
      <c r="P149" s="15">
        <f t="shared" si="46"/>
        <v>0.30497101824875356</v>
      </c>
      <c r="Q149" s="7">
        <f t="shared" si="55"/>
        <v>757874.79249473813</v>
      </c>
      <c r="R149" s="7">
        <f t="shared" si="56"/>
        <v>526744.94532255502</v>
      </c>
      <c r="S149" s="13">
        <f>IF('Calc (2)'!$AD$32="Sim",R149,Q149)</f>
        <v>526744.94532255502</v>
      </c>
      <c r="T149" s="9">
        <f t="shared" si="57"/>
        <v>145</v>
      </c>
      <c r="U149" s="17">
        <f t="shared" ca="1" si="58"/>
        <v>49919</v>
      </c>
      <c r="V149" s="22"/>
      <c r="W149" s="22"/>
      <c r="X149" s="22"/>
    </row>
    <row r="150" spans="2:24" x14ac:dyDescent="0.2">
      <c r="B150" s="17">
        <f t="shared" ca="1" si="47"/>
        <v>49919</v>
      </c>
      <c r="C150" s="9">
        <f t="shared" si="59"/>
        <v>146</v>
      </c>
      <c r="D150" s="9"/>
      <c r="E150" s="13">
        <f t="shared" si="48"/>
        <v>1810.519216455448</v>
      </c>
      <c r="F150" s="14">
        <f t="shared" si="60"/>
        <v>234753.71768001106</v>
      </c>
      <c r="G150" s="15">
        <f t="shared" si="49"/>
        <v>0.44004784206113279</v>
      </c>
      <c r="H150" s="13">
        <f t="shared" si="50"/>
        <v>9862.2625114598777</v>
      </c>
      <c r="I150" s="13">
        <f t="shared" si="51"/>
        <v>534793.85654264211</v>
      </c>
      <c r="J150" s="15">
        <f t="shared" si="44"/>
        <v>0.55995215793886721</v>
      </c>
      <c r="K150" s="13">
        <f t="shared" si="52"/>
        <v>298719.45328351879</v>
      </c>
      <c r="L150" s="13">
        <f t="shared" si="61"/>
        <v>14048426.25702405</v>
      </c>
      <c r="M150" s="15">
        <f t="shared" si="53"/>
        <v>0.55995215793886721</v>
      </c>
      <c r="N150" s="13">
        <f t="shared" si="45"/>
        <v>2827.9406598367823</v>
      </c>
      <c r="O150" s="13">
        <f t="shared" si="54"/>
        <v>236074.40325912356</v>
      </c>
      <c r="P150" s="15">
        <f t="shared" si="46"/>
        <v>0.30677038193199485</v>
      </c>
      <c r="Q150" s="7">
        <f t="shared" si="55"/>
        <v>769547.57422265341</v>
      </c>
      <c r="R150" s="7">
        <f t="shared" si="56"/>
        <v>533473.17096352985</v>
      </c>
      <c r="S150" s="13">
        <f>IF('Calc (2)'!$AD$32="Sim",R150,Q150)</f>
        <v>533473.17096352985</v>
      </c>
      <c r="T150" s="9">
        <f t="shared" si="57"/>
        <v>146</v>
      </c>
      <c r="U150" s="17">
        <f t="shared" ca="1" si="58"/>
        <v>49949</v>
      </c>
      <c r="V150" s="22"/>
      <c r="W150" s="22"/>
      <c r="X150" s="22"/>
    </row>
    <row r="151" spans="2:24" x14ac:dyDescent="0.2">
      <c r="B151" s="17">
        <f t="shared" ca="1" si="47"/>
        <v>49949</v>
      </c>
      <c r="C151" s="9">
        <f t="shared" si="59"/>
        <v>147</v>
      </c>
      <c r="D151" s="9"/>
      <c r="E151" s="13">
        <f t="shared" si="48"/>
        <v>1817.8954958559616</v>
      </c>
      <c r="F151" s="14">
        <f t="shared" si="60"/>
        <v>236571.61317586701</v>
      </c>
      <c r="G151" s="15">
        <f t="shared" si="49"/>
        <v>0.43787547352860218</v>
      </c>
      <c r="H151" s="13">
        <f t="shared" si="50"/>
        <v>10014.1610028462</v>
      </c>
      <c r="I151" s="13">
        <f t="shared" si="51"/>
        <v>544808.01754548831</v>
      </c>
      <c r="J151" s="15">
        <f t="shared" si="44"/>
        <v>0.56212452647139788</v>
      </c>
      <c r="K151" s="13">
        <f t="shared" si="52"/>
        <v>303699.82808450784</v>
      </c>
      <c r="L151" s="13">
        <f t="shared" si="61"/>
        <v>14352126.085108558</v>
      </c>
      <c r="M151" s="15">
        <f t="shared" si="53"/>
        <v>0.56212452647139788</v>
      </c>
      <c r="N151" s="13">
        <f t="shared" si="45"/>
        <v>2871.421212284713</v>
      </c>
      <c r="O151" s="13">
        <f t="shared" si="54"/>
        <v>241108.18946098071</v>
      </c>
      <c r="P151" s="15">
        <f t="shared" si="46"/>
        <v>0.30856728276675705</v>
      </c>
      <c r="Q151" s="7">
        <f t="shared" si="55"/>
        <v>781379.63072135556</v>
      </c>
      <c r="R151" s="7">
        <f t="shared" si="56"/>
        <v>540271.44126037485</v>
      </c>
      <c r="S151" s="13">
        <f>IF('Calc (2)'!$AD$32="Sim",R151,Q151)</f>
        <v>540271.44126037485</v>
      </c>
      <c r="T151" s="9">
        <f t="shared" si="57"/>
        <v>147</v>
      </c>
      <c r="U151" s="17">
        <f t="shared" ca="1" si="58"/>
        <v>49980</v>
      </c>
      <c r="V151" s="22"/>
      <c r="W151" s="22"/>
      <c r="X151" s="22"/>
    </row>
    <row r="152" spans="2:24" x14ac:dyDescent="0.2">
      <c r="B152" s="17">
        <f t="shared" ca="1" si="47"/>
        <v>49980</v>
      </c>
      <c r="C152" s="9">
        <f t="shared" si="59"/>
        <v>148</v>
      </c>
      <c r="D152" s="9"/>
      <c r="E152" s="13">
        <f t="shared" si="48"/>
        <v>1825.3018271318156</v>
      </c>
      <c r="F152" s="14">
        <f t="shared" si="60"/>
        <v>238396.91500299884</v>
      </c>
      <c r="G152" s="15">
        <f t="shared" si="49"/>
        <v>0.4357143035676761</v>
      </c>
      <c r="H152" s="13">
        <f t="shared" si="50"/>
        <v>10168.132144776529</v>
      </c>
      <c r="I152" s="13">
        <f t="shared" si="51"/>
        <v>554976.14969026484</v>
      </c>
      <c r="J152" s="15">
        <f t="shared" si="44"/>
        <v>0.56428569643232396</v>
      </c>
      <c r="K152" s="13">
        <f t="shared" si="52"/>
        <v>308743.52324054512</v>
      </c>
      <c r="L152" s="13">
        <f t="shared" si="61"/>
        <v>14660869.608349103</v>
      </c>
      <c r="M152" s="15">
        <f t="shared" si="53"/>
        <v>0.56428569643232396</v>
      </c>
      <c r="N152" s="13">
        <f t="shared" si="45"/>
        <v>2915.4947961882003</v>
      </c>
      <c r="O152" s="13">
        <f t="shared" si="54"/>
        <v>246232.62644971989</v>
      </c>
      <c r="P152" s="15">
        <f t="shared" si="46"/>
        <v>0.31036171683610037</v>
      </c>
      <c r="Q152" s="7">
        <f t="shared" si="55"/>
        <v>793373.06469326385</v>
      </c>
      <c r="R152" s="7">
        <f t="shared" si="56"/>
        <v>547140.43824354396</v>
      </c>
      <c r="S152" s="13">
        <f>IF('Calc (2)'!$AD$32="Sim",R152,Q152)</f>
        <v>547140.43824354396</v>
      </c>
      <c r="T152" s="9">
        <f t="shared" si="57"/>
        <v>148</v>
      </c>
      <c r="U152" s="17">
        <f t="shared" ca="1" si="58"/>
        <v>50010</v>
      </c>
      <c r="V152" s="22"/>
      <c r="W152" s="22"/>
      <c r="X152" s="22"/>
    </row>
    <row r="153" spans="2:24" x14ac:dyDescent="0.2">
      <c r="B153" s="17">
        <f t="shared" ca="1" si="47"/>
        <v>50010</v>
      </c>
      <c r="C153" s="9">
        <f t="shared" si="59"/>
        <v>149</v>
      </c>
      <c r="D153" s="9"/>
      <c r="E153" s="13">
        <f t="shared" si="48"/>
        <v>1832.7383327180701</v>
      </c>
      <c r="F153" s="14">
        <f t="shared" si="60"/>
        <v>240229.6533357169</v>
      </c>
      <c r="G153" s="15">
        <f t="shared" si="49"/>
        <v>0.43356425900079437</v>
      </c>
      <c r="H153" s="13">
        <f t="shared" si="50"/>
        <v>10324.203299822422</v>
      </c>
      <c r="I153" s="13">
        <f t="shared" si="51"/>
        <v>565300.35299008724</v>
      </c>
      <c r="J153" s="15">
        <f t="shared" si="44"/>
        <v>0.56643574099920557</v>
      </c>
      <c r="K153" s="13">
        <f t="shared" si="52"/>
        <v>313851.19707699376</v>
      </c>
      <c r="L153" s="13">
        <f t="shared" si="61"/>
        <v>14974720.805426097</v>
      </c>
      <c r="M153" s="15">
        <f t="shared" si="53"/>
        <v>0.56643574099920557</v>
      </c>
      <c r="N153" s="13">
        <f t="shared" si="45"/>
        <v>2960.1692395800219</v>
      </c>
      <c r="O153" s="13">
        <f t="shared" si="54"/>
        <v>251449.15591309359</v>
      </c>
      <c r="P153" s="15">
        <f t="shared" si="46"/>
        <v>0.31215368010933237</v>
      </c>
      <c r="Q153" s="7">
        <f t="shared" si="55"/>
        <v>805530.00632580428</v>
      </c>
      <c r="R153" s="7">
        <f t="shared" si="56"/>
        <v>554080.85041271069</v>
      </c>
      <c r="S153" s="13">
        <f>IF('Calc (2)'!$AD$32="Sim",R153,Q153)</f>
        <v>554080.85041271069</v>
      </c>
      <c r="T153" s="9">
        <f t="shared" si="57"/>
        <v>149</v>
      </c>
      <c r="U153" s="17">
        <f t="shared" ca="1" si="58"/>
        <v>50041</v>
      </c>
      <c r="V153" s="22"/>
      <c r="W153" s="22"/>
      <c r="X153" s="22"/>
    </row>
    <row r="154" spans="2:24" x14ac:dyDescent="0.2">
      <c r="B154" s="17">
        <f t="shared" ca="1" si="47"/>
        <v>50041</v>
      </c>
      <c r="C154" s="9">
        <f t="shared" si="59"/>
        <v>150</v>
      </c>
      <c r="D154" s="9"/>
      <c r="E154" s="13">
        <f t="shared" si="48"/>
        <v>1840.2051355486008</v>
      </c>
      <c r="F154" s="14">
        <f t="shared" si="60"/>
        <v>242069.8584712655</v>
      </c>
      <c r="G154" s="15">
        <f t="shared" si="49"/>
        <v>0.43142526753500915</v>
      </c>
      <c r="H154" s="13">
        <f t="shared" si="50"/>
        <v>10482.402188219205</v>
      </c>
      <c r="I154" s="13">
        <f t="shared" si="51"/>
        <v>575782.75517830648</v>
      </c>
      <c r="J154" s="15">
        <f t="shared" si="44"/>
        <v>0.5685747324649908</v>
      </c>
      <c r="K154" s="13">
        <f t="shared" si="52"/>
        <v>319023.51432619605</v>
      </c>
      <c r="L154" s="13">
        <f t="shared" si="61"/>
        <v>15293744.319752293</v>
      </c>
      <c r="M154" s="15">
        <f t="shared" si="53"/>
        <v>0.5685747324649908</v>
      </c>
      <c r="N154" s="13">
        <f t="shared" si="45"/>
        <v>3005.452472811296</v>
      </c>
      <c r="O154" s="13">
        <f t="shared" si="54"/>
        <v>256759.24085211055</v>
      </c>
      <c r="P154" s="15">
        <f t="shared" si="46"/>
        <v>0.31394316844737136</v>
      </c>
      <c r="Q154" s="7">
        <f t="shared" si="55"/>
        <v>817852.61364957213</v>
      </c>
      <c r="R154" s="7">
        <f t="shared" si="56"/>
        <v>561093.37279746158</v>
      </c>
      <c r="S154" s="13">
        <f>IF('Calc (2)'!$AD$32="Sim",R154,Q154)</f>
        <v>561093.37279746158</v>
      </c>
      <c r="T154" s="9">
        <f t="shared" si="57"/>
        <v>150</v>
      </c>
      <c r="U154" s="17">
        <f t="shared" ca="1" si="58"/>
        <v>50072</v>
      </c>
      <c r="V154" s="22"/>
      <c r="W154" s="22"/>
      <c r="X154" s="22"/>
    </row>
    <row r="155" spans="2:24" x14ac:dyDescent="0.2">
      <c r="B155" s="17">
        <f t="shared" ca="1" si="47"/>
        <v>50072</v>
      </c>
      <c r="C155" s="9">
        <f t="shared" si="59"/>
        <v>151</v>
      </c>
      <c r="D155" s="9"/>
      <c r="E155" s="13">
        <f t="shared" si="48"/>
        <v>1847.7023590581312</v>
      </c>
      <c r="F155" s="14">
        <f t="shared" si="60"/>
        <v>243917.56083032364</v>
      </c>
      <c r="G155" s="15">
        <f t="shared" si="49"/>
        <v>0.42929725774175742</v>
      </c>
      <c r="H155" s="13">
        <f t="shared" si="50"/>
        <v>10642.75689252675</v>
      </c>
      <c r="I155" s="13">
        <f t="shared" si="51"/>
        <v>586425.51207083324</v>
      </c>
      <c r="J155" s="15">
        <f t="shared" si="44"/>
        <v>0.57070274225824258</v>
      </c>
      <c r="K155" s="13">
        <f t="shared" si="52"/>
        <v>324261.1461882327</v>
      </c>
      <c r="L155" s="13">
        <f t="shared" si="61"/>
        <v>15618005.465940526</v>
      </c>
      <c r="M155" s="15">
        <f t="shared" si="53"/>
        <v>0.57070274225824269</v>
      </c>
      <c r="N155" s="13">
        <f t="shared" si="45"/>
        <v>3051.3525298847935</v>
      </c>
      <c r="O155" s="13">
        <f t="shared" si="54"/>
        <v>262164.36588260066</v>
      </c>
      <c r="P155" s="15">
        <f t="shared" si="46"/>
        <v>0.31573017760793481</v>
      </c>
      <c r="Q155" s="7">
        <f t="shared" si="55"/>
        <v>830343.07290115696</v>
      </c>
      <c r="R155" s="7">
        <f t="shared" si="56"/>
        <v>568178.70701855631</v>
      </c>
      <c r="S155" s="13">
        <f>IF('Calc (2)'!$AD$32="Sim",R155,Q155)</f>
        <v>568178.70701855631</v>
      </c>
      <c r="T155" s="9">
        <f t="shared" si="57"/>
        <v>151</v>
      </c>
      <c r="U155" s="17">
        <f t="shared" ca="1" si="58"/>
        <v>50100</v>
      </c>
      <c r="V155" s="22"/>
      <c r="W155" s="22"/>
      <c r="X155" s="22"/>
    </row>
    <row r="156" spans="2:24" x14ac:dyDescent="0.2">
      <c r="B156" s="17">
        <f t="shared" ca="1" si="47"/>
        <v>50100</v>
      </c>
      <c r="C156" s="9">
        <f t="shared" si="59"/>
        <v>152</v>
      </c>
      <c r="D156" s="9"/>
      <c r="E156" s="13">
        <f t="shared" si="48"/>
        <v>1855.230127184273</v>
      </c>
      <c r="F156" s="14">
        <f t="shared" si="60"/>
        <v>245772.79095750791</v>
      </c>
      <c r="G156" s="15">
        <f t="shared" si="49"/>
        <v>0.42718015903727424</v>
      </c>
      <c r="H156" s="13">
        <f t="shared" si="50"/>
        <v>10805.295862350948</v>
      </c>
      <c r="I156" s="13">
        <f t="shared" si="51"/>
        <v>597230.8079331842</v>
      </c>
      <c r="J156" s="15">
        <f t="shared" si="44"/>
        <v>0.57281984096272576</v>
      </c>
      <c r="K156" s="13">
        <f t="shared" si="52"/>
        <v>329564.7703922519</v>
      </c>
      <c r="L156" s="13">
        <f t="shared" si="61"/>
        <v>15947570.236332778</v>
      </c>
      <c r="M156" s="15">
        <f t="shared" si="53"/>
        <v>0.57281984096272576</v>
      </c>
      <c r="N156" s="13">
        <f t="shared" si="45"/>
        <v>3097.8775498056125</v>
      </c>
      <c r="O156" s="13">
        <f t="shared" si="54"/>
        <v>267666.03754093242</v>
      </c>
      <c r="P156" s="15">
        <f t="shared" si="46"/>
        <v>0.31751470325056019</v>
      </c>
      <c r="Q156" s="7">
        <f t="shared" si="55"/>
        <v>843003.59889069223</v>
      </c>
      <c r="R156" s="7">
        <f t="shared" si="56"/>
        <v>575337.56134975981</v>
      </c>
      <c r="S156" s="13">
        <f>IF('Calc (2)'!$AD$32="Sim",R156,Q156)</f>
        <v>575337.56134975981</v>
      </c>
      <c r="T156" s="9">
        <f t="shared" si="57"/>
        <v>152</v>
      </c>
      <c r="U156" s="17">
        <f t="shared" ca="1" si="58"/>
        <v>50131</v>
      </c>
      <c r="V156" s="22"/>
      <c r="W156" s="22"/>
      <c r="X156" s="22"/>
    </row>
    <row r="157" spans="2:24" x14ac:dyDescent="0.2">
      <c r="B157" s="17">
        <f t="shared" ca="1" si="47"/>
        <v>50131</v>
      </c>
      <c r="C157" s="9">
        <f t="shared" si="59"/>
        <v>153</v>
      </c>
      <c r="D157" s="9"/>
      <c r="E157" s="13">
        <f t="shared" si="48"/>
        <v>1862.7885643695754</v>
      </c>
      <c r="F157" s="14">
        <f t="shared" si="60"/>
        <v>247635.57952187749</v>
      </c>
      <c r="G157" s="15">
        <f t="shared" si="49"/>
        <v>0.42507390166362286</v>
      </c>
      <c r="H157" s="13">
        <f t="shared" si="50"/>
        <v>10970.047919126637</v>
      </c>
      <c r="I157" s="13">
        <f t="shared" si="51"/>
        <v>608200.85585231089</v>
      </c>
      <c r="J157" s="15">
        <f t="shared" si="44"/>
        <v>0.57492609833637709</v>
      </c>
      <c r="K157" s="13">
        <f t="shared" si="52"/>
        <v>334935.07125837426</v>
      </c>
      <c r="L157" s="13">
        <f t="shared" si="61"/>
        <v>16282505.307591151</v>
      </c>
      <c r="M157" s="15">
        <f t="shared" si="53"/>
        <v>0.5749260983363772</v>
      </c>
      <c r="N157" s="13">
        <f t="shared" si="45"/>
        <v>3145.0357779494339</v>
      </c>
      <c r="O157" s="13">
        <f t="shared" si="54"/>
        <v>273265.78459393675</v>
      </c>
      <c r="P157" s="15">
        <f t="shared" si="46"/>
        <v>0.31929674094146226</v>
      </c>
      <c r="Q157" s="7">
        <f t="shared" si="55"/>
        <v>855836.43537418847</v>
      </c>
      <c r="R157" s="7">
        <f t="shared" si="56"/>
        <v>582570.65078025172</v>
      </c>
      <c r="S157" s="13">
        <f>IF('Calc (2)'!$AD$32="Sim",R157,Q157)</f>
        <v>582570.65078025172</v>
      </c>
      <c r="T157" s="9">
        <f t="shared" si="57"/>
        <v>153</v>
      </c>
      <c r="U157" s="17">
        <f t="shared" ca="1" si="58"/>
        <v>50161</v>
      </c>
      <c r="V157" s="22"/>
      <c r="W157" s="22"/>
      <c r="X157" s="22"/>
    </row>
    <row r="158" spans="2:24" x14ac:dyDescent="0.2">
      <c r="B158" s="17">
        <f t="shared" ca="1" si="47"/>
        <v>50161</v>
      </c>
      <c r="C158" s="9">
        <f t="shared" si="59"/>
        <v>154</v>
      </c>
      <c r="D158" s="9"/>
      <c r="E158" s="13">
        <f t="shared" si="48"/>
        <v>1870.3777955635817</v>
      </c>
      <c r="F158" s="14">
        <f t="shared" si="60"/>
        <v>249505.95731744106</v>
      </c>
      <c r="G158" s="15">
        <f t="shared" si="49"/>
        <v>0.42297841667031738</v>
      </c>
      <c r="H158" s="13">
        <f t="shared" si="50"/>
        <v>11137.042260962804</v>
      </c>
      <c r="I158" s="13">
        <f t="shared" si="51"/>
        <v>619337.89811327367</v>
      </c>
      <c r="J158" s="15">
        <f t="shared" si="44"/>
        <v>0.57702158332968256</v>
      </c>
      <c r="K158" s="13">
        <f t="shared" si="52"/>
        <v>340372.73976017797</v>
      </c>
      <c r="L158" s="13">
        <f t="shared" si="61"/>
        <v>16622878.047351329</v>
      </c>
      <c r="M158" s="15">
        <f t="shared" si="53"/>
        <v>0.57702158332968267</v>
      </c>
      <c r="N158" s="13">
        <f t="shared" si="45"/>
        <v>3192.8355674485874</v>
      </c>
      <c r="O158" s="13">
        <f t="shared" si="54"/>
        <v>278965.15835309576</v>
      </c>
      <c r="P158" s="15">
        <f t="shared" si="46"/>
        <v>0.3210762861582343</v>
      </c>
      <c r="Q158" s="7">
        <f t="shared" si="55"/>
        <v>868843.85543071479</v>
      </c>
      <c r="R158" s="7">
        <f t="shared" si="56"/>
        <v>589878.69707761903</v>
      </c>
      <c r="S158" s="13">
        <f>IF('Calc (2)'!$AD$32="Sim",R158,Q158)</f>
        <v>589878.69707761903</v>
      </c>
      <c r="T158" s="9">
        <f t="shared" si="57"/>
        <v>154</v>
      </c>
      <c r="U158" s="17">
        <f t="shared" ca="1" si="58"/>
        <v>50192</v>
      </c>
      <c r="V158" s="22"/>
      <c r="W158" s="22"/>
      <c r="X158" s="22"/>
    </row>
    <row r="159" spans="2:24" x14ac:dyDescent="0.2">
      <c r="B159" s="17">
        <f t="shared" ca="1" si="47"/>
        <v>50192</v>
      </c>
      <c r="C159" s="9">
        <f t="shared" si="59"/>
        <v>155</v>
      </c>
      <c r="D159" s="9"/>
      <c r="E159" s="13">
        <f t="shared" si="48"/>
        <v>1877.997946224895</v>
      </c>
      <c r="F159" s="14">
        <f t="shared" si="60"/>
        <v>251383.95526366596</v>
      </c>
      <c r="G159" s="15">
        <f t="shared" si="49"/>
        <v>0.42089363589651735</v>
      </c>
      <c r="H159" s="13">
        <f t="shared" si="50"/>
        <v>11306.308467550854</v>
      </c>
      <c r="I159" s="13">
        <f t="shared" si="51"/>
        <v>630644.20658082457</v>
      </c>
      <c r="J159" s="15">
        <f t="shared" si="44"/>
        <v>0.5791063641034826</v>
      </c>
      <c r="K159" s="13">
        <f t="shared" si="52"/>
        <v>345878.47358777013</v>
      </c>
      <c r="L159" s="13">
        <f t="shared" si="61"/>
        <v>16968756.520939101</v>
      </c>
      <c r="M159" s="15">
        <f t="shared" si="53"/>
        <v>0.5791063641034826</v>
      </c>
      <c r="N159" s="13">
        <f t="shared" si="45"/>
        <v>3241.2853805961704</v>
      </c>
      <c r="O159" s="13">
        <f t="shared" si="54"/>
        <v>284765.73299305444</v>
      </c>
      <c r="P159" s="15">
        <f t="shared" si="46"/>
        <v>0.3228533342944</v>
      </c>
      <c r="Q159" s="7">
        <f t="shared" si="55"/>
        <v>882028.16184449056</v>
      </c>
      <c r="R159" s="7">
        <f t="shared" si="56"/>
        <v>597262.42885143613</v>
      </c>
      <c r="S159" s="13">
        <f>IF('Calc (2)'!$AD$32="Sim",R159,Q159)</f>
        <v>597262.42885143613</v>
      </c>
      <c r="T159" s="9">
        <f t="shared" si="57"/>
        <v>155</v>
      </c>
      <c r="U159" s="17">
        <f t="shared" ca="1" si="58"/>
        <v>50222</v>
      </c>
      <c r="V159" s="22"/>
      <c r="W159" s="22"/>
      <c r="X159" s="22"/>
    </row>
    <row r="160" spans="2:24" x14ac:dyDescent="0.2">
      <c r="B160" s="17">
        <f t="shared" ca="1" si="47"/>
        <v>50222</v>
      </c>
      <c r="C160" s="9">
        <f t="shared" si="59"/>
        <v>156</v>
      </c>
      <c r="D160" s="9">
        <v>13</v>
      </c>
      <c r="E160" s="13">
        <f t="shared" si="48"/>
        <v>1885.6491423232526</v>
      </c>
      <c r="F160" s="14">
        <f t="shared" si="60"/>
        <v>253269.60440598923</v>
      </c>
      <c r="G160" s="15">
        <f t="shared" si="49"/>
        <v>0.41881949195377199</v>
      </c>
      <c r="H160" s="13">
        <f t="shared" si="50"/>
        <v>11477.876505136805</v>
      </c>
      <c r="I160" s="13">
        <f t="shared" si="51"/>
        <v>642122.08308596141</v>
      </c>
      <c r="J160" s="15">
        <f t="shared" si="44"/>
        <v>0.58118050804622801</v>
      </c>
      <c r="K160" s="13">
        <f t="shared" si="52"/>
        <v>351452.97721144982</v>
      </c>
      <c r="L160" s="13">
        <f t="shared" si="61"/>
        <v>17320209.49815055</v>
      </c>
      <c r="M160" s="15">
        <f t="shared" si="53"/>
        <v>0.58118050804622801</v>
      </c>
      <c r="N160" s="13">
        <f t="shared" si="45"/>
        <v>3290.3937902684361</v>
      </c>
      <c r="O160" s="13">
        <f t="shared" si="54"/>
        <v>290669.10587451165</v>
      </c>
      <c r="P160" s="15">
        <f t="shared" si="46"/>
        <v>0.32462788066381804</v>
      </c>
      <c r="Q160" s="7">
        <f t="shared" si="55"/>
        <v>895391.6874919507</v>
      </c>
      <c r="R160" s="7">
        <f t="shared" si="56"/>
        <v>604722.58161743905</v>
      </c>
      <c r="S160" s="13">
        <f>IF('Calc (2)'!$AD$32="Sim",R160,Q160)</f>
        <v>604722.58161743905</v>
      </c>
      <c r="T160" s="9">
        <f t="shared" si="57"/>
        <v>156</v>
      </c>
      <c r="U160" s="17">
        <f t="shared" ca="1" si="58"/>
        <v>50253</v>
      </c>
      <c r="V160" s="22"/>
      <c r="W160" s="22"/>
      <c r="X160" s="22"/>
    </row>
    <row r="161" spans="2:24" x14ac:dyDescent="0.2">
      <c r="B161" s="17">
        <f t="shared" ca="1" si="47"/>
        <v>50253</v>
      </c>
      <c r="C161" s="9">
        <f t="shared" si="59"/>
        <v>157</v>
      </c>
      <c r="D161" s="9"/>
      <c r="E161" s="13">
        <f t="shared" si="48"/>
        <v>1893.3315103416078</v>
      </c>
      <c r="F161" s="14">
        <f t="shared" si="60"/>
        <v>255162.93591633084</v>
      </c>
      <c r="G161" s="15">
        <f t="shared" si="49"/>
        <v>0.41675591820929409</v>
      </c>
      <c r="H161" s="13">
        <f t="shared" si="50"/>
        <v>11651.776731558168</v>
      </c>
      <c r="I161" s="13">
        <f t="shared" si="51"/>
        <v>653773.85981751955</v>
      </c>
      <c r="J161" s="15">
        <f t="shared" si="44"/>
        <v>0.58324408179070586</v>
      </c>
      <c r="K161" s="13">
        <f t="shared" si="52"/>
        <v>357096.96194596769</v>
      </c>
      <c r="L161" s="13">
        <f t="shared" si="61"/>
        <v>17677306.460096516</v>
      </c>
      <c r="M161" s="15">
        <f t="shared" si="53"/>
        <v>0.58324408179070586</v>
      </c>
      <c r="N161" s="13">
        <f t="shared" si="45"/>
        <v>3340.1694813657041</v>
      </c>
      <c r="O161" s="13">
        <f t="shared" si="54"/>
        <v>296676.89787155192</v>
      </c>
      <c r="P161" s="15">
        <f t="shared" si="46"/>
        <v>0.32639992050494909</v>
      </c>
      <c r="Q161" s="7">
        <f t="shared" si="55"/>
        <v>908936.79573385045</v>
      </c>
      <c r="R161" s="7">
        <f t="shared" si="56"/>
        <v>612259.89786229853</v>
      </c>
      <c r="S161" s="13">
        <f>IF('Calc (2)'!$AD$32="Sim",R161,Q161)</f>
        <v>612259.89786229853</v>
      </c>
      <c r="T161" s="9">
        <f t="shared" si="57"/>
        <v>157</v>
      </c>
      <c r="U161" s="17">
        <f t="shared" ca="1" si="58"/>
        <v>50284</v>
      </c>
      <c r="V161" s="22"/>
      <c r="W161" s="22"/>
      <c r="X161" s="22"/>
    </row>
    <row r="162" spans="2:24" x14ac:dyDescent="0.2">
      <c r="B162" s="17">
        <f t="shared" ca="1" si="47"/>
        <v>50284</v>
      </c>
      <c r="C162" s="9">
        <f t="shared" si="59"/>
        <v>158</v>
      </c>
      <c r="D162" s="9"/>
      <c r="E162" s="13">
        <f t="shared" si="48"/>
        <v>1901.0451772782214</v>
      </c>
      <c r="F162" s="14">
        <f t="shared" si="60"/>
        <v>257063.98109360907</v>
      </c>
      <c r="G162" s="15">
        <f t="shared" si="49"/>
        <v>0.41470284876974439</v>
      </c>
      <c r="H162" s="13">
        <f t="shared" si="50"/>
        <v>11828.039901346443</v>
      </c>
      <c r="I162" s="13">
        <f t="shared" si="51"/>
        <v>665601.89971886599</v>
      </c>
      <c r="J162" s="15">
        <f t="shared" si="44"/>
        <v>0.58529715123025561</v>
      </c>
      <c r="K162" s="13">
        <f t="shared" si="52"/>
        <v>362811.14601538941</v>
      </c>
      <c r="L162" s="13">
        <f t="shared" si="61"/>
        <v>18040117.606111906</v>
      </c>
      <c r="M162" s="15">
        <f t="shared" si="53"/>
        <v>0.58529715123025561</v>
      </c>
      <c r="N162" s="13">
        <f t="shared" si="45"/>
        <v>3390.6212522720311</v>
      </c>
      <c r="O162" s="13">
        <f t="shared" si="54"/>
        <v>302790.75370347663</v>
      </c>
      <c r="P162" s="15">
        <f t="shared" si="46"/>
        <v>0.3281694489849859</v>
      </c>
      <c r="Q162" s="7">
        <f t="shared" si="55"/>
        <v>922665.88081247511</v>
      </c>
      <c r="R162" s="7">
        <f t="shared" si="56"/>
        <v>619875.12710899848</v>
      </c>
      <c r="S162" s="13">
        <f>IF('Calc (2)'!$AD$32="Sim",R162,Q162)</f>
        <v>619875.12710899848</v>
      </c>
      <c r="T162" s="9">
        <f t="shared" si="57"/>
        <v>158</v>
      </c>
      <c r="U162" s="17">
        <f t="shared" ca="1" si="58"/>
        <v>50314</v>
      </c>
      <c r="V162" s="22"/>
      <c r="W162" s="22"/>
      <c r="X162" s="22"/>
    </row>
    <row r="163" spans="2:24" x14ac:dyDescent="0.2">
      <c r="B163" s="17">
        <f t="shared" ca="1" si="47"/>
        <v>50314</v>
      </c>
      <c r="C163" s="9">
        <f t="shared" si="59"/>
        <v>159</v>
      </c>
      <c r="D163" s="9"/>
      <c r="E163" s="13">
        <f t="shared" si="48"/>
        <v>1908.7902706487607</v>
      </c>
      <c r="F163" s="14">
        <f t="shared" si="60"/>
        <v>258972.77136425782</v>
      </c>
      <c r="G163" s="15">
        <f t="shared" si="49"/>
        <v>0.41266021846550732</v>
      </c>
      <c r="H163" s="13">
        <f t="shared" si="50"/>
        <v>12006.697170896021</v>
      </c>
      <c r="I163" s="13">
        <f t="shared" si="51"/>
        <v>677608.59688976198</v>
      </c>
      <c r="J163" s="15">
        <f t="shared" si="44"/>
        <v>0.58733978153449273</v>
      </c>
      <c r="K163" s="13">
        <f t="shared" si="52"/>
        <v>368596.25461856625</v>
      </c>
      <c r="L163" s="13">
        <f t="shared" si="61"/>
        <v>18408713.860730473</v>
      </c>
      <c r="M163" s="15">
        <f t="shared" si="53"/>
        <v>0.58733978153449273</v>
      </c>
      <c r="N163" s="13">
        <f t="shared" si="45"/>
        <v>3441.7580163338807</v>
      </c>
      <c r="O163" s="13">
        <f t="shared" si="54"/>
        <v>309012.34227119584</v>
      </c>
      <c r="P163" s="15">
        <f t="shared" si="46"/>
        <v>0.329936461203855</v>
      </c>
      <c r="Q163" s="7">
        <f t="shared" si="55"/>
        <v>936581.36825401988</v>
      </c>
      <c r="R163" s="7">
        <f t="shared" si="56"/>
        <v>627569.02598282404</v>
      </c>
      <c r="S163" s="13">
        <f>IF('Calc (2)'!$AD$32="Sim",R163,Q163)</f>
        <v>627569.02598282404</v>
      </c>
      <c r="T163" s="9">
        <f t="shared" si="57"/>
        <v>159</v>
      </c>
      <c r="U163" s="17">
        <f t="shared" ca="1" si="58"/>
        <v>50345</v>
      </c>
      <c r="V163" s="22"/>
      <c r="W163" s="22"/>
      <c r="X163" s="22"/>
    </row>
    <row r="164" spans="2:24" x14ac:dyDescent="0.2">
      <c r="B164" s="17">
        <f t="shared" ca="1" si="47"/>
        <v>50345</v>
      </c>
      <c r="C164" s="9">
        <f t="shared" si="59"/>
        <v>160</v>
      </c>
      <c r="D164" s="9"/>
      <c r="E164" s="13">
        <f t="shared" si="48"/>
        <v>1916.5669184884075</v>
      </c>
      <c r="F164" s="14">
        <f t="shared" si="60"/>
        <v>260889.33828274623</v>
      </c>
      <c r="G164" s="15">
        <f t="shared" si="49"/>
        <v>0.41062796283544123</v>
      </c>
      <c r="H164" s="13">
        <f t="shared" si="50"/>
        <v>12187.780103700374</v>
      </c>
      <c r="I164" s="13">
        <f t="shared" si="51"/>
        <v>689796.37699346233</v>
      </c>
      <c r="J164" s="15">
        <f t="shared" si="44"/>
        <v>0.58937203716455877</v>
      </c>
      <c r="K164" s="13">
        <f t="shared" si="52"/>
        <v>374453.01999521977</v>
      </c>
      <c r="L164" s="13">
        <f t="shared" si="61"/>
        <v>18783166.880725693</v>
      </c>
      <c r="M164" s="15">
        <f t="shared" si="53"/>
        <v>0.58937203716455866</v>
      </c>
      <c r="N164" s="13">
        <f t="shared" si="45"/>
        <v>3493.5888033580432</v>
      </c>
      <c r="O164" s="13">
        <f t="shared" si="54"/>
        <v>315343.35699824255</v>
      </c>
      <c r="P164" s="15">
        <f t="shared" si="46"/>
        <v>0.33170095219809198</v>
      </c>
      <c r="Q164" s="7">
        <f t="shared" si="55"/>
        <v>950685.71527620859</v>
      </c>
      <c r="R164" s="7">
        <f t="shared" si="56"/>
        <v>635342.35827796604</v>
      </c>
      <c r="S164" s="13">
        <f>IF('Calc (2)'!$AD$32="Sim",R164,Q164)</f>
        <v>635342.35827796604</v>
      </c>
      <c r="T164" s="9">
        <f t="shared" si="57"/>
        <v>160</v>
      </c>
      <c r="U164" s="17">
        <f t="shared" ca="1" si="58"/>
        <v>50375</v>
      </c>
      <c r="V164" s="22"/>
      <c r="W164" s="22"/>
      <c r="X164" s="22"/>
    </row>
    <row r="165" spans="2:24" x14ac:dyDescent="0.2">
      <c r="B165" s="17">
        <f t="shared" ca="1" si="47"/>
        <v>50375</v>
      </c>
      <c r="C165" s="9">
        <f t="shared" si="59"/>
        <v>161</v>
      </c>
      <c r="D165" s="9"/>
      <c r="E165" s="13">
        <f t="shared" si="48"/>
        <v>1924.3752493539748</v>
      </c>
      <c r="F165" s="14">
        <f t="shared" si="60"/>
        <v>262813.7135321002</v>
      </c>
      <c r="G165" s="15">
        <f t="shared" si="49"/>
        <v>0.40860601811208402</v>
      </c>
      <c r="H165" s="13">
        <f t="shared" si="50"/>
        <v>12371.320675656418</v>
      </c>
      <c r="I165" s="13">
        <f t="shared" si="51"/>
        <v>702167.69766911876</v>
      </c>
      <c r="J165" s="15">
        <f t="shared" si="44"/>
        <v>0.59139398188791592</v>
      </c>
      <c r="K165" s="13">
        <f t="shared" si="52"/>
        <v>380382.18149264762</v>
      </c>
      <c r="L165" s="13">
        <f t="shared" si="61"/>
        <v>19163549.062218342</v>
      </c>
      <c r="M165" s="15">
        <f t="shared" si="53"/>
        <v>0.59139398188791603</v>
      </c>
      <c r="N165" s="13">
        <f t="shared" si="45"/>
        <v>3546.1227611290583</v>
      </c>
      <c r="O165" s="13">
        <f t="shared" si="54"/>
        <v>321785.51617647114</v>
      </c>
      <c r="P165" s="15">
        <f t="shared" si="46"/>
        <v>0.33346291694459601</v>
      </c>
      <c r="Q165" s="7">
        <f t="shared" si="55"/>
        <v>964981.41120121896</v>
      </c>
      <c r="R165" s="7">
        <f t="shared" si="56"/>
        <v>643195.89502474782</v>
      </c>
      <c r="S165" s="13">
        <f>IF('Calc (2)'!$AD$32="Sim",R165,Q165)</f>
        <v>643195.89502474782</v>
      </c>
      <c r="T165" s="9">
        <f t="shared" si="57"/>
        <v>161</v>
      </c>
      <c r="U165" s="17">
        <f t="shared" ca="1" si="58"/>
        <v>50406</v>
      </c>
      <c r="V165" s="22"/>
      <c r="W165" s="22"/>
      <c r="X165" s="22"/>
    </row>
    <row r="166" spans="2:24" x14ac:dyDescent="0.2">
      <c r="B166" s="17">
        <f t="shared" ca="1" si="47"/>
        <v>50406</v>
      </c>
      <c r="C166" s="9">
        <f t="shared" si="59"/>
        <v>162</v>
      </c>
      <c r="D166" s="9"/>
      <c r="E166" s="13">
        <f t="shared" si="48"/>
        <v>1932.2153923260321</v>
      </c>
      <c r="F166" s="14">
        <f t="shared" si="60"/>
        <v>264745.9289244262</v>
      </c>
      <c r="G166" s="15">
        <f t="shared" si="49"/>
        <v>0.40659432120730049</v>
      </c>
      <c r="H166" s="13">
        <f t="shared" si="50"/>
        <v>12557.351280437932</v>
      </c>
      <c r="I166" s="13">
        <f t="shared" si="51"/>
        <v>714725.04894955666</v>
      </c>
      <c r="J166" s="15">
        <f t="shared" si="44"/>
        <v>0.59340567879269956</v>
      </c>
      <c r="K166" s="13">
        <f t="shared" si="52"/>
        <v>386384.48563305242</v>
      </c>
      <c r="L166" s="13">
        <f t="shared" si="61"/>
        <v>19549933.547851395</v>
      </c>
      <c r="M166" s="15">
        <f t="shared" si="53"/>
        <v>0.59340567879269945</v>
      </c>
      <c r="N166" s="13">
        <f t="shared" si="45"/>
        <v>3599.3691569463876</v>
      </c>
      <c r="O166" s="13">
        <f t="shared" si="54"/>
        <v>328340.56331650424</v>
      </c>
      <c r="P166" s="15">
        <f t="shared" si="46"/>
        <v>0.33522235036426778</v>
      </c>
      <c r="Q166" s="7">
        <f t="shared" si="55"/>
        <v>979470.97787398286</v>
      </c>
      <c r="R166" s="7">
        <f t="shared" si="56"/>
        <v>651130.41455747862</v>
      </c>
      <c r="S166" s="13">
        <f>IF('Calc (2)'!$AD$32="Sim",R166,Q166)</f>
        <v>651130.41455747862</v>
      </c>
      <c r="T166" s="9">
        <f t="shared" si="57"/>
        <v>162</v>
      </c>
      <c r="U166" s="17">
        <f t="shared" ca="1" si="58"/>
        <v>50437</v>
      </c>
      <c r="V166" s="22"/>
      <c r="W166" s="22"/>
      <c r="X166" s="22"/>
    </row>
    <row r="167" spans="2:24" x14ac:dyDescent="0.2">
      <c r="B167" s="17">
        <f t="shared" ca="1" si="47"/>
        <v>50437</v>
      </c>
      <c r="C167" s="9">
        <f t="shared" si="59"/>
        <v>163</v>
      </c>
      <c r="D167" s="9"/>
      <c r="E167" s="13">
        <f t="shared" si="48"/>
        <v>1940.087477011039</v>
      </c>
      <c r="F167" s="14">
        <f t="shared" si="60"/>
        <v>266686.01640143723</v>
      </c>
      <c r="G167" s="15">
        <f t="shared" si="49"/>
        <v>0.40459280969835354</v>
      </c>
      <c r="H167" s="13">
        <f t="shared" si="50"/>
        <v>12745.904734938913</v>
      </c>
      <c r="I167" s="13">
        <f t="shared" si="51"/>
        <v>727470.95368449553</v>
      </c>
      <c r="J167" s="15">
        <f t="shared" si="44"/>
        <v>0.59540719030164646</v>
      </c>
      <c r="K167" s="13">
        <f t="shared" si="52"/>
        <v>392460.68618150416</v>
      </c>
      <c r="L167" s="13">
        <f t="shared" si="61"/>
        <v>19942394.234032899</v>
      </c>
      <c r="M167" s="15">
        <f t="shared" si="53"/>
        <v>0.59540719030164646</v>
      </c>
      <c r="N167" s="13">
        <f t="shared" si="45"/>
        <v>3653.3373791816034</v>
      </c>
      <c r="O167" s="13">
        <f t="shared" si="54"/>
        <v>335010.26750299137</v>
      </c>
      <c r="P167" s="15">
        <f t="shared" si="46"/>
        <v>0.3369792473255343</v>
      </c>
      <c r="Q167" s="7">
        <f t="shared" si="55"/>
        <v>994156.97008593276</v>
      </c>
      <c r="R167" s="7">
        <f t="shared" si="56"/>
        <v>659146.70258294139</v>
      </c>
      <c r="S167" s="13">
        <f>IF('Calc (2)'!$AD$32="Sim",R167,Q167)</f>
        <v>659146.70258294139</v>
      </c>
      <c r="T167" s="9">
        <f t="shared" si="57"/>
        <v>163</v>
      </c>
      <c r="U167" s="17">
        <f t="shared" ca="1" si="58"/>
        <v>50465</v>
      </c>
      <c r="V167" s="22"/>
      <c r="W167" s="22"/>
      <c r="X167" s="22"/>
    </row>
    <row r="168" spans="2:24" x14ac:dyDescent="0.2">
      <c r="B168" s="17">
        <f t="shared" ca="1" si="47"/>
        <v>50465</v>
      </c>
      <c r="C168" s="9">
        <f t="shared" si="59"/>
        <v>164</v>
      </c>
      <c r="D168" s="9"/>
      <c r="E168" s="13">
        <f t="shared" si="48"/>
        <v>1947.991633543488</v>
      </c>
      <c r="F168" s="14">
        <f t="shared" si="60"/>
        <v>268634.00803498074</v>
      </c>
      <c r="G168" s="15">
        <f t="shared" si="49"/>
        <v>0.40260142181438452</v>
      </c>
      <c r="H168" s="13">
        <f t="shared" si="50"/>
        <v>12937.014284787823</v>
      </c>
      <c r="I168" s="13">
        <f t="shared" si="51"/>
        <v>740407.96796928335</v>
      </c>
      <c r="J168" s="15">
        <f t="shared" si="44"/>
        <v>0.59739857818561548</v>
      </c>
      <c r="K168" s="13">
        <f t="shared" si="52"/>
        <v>398611.54421453876</v>
      </c>
      <c r="L168" s="13">
        <f t="shared" si="61"/>
        <v>20341005.778247438</v>
      </c>
      <c r="M168" s="15">
        <f t="shared" si="53"/>
        <v>0.59739857818561548</v>
      </c>
      <c r="N168" s="13">
        <f t="shared" si="45"/>
        <v>3708.0369388558456</v>
      </c>
      <c r="O168" s="13">
        <f t="shared" si="54"/>
        <v>341796.42375474458</v>
      </c>
      <c r="P168" s="15">
        <f t="shared" si="46"/>
        <v>0.33873360264776559</v>
      </c>
      <c r="Q168" s="7">
        <f t="shared" si="55"/>
        <v>1009041.9760042641</v>
      </c>
      <c r="R168" s="7">
        <f t="shared" si="56"/>
        <v>667245.5522495195</v>
      </c>
      <c r="S168" s="13">
        <f>IF('Calc (2)'!$AD$32="Sim",R168,Q168)</f>
        <v>667245.5522495195</v>
      </c>
      <c r="T168" s="9">
        <f t="shared" si="57"/>
        <v>164</v>
      </c>
      <c r="U168" s="17">
        <f t="shared" ca="1" si="58"/>
        <v>50496</v>
      </c>
      <c r="V168" s="22"/>
      <c r="W168" s="22"/>
      <c r="X168" s="22"/>
    </row>
    <row r="169" spans="2:24" x14ac:dyDescent="0.2">
      <c r="B169" s="17">
        <f t="shared" ca="1" si="47"/>
        <v>50496</v>
      </c>
      <c r="C169" s="9">
        <f t="shared" si="59"/>
        <v>165</v>
      </c>
      <c r="D169" s="9"/>
      <c r="E169" s="13">
        <f t="shared" si="48"/>
        <v>1955.9279925880555</v>
      </c>
      <c r="F169" s="14">
        <f t="shared" si="60"/>
        <v>270589.93602756882</v>
      </c>
      <c r="G169" s="15">
        <f t="shared" si="49"/>
        <v>0.4006200964232895</v>
      </c>
      <c r="H169" s="13">
        <f t="shared" si="50"/>
        <v>13130.713609933588</v>
      </c>
      <c r="I169" s="13">
        <f t="shared" si="51"/>
        <v>753538.68157921697</v>
      </c>
      <c r="J169" s="15">
        <f t="shared" si="44"/>
        <v>0.59937990357671045</v>
      </c>
      <c r="K169" s="13">
        <f t="shared" si="52"/>
        <v>404837.82818939985</v>
      </c>
      <c r="L169" s="13">
        <f t="shared" si="61"/>
        <v>20745843.606436837</v>
      </c>
      <c r="M169" s="15">
        <f t="shared" si="53"/>
        <v>0.59937990357671056</v>
      </c>
      <c r="N169" s="13">
        <f t="shared" si="45"/>
        <v>3763.4774712378139</v>
      </c>
      <c r="O169" s="13">
        <f t="shared" si="54"/>
        <v>348700.85338981706</v>
      </c>
      <c r="P169" s="15">
        <f t="shared" si="46"/>
        <v>0.3404854111045853</v>
      </c>
      <c r="Q169" s="7">
        <f t="shared" si="55"/>
        <v>1024128.6176067857</v>
      </c>
      <c r="R169" s="7">
        <f t="shared" si="56"/>
        <v>675427.76421696867</v>
      </c>
      <c r="S169" s="13">
        <f>IF('Calc (2)'!$AD$32="Sim",R169,Q169)</f>
        <v>675427.76421696867</v>
      </c>
      <c r="T169" s="9">
        <f t="shared" si="57"/>
        <v>165</v>
      </c>
      <c r="U169" s="17">
        <f t="shared" ca="1" si="58"/>
        <v>50526</v>
      </c>
      <c r="V169" s="22"/>
      <c r="W169" s="22"/>
      <c r="X169" s="22"/>
    </row>
    <row r="170" spans="2:24" x14ac:dyDescent="0.2">
      <c r="B170" s="17">
        <f t="shared" ca="1" si="47"/>
        <v>50526</v>
      </c>
      <c r="C170" s="9">
        <f t="shared" si="59"/>
        <v>166</v>
      </c>
      <c r="D170" s="9"/>
      <c r="E170" s="13">
        <f t="shared" si="48"/>
        <v>1963.8966853417621</v>
      </c>
      <c r="F170" s="14">
        <f t="shared" si="60"/>
        <v>272553.8327129106</v>
      </c>
      <c r="G170" s="15">
        <f t="shared" si="49"/>
        <v>0.39864877301897567</v>
      </c>
      <c r="H170" s="13">
        <f t="shared" si="50"/>
        <v>13327.036830304338</v>
      </c>
      <c r="I170" s="13">
        <f t="shared" si="51"/>
        <v>766865.71840952127</v>
      </c>
      <c r="J170" s="15">
        <f t="shared" si="44"/>
        <v>0.60135122698102439</v>
      </c>
      <c r="K170" s="13">
        <f t="shared" si="52"/>
        <v>411140.31401393015</v>
      </c>
      <c r="L170" s="13">
        <f t="shared" si="61"/>
        <v>21156983.920450769</v>
      </c>
      <c r="M170" s="15">
        <f t="shared" si="53"/>
        <v>0.60135122698102428</v>
      </c>
      <c r="N170" s="13">
        <f t="shared" si="45"/>
        <v>3819.6687374625649</v>
      </c>
      <c r="O170" s="13">
        <f t="shared" si="54"/>
        <v>355725.404395591</v>
      </c>
      <c r="P170" s="15">
        <f t="shared" si="46"/>
        <v>0.34223466742708075</v>
      </c>
      <c r="Q170" s="7">
        <f t="shared" si="55"/>
        <v>1039419.5511224318</v>
      </c>
      <c r="R170" s="7">
        <f t="shared" si="56"/>
        <v>683694.14672684076</v>
      </c>
      <c r="S170" s="13">
        <f>IF('Calc (2)'!$AD$32="Sim",R170,Q170)</f>
        <v>683694.14672684076</v>
      </c>
      <c r="T170" s="9">
        <f t="shared" si="57"/>
        <v>166</v>
      </c>
      <c r="U170" s="17">
        <f t="shared" ca="1" si="58"/>
        <v>50557</v>
      </c>
      <c r="V170" s="22"/>
      <c r="W170" s="22"/>
      <c r="X170" s="22"/>
    </row>
    <row r="171" spans="2:24" x14ac:dyDescent="0.2">
      <c r="B171" s="17">
        <f t="shared" ca="1" si="47"/>
        <v>50557</v>
      </c>
      <c r="C171" s="9">
        <f t="shared" si="59"/>
        <v>167</v>
      </c>
      <c r="D171" s="9"/>
      <c r="E171" s="13">
        <f t="shared" si="48"/>
        <v>1971.8978435361412</v>
      </c>
      <c r="F171" s="14">
        <f t="shared" si="60"/>
        <v>274525.73055644677</v>
      </c>
      <c r="G171" s="15">
        <f t="shared" si="49"/>
        <v>0.39668739170898637</v>
      </c>
      <c r="H171" s="13">
        <f t="shared" si="50"/>
        <v>13526.0185115398</v>
      </c>
      <c r="I171" s="13">
        <f t="shared" si="51"/>
        <v>780391.73692106106</v>
      </c>
      <c r="J171" s="15">
        <f t="shared" si="44"/>
        <v>0.60331260829101363</v>
      </c>
      <c r="K171" s="13">
        <f t="shared" si="52"/>
        <v>417519.78511711775</v>
      </c>
      <c r="L171" s="13">
        <f t="shared" si="61"/>
        <v>21574503.705567889</v>
      </c>
      <c r="M171" s="15">
        <f t="shared" si="53"/>
        <v>0.60331260829101363</v>
      </c>
      <c r="N171" s="13">
        <f t="shared" si="45"/>
        <v>3876.6206261713814</v>
      </c>
      <c r="O171" s="13">
        <f t="shared" si="54"/>
        <v>362871.95180394314</v>
      </c>
      <c r="P171" s="15">
        <f t="shared" si="46"/>
        <v>0.3439813663069145</v>
      </c>
      <c r="Q171" s="7">
        <f t="shared" si="55"/>
        <v>1054917.4674775077</v>
      </c>
      <c r="R171" s="7">
        <f t="shared" si="56"/>
        <v>692045.51567356451</v>
      </c>
      <c r="S171" s="13">
        <f>IF('Calc (2)'!$AD$32="Sim",R171,Q171)</f>
        <v>692045.51567356451</v>
      </c>
      <c r="T171" s="9">
        <f t="shared" si="57"/>
        <v>167</v>
      </c>
      <c r="U171" s="17">
        <f t="shared" ca="1" si="58"/>
        <v>50587</v>
      </c>
      <c r="V171" s="22"/>
      <c r="W171" s="22"/>
      <c r="X171" s="22"/>
    </row>
    <row r="172" spans="2:24" x14ac:dyDescent="0.2">
      <c r="B172" s="17">
        <f t="shared" ca="1" si="47"/>
        <v>50587</v>
      </c>
      <c r="C172" s="9">
        <f t="shared" si="59"/>
        <v>168</v>
      </c>
      <c r="D172" s="9">
        <v>14</v>
      </c>
      <c r="E172" s="13">
        <f t="shared" si="48"/>
        <v>1979.9315994394167</v>
      </c>
      <c r="F172" s="14">
        <f t="shared" si="60"/>
        <v>276505.66215588618</v>
      </c>
      <c r="G172" s="15">
        <f t="shared" si="49"/>
        <v>0.39473589320248026</v>
      </c>
      <c r="H172" s="13">
        <f t="shared" si="50"/>
        <v>13727.693670798337</v>
      </c>
      <c r="I172" s="13">
        <f t="shared" si="51"/>
        <v>794119.43059185939</v>
      </c>
      <c r="J172" s="15">
        <f t="shared" si="44"/>
        <v>0.60526410679751974</v>
      </c>
      <c r="K172" s="13">
        <f t="shared" si="52"/>
        <v>423977.03252030397</v>
      </c>
      <c r="L172" s="13">
        <f t="shared" si="61"/>
        <v>21998480.738088194</v>
      </c>
      <c r="M172" s="15">
        <f t="shared" si="53"/>
        <v>0.60526410679751974</v>
      </c>
      <c r="N172" s="13">
        <f t="shared" si="45"/>
        <v>3934.3431551729905</v>
      </c>
      <c r="O172" s="13">
        <f t="shared" si="54"/>
        <v>370142.39807155519</v>
      </c>
      <c r="P172" s="15">
        <f t="shared" si="46"/>
        <v>0.34572550239934091</v>
      </c>
      <c r="Q172" s="7">
        <f t="shared" si="55"/>
        <v>1070625.0927477453</v>
      </c>
      <c r="R172" s="7">
        <f t="shared" si="56"/>
        <v>700482.69467619015</v>
      </c>
      <c r="S172" s="13">
        <f>IF('Calc (2)'!$AD$32="Sim",R172,Q172)</f>
        <v>700482.69467619015</v>
      </c>
      <c r="T172" s="9">
        <f t="shared" si="57"/>
        <v>168</v>
      </c>
      <c r="U172" s="17">
        <f t="shared" ca="1" si="58"/>
        <v>50618</v>
      </c>
      <c r="V172" s="22"/>
      <c r="W172" s="22"/>
      <c r="X172" s="22"/>
    </row>
    <row r="173" spans="2:24" x14ac:dyDescent="0.2">
      <c r="B173" s="17">
        <f t="shared" ca="1" si="47"/>
        <v>50618</v>
      </c>
      <c r="C173" s="9">
        <f t="shared" si="59"/>
        <v>169</v>
      </c>
      <c r="D173" s="9"/>
      <c r="E173" s="13">
        <f t="shared" si="48"/>
        <v>1987.9980858586898</v>
      </c>
      <c r="F173" s="14">
        <f t="shared" si="60"/>
        <v>278493.66024174489</v>
      </c>
      <c r="G173" s="15">
        <f t="shared" si="49"/>
        <v>0.39279421879855403</v>
      </c>
      <c r="H173" s="13">
        <f t="shared" si="50"/>
        <v>13932.097782639541</v>
      </c>
      <c r="I173" s="13">
        <f t="shared" si="51"/>
        <v>808051.52837449894</v>
      </c>
      <c r="J173" s="15">
        <f t="shared" si="44"/>
        <v>0.60720578120144597</v>
      </c>
      <c r="K173" s="13">
        <f t="shared" si="52"/>
        <v>430512.85490905825</v>
      </c>
      <c r="L173" s="13">
        <f t="shared" si="61"/>
        <v>22428993.592997253</v>
      </c>
      <c r="M173" s="15">
        <f t="shared" si="53"/>
        <v>0.60720578120144597</v>
      </c>
      <c r="N173" s="13">
        <f t="shared" si="45"/>
        <v>3992.8464731264039</v>
      </c>
      <c r="O173" s="13">
        <f t="shared" si="54"/>
        <v>377538.67346544052</v>
      </c>
      <c r="P173" s="15">
        <f t="shared" si="46"/>
        <v>0.34746707032613183</v>
      </c>
      <c r="Q173" s="7">
        <f t="shared" si="55"/>
        <v>1086545.1886162437</v>
      </c>
      <c r="R173" s="7">
        <f t="shared" si="56"/>
        <v>709006.51515080314</v>
      </c>
      <c r="S173" s="13">
        <f>IF('Calc (2)'!$AD$32="Sim",R173,Q173)</f>
        <v>709006.51515080314</v>
      </c>
      <c r="T173" s="9">
        <f t="shared" si="57"/>
        <v>169</v>
      </c>
      <c r="U173" s="17">
        <f t="shared" ca="1" si="58"/>
        <v>50649</v>
      </c>
      <c r="V173" s="22"/>
      <c r="W173" s="22"/>
      <c r="X173" s="22"/>
    </row>
    <row r="174" spans="2:24" x14ac:dyDescent="0.2">
      <c r="B174" s="17">
        <f t="shared" ca="1" si="47"/>
        <v>50649</v>
      </c>
      <c r="C174" s="9">
        <f t="shared" si="59"/>
        <v>170</v>
      </c>
      <c r="D174" s="9"/>
      <c r="E174" s="13">
        <f t="shared" si="48"/>
        <v>1996.097436142134</v>
      </c>
      <c r="F174" s="14">
        <f t="shared" si="60"/>
        <v>280489.75767788704</v>
      </c>
      <c r="G174" s="15">
        <f t="shared" si="49"/>
        <v>0.39086231037489527</v>
      </c>
      <c r="H174" s="13">
        <f t="shared" si="50"/>
        <v>14139.26678498346</v>
      </c>
      <c r="I174" s="13">
        <f t="shared" si="51"/>
        <v>822190.7951594824</v>
      </c>
      <c r="J174" s="15">
        <f t="shared" si="44"/>
        <v>0.60913768962510473</v>
      </c>
      <c r="K174" s="13">
        <f t="shared" si="52"/>
        <v>437128.05870572774</v>
      </c>
      <c r="L174" s="13">
        <f t="shared" si="61"/>
        <v>22866121.651702981</v>
      </c>
      <c r="M174" s="15">
        <f t="shared" si="53"/>
        <v>0.60913768962510473</v>
      </c>
      <c r="N174" s="13">
        <f t="shared" si="45"/>
        <v>4052.1408612456689</v>
      </c>
      <c r="O174" s="13">
        <f t="shared" si="54"/>
        <v>385062.73645375448</v>
      </c>
      <c r="P174" s="15">
        <f t="shared" si="46"/>
        <v>0.34920606467841292</v>
      </c>
      <c r="Q174" s="7">
        <f t="shared" si="55"/>
        <v>1102680.5528373693</v>
      </c>
      <c r="R174" s="7">
        <f t="shared" si="56"/>
        <v>717617.81638361479</v>
      </c>
      <c r="S174" s="13">
        <f>IF('Calc (2)'!$AD$32="Sim",R174,Q174)</f>
        <v>717617.81638361479</v>
      </c>
      <c r="T174" s="9">
        <f t="shared" si="57"/>
        <v>170</v>
      </c>
      <c r="U174" s="17">
        <f t="shared" ca="1" si="58"/>
        <v>50679</v>
      </c>
      <c r="V174" s="22"/>
      <c r="W174" s="22"/>
      <c r="X174" s="22"/>
    </row>
    <row r="175" spans="2:24" x14ac:dyDescent="0.2">
      <c r="B175" s="17">
        <f t="shared" ca="1" si="47"/>
        <v>50679</v>
      </c>
      <c r="C175" s="9">
        <f t="shared" si="59"/>
        <v>171</v>
      </c>
      <c r="D175" s="9"/>
      <c r="E175" s="13">
        <f t="shared" si="48"/>
        <v>2004.2297841812001</v>
      </c>
      <c r="F175" s="14">
        <f t="shared" si="60"/>
        <v>282493.98746206827</v>
      </c>
      <c r="G175" s="15">
        <f t="shared" si="49"/>
        <v>0.38894011037675519</v>
      </c>
      <c r="H175" s="13">
        <f t="shared" si="50"/>
        <v>14349.237085147339</v>
      </c>
      <c r="I175" s="13">
        <f t="shared" si="51"/>
        <v>836540.03224462969</v>
      </c>
      <c r="J175" s="15">
        <f t="shared" si="44"/>
        <v>0.61105988962324487</v>
      </c>
      <c r="K175" s="13">
        <f t="shared" si="52"/>
        <v>443823.45814266609</v>
      </c>
      <c r="L175" s="13">
        <f t="shared" si="61"/>
        <v>23309945.109845646</v>
      </c>
      <c r="M175" s="15">
        <f t="shared" si="53"/>
        <v>0.61105988962324476</v>
      </c>
      <c r="N175" s="13">
        <f t="shared" si="45"/>
        <v>4112.2367350268096</v>
      </c>
      <c r="O175" s="13">
        <f t="shared" si="54"/>
        <v>392716.57410196331</v>
      </c>
      <c r="P175" s="15">
        <f t="shared" si="46"/>
        <v>0.35094248001941492</v>
      </c>
      <c r="Q175" s="7">
        <f t="shared" si="55"/>
        <v>1119034.0197066977</v>
      </c>
      <c r="R175" s="7">
        <f t="shared" si="56"/>
        <v>726317.44560473436</v>
      </c>
      <c r="S175" s="13">
        <f>IF('Calc (2)'!$AD$32="Sim",R175,Q175)</f>
        <v>726317.44560473436</v>
      </c>
      <c r="T175" s="9">
        <f t="shared" si="57"/>
        <v>171</v>
      </c>
      <c r="U175" s="17">
        <f t="shared" ca="1" si="58"/>
        <v>50710</v>
      </c>
      <c r="V175" s="22"/>
      <c r="W175" s="22"/>
      <c r="X175" s="22"/>
    </row>
    <row r="176" spans="2:24" x14ac:dyDescent="0.2">
      <c r="B176" s="17">
        <f t="shared" ca="1" si="47"/>
        <v>50710</v>
      </c>
      <c r="C176" s="9">
        <f t="shared" si="59"/>
        <v>172</v>
      </c>
      <c r="D176" s="9"/>
      <c r="E176" s="13">
        <f t="shared" si="48"/>
        <v>2012.3952644128292</v>
      </c>
      <c r="F176" s="14">
        <f t="shared" si="60"/>
        <v>284506.38272648107</v>
      </c>
      <c r="G176" s="15">
        <f t="shared" si="49"/>
        <v>0.3870275618062301</v>
      </c>
      <c r="H176" s="13">
        <f t="shared" si="50"/>
        <v>14562.045565961007</v>
      </c>
      <c r="I176" s="13">
        <f t="shared" si="51"/>
        <v>851102.07781059074</v>
      </c>
      <c r="J176" s="15">
        <f t="shared" si="44"/>
        <v>0.6129724381937699</v>
      </c>
      <c r="K176" s="13">
        <f t="shared" si="52"/>
        <v>450599.87533614889</v>
      </c>
      <c r="L176" s="13">
        <f t="shared" si="61"/>
        <v>23760544.985181794</v>
      </c>
      <c r="M176" s="15">
        <f t="shared" si="53"/>
        <v>0.6129724381937699</v>
      </c>
      <c r="N176" s="13">
        <f t="shared" si="45"/>
        <v>4173.1446459972512</v>
      </c>
      <c r="O176" s="13">
        <f t="shared" si="54"/>
        <v>400502.20247444138</v>
      </c>
      <c r="P176" s="15">
        <f t="shared" si="46"/>
        <v>0.35267631088714241</v>
      </c>
      <c r="Q176" s="7">
        <f t="shared" si="55"/>
        <v>1135608.4605370713</v>
      </c>
      <c r="R176" s="7">
        <f t="shared" si="56"/>
        <v>735106.25806262996</v>
      </c>
      <c r="S176" s="13">
        <f>IF('Calc (2)'!$AD$32="Sim",R176,Q176)</f>
        <v>735106.25806262996</v>
      </c>
      <c r="T176" s="9">
        <f t="shared" si="57"/>
        <v>172</v>
      </c>
      <c r="U176" s="17">
        <f t="shared" ca="1" si="58"/>
        <v>50740</v>
      </c>
      <c r="V176" s="22"/>
      <c r="W176" s="22"/>
      <c r="X176" s="22"/>
    </row>
    <row r="177" spans="2:24" x14ac:dyDescent="0.2">
      <c r="B177" s="17">
        <f t="shared" ca="1" si="47"/>
        <v>50740</v>
      </c>
      <c r="C177" s="9">
        <f t="shared" si="59"/>
        <v>173</v>
      </c>
      <c r="D177" s="9"/>
      <c r="E177" s="13">
        <f t="shared" si="48"/>
        <v>2020.5940118216747</v>
      </c>
      <c r="F177" s="14">
        <f t="shared" si="60"/>
        <v>286526.97673830274</v>
      </c>
      <c r="G177" s="15">
        <f t="shared" si="49"/>
        <v>0.38512460821184114</v>
      </c>
      <c r="H177" s="13">
        <f t="shared" si="50"/>
        <v>14777.72959196183</v>
      </c>
      <c r="I177" s="13">
        <f t="shared" si="51"/>
        <v>865879.80740255257</v>
      </c>
      <c r="J177" s="15">
        <f t="shared" si="44"/>
        <v>0.61487539178815886</v>
      </c>
      <c r="K177" s="13">
        <f t="shared" si="52"/>
        <v>457458.14036098192</v>
      </c>
      <c r="L177" s="13">
        <f t="shared" si="61"/>
        <v>24218003.125542775</v>
      </c>
      <c r="M177" s="15">
        <f t="shared" si="53"/>
        <v>0.61487539178815886</v>
      </c>
      <c r="N177" s="13">
        <f t="shared" si="45"/>
        <v>4234.8752834880152</v>
      </c>
      <c r="O177" s="13">
        <f t="shared" si="54"/>
        <v>408421.66704157018</v>
      </c>
      <c r="P177" s="15">
        <f t="shared" si="46"/>
        <v>0.35440755179696182</v>
      </c>
      <c r="Q177" s="7">
        <f t="shared" si="55"/>
        <v>1152406.7841408548</v>
      </c>
      <c r="R177" s="7">
        <f t="shared" si="56"/>
        <v>743985.11709928466</v>
      </c>
      <c r="S177" s="13">
        <f>IF('Calc (2)'!$AD$32="Sim",R177,Q177)</f>
        <v>743985.11709928466</v>
      </c>
      <c r="T177" s="9">
        <f t="shared" si="57"/>
        <v>173</v>
      </c>
      <c r="U177" s="17">
        <f t="shared" ca="1" si="58"/>
        <v>50771</v>
      </c>
      <c r="V177" s="22"/>
      <c r="W177" s="22"/>
      <c r="X177" s="22"/>
    </row>
    <row r="178" spans="2:24" x14ac:dyDescent="0.2">
      <c r="B178" s="17">
        <f t="shared" ca="1" si="47"/>
        <v>50771</v>
      </c>
      <c r="C178" s="9">
        <f t="shared" si="59"/>
        <v>174</v>
      </c>
      <c r="D178" s="9"/>
      <c r="E178" s="13">
        <f t="shared" si="48"/>
        <v>2028.8261619423349</v>
      </c>
      <c r="F178" s="14">
        <f t="shared" si="60"/>
        <v>288555.80290024506</v>
      </c>
      <c r="G178" s="15">
        <f t="shared" si="49"/>
        <v>0.38323119367840114</v>
      </c>
      <c r="H178" s="13">
        <f t="shared" si="50"/>
        <v>14996.327015670333</v>
      </c>
      <c r="I178" s="13">
        <f t="shared" si="51"/>
        <v>880876.13441822294</v>
      </c>
      <c r="J178" s="15">
        <f t="shared" si="44"/>
        <v>0.61676880632159881</v>
      </c>
      <c r="K178" s="13">
        <f t="shared" si="52"/>
        <v>464399.09132580925</v>
      </c>
      <c r="L178" s="13">
        <f t="shared" si="61"/>
        <v>24682402.216868583</v>
      </c>
      <c r="M178" s="15">
        <f t="shared" si="53"/>
        <v>0.61676880632159881</v>
      </c>
      <c r="N178" s="13">
        <f t="shared" si="45"/>
        <v>4297.4394764289837</v>
      </c>
      <c r="O178" s="13">
        <f t="shared" si="54"/>
        <v>416477.04309241322</v>
      </c>
      <c r="P178" s="15">
        <f t="shared" si="46"/>
        <v>0.35613619724411155</v>
      </c>
      <c r="Q178" s="7">
        <f t="shared" si="55"/>
        <v>1169431.9373184675</v>
      </c>
      <c r="R178" s="7">
        <f t="shared" si="56"/>
        <v>752954.89422605431</v>
      </c>
      <c r="S178" s="13">
        <f>IF('Calc (2)'!$AD$32="Sim",R178,Q178)</f>
        <v>752954.89422605431</v>
      </c>
      <c r="T178" s="9">
        <f t="shared" si="57"/>
        <v>174</v>
      </c>
      <c r="U178" s="17">
        <f t="shared" ca="1" si="58"/>
        <v>50802</v>
      </c>
      <c r="V178" s="22"/>
      <c r="W178" s="22"/>
      <c r="X178" s="22"/>
    </row>
    <row r="179" spans="2:24" x14ac:dyDescent="0.2">
      <c r="B179" s="17">
        <f t="shared" ca="1" si="47"/>
        <v>50802</v>
      </c>
      <c r="C179" s="9">
        <f t="shared" si="59"/>
        <v>175</v>
      </c>
      <c r="D179" s="9"/>
      <c r="E179" s="13">
        <f t="shared" si="48"/>
        <v>2037.0918508615921</v>
      </c>
      <c r="F179" s="14">
        <f t="shared" si="60"/>
        <v>290592.89475110668</v>
      </c>
      <c r="G179" s="15">
        <f t="shared" si="49"/>
        <v>0.38134726281716164</v>
      </c>
      <c r="H179" s="13">
        <f t="shared" si="50"/>
        <v>15217.876183947488</v>
      </c>
      <c r="I179" s="13">
        <f t="shared" si="51"/>
        <v>896094.01060217037</v>
      </c>
      <c r="J179" s="15">
        <f t="shared" si="44"/>
        <v>0.61865273718283831</v>
      </c>
      <c r="K179" s="13">
        <f t="shared" si="52"/>
        <v>471423.57444912597</v>
      </c>
      <c r="L179" s="13">
        <f t="shared" si="61"/>
        <v>25153825.791317709</v>
      </c>
      <c r="M179" s="15">
        <f t="shared" si="53"/>
        <v>0.61865273718283831</v>
      </c>
      <c r="N179" s="13">
        <f t="shared" si="45"/>
        <v>4360.8481951675376</v>
      </c>
      <c r="O179" s="13">
        <f t="shared" si="54"/>
        <v>424670.43615304411</v>
      </c>
      <c r="P179" s="15">
        <f t="shared" si="46"/>
        <v>0.35786224170613873</v>
      </c>
      <c r="Q179" s="7">
        <f t="shared" si="55"/>
        <v>1186686.9053532768</v>
      </c>
      <c r="R179" s="7">
        <f t="shared" si="56"/>
        <v>762016.46920023265</v>
      </c>
      <c r="S179" s="13">
        <f>IF('Calc (2)'!$AD$32="Sim",R179,Q179)</f>
        <v>762016.46920023265</v>
      </c>
      <c r="T179" s="9">
        <f t="shared" si="57"/>
        <v>175</v>
      </c>
      <c r="U179" s="17">
        <f t="shared" ca="1" si="58"/>
        <v>50830</v>
      </c>
      <c r="V179" s="22"/>
      <c r="W179" s="22"/>
      <c r="X179" s="22"/>
    </row>
    <row r="180" spans="2:24" x14ac:dyDescent="0.2">
      <c r="B180" s="17">
        <f t="shared" ca="1" si="47"/>
        <v>50830</v>
      </c>
      <c r="C180" s="9">
        <f t="shared" si="59"/>
        <v>176</v>
      </c>
      <c r="D180" s="9"/>
      <c r="E180" s="13">
        <f t="shared" si="48"/>
        <v>2045.3912152206635</v>
      </c>
      <c r="F180" s="14">
        <f t="shared" si="60"/>
        <v>292638.28596632736</v>
      </c>
      <c r="G180" s="15">
        <f t="shared" si="49"/>
        <v>0.37947276075622743</v>
      </c>
      <c r="H180" s="13">
        <f t="shared" si="50"/>
        <v>15442.415944434799</v>
      </c>
      <c r="I180" s="13">
        <f t="shared" si="51"/>
        <v>911536.42654660519</v>
      </c>
      <c r="J180" s="15">
        <f t="shared" si="44"/>
        <v>0.62052723924377262</v>
      </c>
      <c r="K180" s="13">
        <f t="shared" si="52"/>
        <v>478532.44413600437</v>
      </c>
      <c r="L180" s="13">
        <f t="shared" si="61"/>
        <v>25632358.235453714</v>
      </c>
      <c r="M180" s="15">
        <f t="shared" si="53"/>
        <v>0.62052723924377262</v>
      </c>
      <c r="N180" s="13">
        <f t="shared" si="45"/>
        <v>4425.1125533108652</v>
      </c>
      <c r="O180" s="13">
        <f t="shared" si="54"/>
        <v>433003.98241060029</v>
      </c>
      <c r="P180" s="15">
        <f t="shared" si="46"/>
        <v>0.35958567964526172</v>
      </c>
      <c r="Q180" s="7">
        <f t="shared" si="55"/>
        <v>1204174.712512932</v>
      </c>
      <c r="R180" s="7">
        <f t="shared" si="56"/>
        <v>771170.73010233173</v>
      </c>
      <c r="S180" s="13">
        <f>IF('Calc (2)'!$AD$32="Sim",R180,Q180)</f>
        <v>771170.73010233173</v>
      </c>
      <c r="T180" s="9">
        <f t="shared" si="57"/>
        <v>176</v>
      </c>
      <c r="U180" s="17">
        <f t="shared" ca="1" si="58"/>
        <v>50861</v>
      </c>
      <c r="V180" s="22"/>
      <c r="W180" s="22"/>
      <c r="X180" s="22"/>
    </row>
    <row r="181" spans="2:24" x14ac:dyDescent="0.2">
      <c r="B181" s="17">
        <f t="shared" ca="1" si="47"/>
        <v>50861</v>
      </c>
      <c r="C181" s="9">
        <f t="shared" si="59"/>
        <v>177</v>
      </c>
      <c r="D181" s="9"/>
      <c r="E181" s="13">
        <f t="shared" si="48"/>
        <v>2053.7243922174594</v>
      </c>
      <c r="F181" s="14">
        <f t="shared" si="60"/>
        <v>294692.01035854482</v>
      </c>
      <c r="G181" s="15">
        <f t="shared" si="49"/>
        <v>0.37760763313123213</v>
      </c>
      <c r="H181" s="13">
        <f t="shared" si="50"/>
        <v>15669.985652078169</v>
      </c>
      <c r="I181" s="13">
        <f t="shared" si="51"/>
        <v>927206.41219868336</v>
      </c>
      <c r="J181" s="15">
        <f t="shared" si="44"/>
        <v>0.62239236686876787</v>
      </c>
      <c r="K181" s="13">
        <f t="shared" si="52"/>
        <v>485726.56305553875</v>
      </c>
      <c r="L181" s="13">
        <f t="shared" si="61"/>
        <v>26118084.798509251</v>
      </c>
      <c r="M181" s="15">
        <f t="shared" si="53"/>
        <v>0.62239236686876787</v>
      </c>
      <c r="N181" s="13">
        <f t="shared" si="45"/>
        <v>4490.2438095922598</v>
      </c>
      <c r="O181" s="13">
        <f t="shared" si="54"/>
        <v>441479.84914314398</v>
      </c>
      <c r="P181" s="15">
        <f t="shared" si="46"/>
        <v>0.36130650551066351</v>
      </c>
      <c r="Q181" s="7">
        <f t="shared" si="55"/>
        <v>1221898.4225572275</v>
      </c>
      <c r="R181" s="7">
        <f t="shared" si="56"/>
        <v>780418.57341408357</v>
      </c>
      <c r="S181" s="13">
        <f>IF('Calc (2)'!$AD$32="Sim",R181,Q181)</f>
        <v>780418.57341408357</v>
      </c>
      <c r="T181" s="9">
        <f t="shared" si="57"/>
        <v>177</v>
      </c>
      <c r="U181" s="17">
        <f t="shared" ca="1" si="58"/>
        <v>50891</v>
      </c>
      <c r="V181" s="22"/>
      <c r="W181" s="22"/>
      <c r="X181" s="22"/>
    </row>
    <row r="182" spans="2:24" x14ac:dyDescent="0.2">
      <c r="B182" s="17">
        <f t="shared" ca="1" si="47"/>
        <v>50891</v>
      </c>
      <c r="C182" s="9">
        <f t="shared" si="59"/>
        <v>178</v>
      </c>
      <c r="D182" s="9"/>
      <c r="E182" s="13">
        <f t="shared" si="48"/>
        <v>2062.0915196088513</v>
      </c>
      <c r="F182" s="14">
        <f t="shared" si="60"/>
        <v>296754.10187815368</v>
      </c>
      <c r="G182" s="15">
        <f t="shared" si="49"/>
        <v>0.37575182607626539</v>
      </c>
      <c r="H182" s="13">
        <f t="shared" si="50"/>
        <v>15900.625175736761</v>
      </c>
      <c r="I182" s="13">
        <f t="shared" si="51"/>
        <v>943107.03737442009</v>
      </c>
      <c r="J182" s="15">
        <f t="shared" si="44"/>
        <v>0.62424817392373466</v>
      </c>
      <c r="K182" s="13">
        <f t="shared" si="52"/>
        <v>493006.8022190156</v>
      </c>
      <c r="L182" s="13">
        <f t="shared" si="61"/>
        <v>26611091.600728266</v>
      </c>
      <c r="M182" s="15">
        <f t="shared" si="53"/>
        <v>0.62424817392373455</v>
      </c>
      <c r="N182" s="13">
        <f t="shared" si="45"/>
        <v>4556.2533697617</v>
      </c>
      <c r="O182" s="13">
        <f t="shared" si="54"/>
        <v>450100.23515540396</v>
      </c>
      <c r="P182" s="15">
        <f t="shared" si="46"/>
        <v>0.36302471374071643</v>
      </c>
      <c r="Q182" s="7">
        <f t="shared" si="55"/>
        <v>1239861.1392525733</v>
      </c>
      <c r="R182" s="7">
        <f t="shared" si="56"/>
        <v>789760.90409716929</v>
      </c>
      <c r="S182" s="13">
        <f>IF('Calc (2)'!$AD$32="Sim",R182,Q182)</f>
        <v>789760.90409716929</v>
      </c>
      <c r="T182" s="9">
        <f t="shared" si="57"/>
        <v>178</v>
      </c>
      <c r="U182" s="17">
        <f t="shared" ca="1" si="58"/>
        <v>50922</v>
      </c>
      <c r="V182" s="22"/>
      <c r="W182" s="22"/>
      <c r="X182" s="22"/>
    </row>
    <row r="183" spans="2:24" x14ac:dyDescent="0.2">
      <c r="B183" s="17">
        <f t="shared" ca="1" si="47"/>
        <v>50922</v>
      </c>
      <c r="C183" s="9">
        <f t="shared" si="59"/>
        <v>179</v>
      </c>
      <c r="D183" s="9"/>
      <c r="E183" s="13">
        <f t="shared" si="48"/>
        <v>2070.4927357129491</v>
      </c>
      <c r="F183" s="14">
        <f t="shared" si="60"/>
        <v>298824.59461386665</v>
      </c>
      <c r="G183" s="15">
        <f t="shared" si="49"/>
        <v>0.37390528621504288</v>
      </c>
      <c r="H183" s="13">
        <f t="shared" si="50"/>
        <v>16134.374904877821</v>
      </c>
      <c r="I183" s="13">
        <f t="shared" si="51"/>
        <v>959241.41227929795</v>
      </c>
      <c r="J183" s="15">
        <f t="shared" si="44"/>
        <v>0.62609471378495707</v>
      </c>
      <c r="K183" s="13">
        <f t="shared" si="52"/>
        <v>500374.0410588173</v>
      </c>
      <c r="L183" s="13">
        <f t="shared" si="61"/>
        <v>27111465.641787082</v>
      </c>
      <c r="M183" s="15">
        <f t="shared" si="53"/>
        <v>0.62609471378495718</v>
      </c>
      <c r="N183" s="13">
        <f t="shared" si="45"/>
        <v>4623.1527885010519</v>
      </c>
      <c r="O183" s="13">
        <f t="shared" si="54"/>
        <v>458867.37122048007</v>
      </c>
      <c r="P183" s="15">
        <f t="shared" si="46"/>
        <v>0.36474029876514058</v>
      </c>
      <c r="Q183" s="7">
        <f t="shared" si="55"/>
        <v>1258066.006893164</v>
      </c>
      <c r="R183" s="7">
        <f t="shared" si="56"/>
        <v>799198.63567268394</v>
      </c>
      <c r="S183" s="13">
        <f>IF('Calc (2)'!$AD$32="Sim",R183,Q183)</f>
        <v>799198.63567268394</v>
      </c>
      <c r="T183" s="9">
        <f t="shared" si="57"/>
        <v>179</v>
      </c>
      <c r="U183" s="17">
        <f t="shared" ca="1" si="58"/>
        <v>50952</v>
      </c>
      <c r="V183" s="22"/>
      <c r="W183" s="22"/>
      <c r="X183" s="22"/>
    </row>
    <row r="184" spans="2:24" x14ac:dyDescent="0.2">
      <c r="B184" s="17">
        <f t="shared" ca="1" si="47"/>
        <v>50952</v>
      </c>
      <c r="C184" s="9">
        <f t="shared" si="59"/>
        <v>180</v>
      </c>
      <c r="D184" s="9">
        <v>15</v>
      </c>
      <c r="E184" s="13">
        <f t="shared" si="48"/>
        <v>2078.9281794113886</v>
      </c>
      <c r="F184" s="14">
        <f t="shared" si="60"/>
        <v>300903.52279327804</v>
      </c>
      <c r="G184" s="15">
        <f t="shared" si="49"/>
        <v>0.37206796065231185</v>
      </c>
      <c r="H184" s="13">
        <f t="shared" si="50"/>
        <v>16371.275756358686</v>
      </c>
      <c r="I184" s="13">
        <f t="shared" si="51"/>
        <v>975612.68803565658</v>
      </c>
      <c r="J184" s="15">
        <f t="shared" si="44"/>
        <v>0.62793203934768815</v>
      </c>
      <c r="K184" s="13">
        <f t="shared" si="52"/>
        <v>507829.16750806401</v>
      </c>
      <c r="L184" s="13">
        <f t="shared" si="61"/>
        <v>27619294.809295148</v>
      </c>
      <c r="M184" s="15">
        <f t="shared" si="53"/>
        <v>0.62793203934768815</v>
      </c>
      <c r="N184" s="13">
        <f t="shared" si="45"/>
        <v>4690.9537713641967</v>
      </c>
      <c r="O184" s="13">
        <f t="shared" si="54"/>
        <v>467783.52052759205</v>
      </c>
      <c r="P184" s="15">
        <f t="shared" si="46"/>
        <v>0.36645325500709969</v>
      </c>
      <c r="Q184" s="7">
        <f t="shared" si="55"/>
        <v>1276516.2108289341</v>
      </c>
      <c r="R184" s="7">
        <f t="shared" si="56"/>
        <v>808732.69030134205</v>
      </c>
      <c r="S184" s="13">
        <f>IF('Calc (2)'!$AD$32="Sim",R184,Q184)</f>
        <v>808732.69030134205</v>
      </c>
      <c r="T184" s="9">
        <f t="shared" si="57"/>
        <v>180</v>
      </c>
      <c r="U184" s="17">
        <f t="shared" ca="1" si="58"/>
        <v>50983</v>
      </c>
      <c r="V184" s="22"/>
      <c r="W184" s="22"/>
      <c r="X184" s="22"/>
    </row>
    <row r="185" spans="2:24" x14ac:dyDescent="0.2">
      <c r="B185" s="17">
        <f t="shared" ca="1" si="47"/>
        <v>50983</v>
      </c>
      <c r="C185" s="9">
        <f t="shared" si="59"/>
        <v>181</v>
      </c>
      <c r="D185" s="9"/>
      <c r="E185" s="13">
        <f t="shared" si="48"/>
        <v>2087.3979901516254</v>
      </c>
      <c r="F185" s="14">
        <f t="shared" si="60"/>
        <v>302990.92078342964</v>
      </c>
      <c r="G185" s="15">
        <f t="shared" si="49"/>
        <v>0.37023979696548465</v>
      </c>
      <c r="H185" s="13">
        <f t="shared" si="50"/>
        <v>16611.369181297079</v>
      </c>
      <c r="I185" s="13">
        <f t="shared" si="51"/>
        <v>992224.05721695372</v>
      </c>
      <c r="J185" s="15">
        <f t="shared" si="44"/>
        <v>0.6297602030345153</v>
      </c>
      <c r="K185" s="13">
        <f t="shared" si="52"/>
        <v>515373.07808100292</v>
      </c>
      <c r="L185" s="13">
        <f t="shared" si="61"/>
        <v>28134667.887376152</v>
      </c>
      <c r="M185" s="15">
        <f t="shared" si="53"/>
        <v>0.6297602030345153</v>
      </c>
      <c r="N185" s="13">
        <f t="shared" si="45"/>
        <v>4759.6681767424161</v>
      </c>
      <c r="O185" s="13">
        <f t="shared" si="54"/>
        <v>476850.9791359501</v>
      </c>
      <c r="P185" s="15">
        <f t="shared" si="46"/>
        <v>0.36816357688523366</v>
      </c>
      <c r="Q185" s="7">
        <f t="shared" si="55"/>
        <v>1295214.9780003827</v>
      </c>
      <c r="R185" s="7">
        <f t="shared" si="56"/>
        <v>818363.99886443256</v>
      </c>
      <c r="S185" s="13">
        <f>IF('Calc (2)'!$AD$32="Sim",R185,Q185)</f>
        <v>818363.99886443256</v>
      </c>
      <c r="T185" s="9">
        <f t="shared" si="57"/>
        <v>181</v>
      </c>
      <c r="U185" s="17">
        <f t="shared" ca="1" si="58"/>
        <v>51014</v>
      </c>
      <c r="V185" s="22"/>
      <c r="W185" s="22"/>
      <c r="X185" s="22"/>
    </row>
    <row r="186" spans="2:24" x14ac:dyDescent="0.2">
      <c r="B186" s="17">
        <f t="shared" ca="1" si="47"/>
        <v>51014</v>
      </c>
      <c r="C186" s="9">
        <f t="shared" si="59"/>
        <v>182</v>
      </c>
      <c r="D186" s="9"/>
      <c r="E186" s="13">
        <f t="shared" si="48"/>
        <v>2095.9023079492417</v>
      </c>
      <c r="F186" s="14">
        <f t="shared" si="60"/>
        <v>305086.8230913789</v>
      </c>
      <c r="G186" s="15">
        <f t="shared" si="49"/>
        <v>0.36842074319649232</v>
      </c>
      <c r="H186" s="13">
        <f t="shared" si="50"/>
        <v>16854.697172030817</v>
      </c>
      <c r="I186" s="13">
        <f t="shared" si="51"/>
        <v>1009078.7543889845</v>
      </c>
      <c r="J186" s="15">
        <f t="shared" si="44"/>
        <v>0.63157925680350768</v>
      </c>
      <c r="K186" s="13">
        <f t="shared" si="52"/>
        <v>523006.67795414955</v>
      </c>
      <c r="L186" s="13">
        <f t="shared" si="61"/>
        <v>28657674.5653303</v>
      </c>
      <c r="M186" s="15">
        <f t="shared" si="53"/>
        <v>0.63157925680350768</v>
      </c>
      <c r="N186" s="13">
        <f t="shared" si="45"/>
        <v>4829.30801785536</v>
      </c>
      <c r="O186" s="13">
        <f t="shared" si="54"/>
        <v>486072.07643483428</v>
      </c>
      <c r="P186" s="15">
        <f t="shared" si="46"/>
        <v>0.36987125881563243</v>
      </c>
      <c r="Q186" s="7">
        <f t="shared" si="55"/>
        <v>1314165.5774803627</v>
      </c>
      <c r="R186" s="7">
        <f t="shared" si="56"/>
        <v>828093.50104552845</v>
      </c>
      <c r="S186" s="13">
        <f>IF('Calc (2)'!$AD$32="Sim",R186,Q186)</f>
        <v>828093.50104552845</v>
      </c>
      <c r="T186" s="9">
        <f t="shared" si="57"/>
        <v>182</v>
      </c>
      <c r="U186" s="17">
        <f t="shared" ca="1" si="58"/>
        <v>51044</v>
      </c>
      <c r="V186" s="22"/>
      <c r="W186" s="22"/>
      <c r="X186" s="22"/>
    </row>
    <row r="187" spans="2:24" x14ac:dyDescent="0.2">
      <c r="B187" s="17">
        <f t="shared" ca="1" si="47"/>
        <v>51044</v>
      </c>
      <c r="C187" s="9">
        <f t="shared" si="59"/>
        <v>183</v>
      </c>
      <c r="D187" s="9"/>
      <c r="E187" s="13">
        <f t="shared" si="48"/>
        <v>2104.4412733902614</v>
      </c>
      <c r="F187" s="14">
        <f t="shared" si="60"/>
        <v>307191.26436476916</v>
      </c>
      <c r="G187" s="15">
        <f t="shared" si="49"/>
        <v>0.36661074784385084</v>
      </c>
      <c r="H187" s="13">
        <f t="shared" si="50"/>
        <v>17101.302269168147</v>
      </c>
      <c r="I187" s="13">
        <f t="shared" si="51"/>
        <v>1026180.0566581527</v>
      </c>
      <c r="J187" s="15">
        <f t="shared" si="44"/>
        <v>0.63338925215614916</v>
      </c>
      <c r="K187" s="13">
        <f t="shared" si="52"/>
        <v>530730.88104819064</v>
      </c>
      <c r="L187" s="13">
        <f t="shared" si="61"/>
        <v>29188405.446378492</v>
      </c>
      <c r="M187" s="15">
        <f t="shared" si="53"/>
        <v>0.63338925215614905</v>
      </c>
      <c r="N187" s="13">
        <f t="shared" si="45"/>
        <v>4899.8854647679336</v>
      </c>
      <c r="O187" s="13">
        <f t="shared" si="54"/>
        <v>495449.17560996138</v>
      </c>
      <c r="P187" s="15">
        <f t="shared" si="46"/>
        <v>0.37157629521375046</v>
      </c>
      <c r="Q187" s="7">
        <f t="shared" si="55"/>
        <v>1333371.3210229212</v>
      </c>
      <c r="R187" s="7">
        <f t="shared" si="56"/>
        <v>837922.14541295986</v>
      </c>
      <c r="S187" s="13">
        <f>IF('Calc (2)'!$AD$32="Sim",R187,Q187)</f>
        <v>837922.14541295986</v>
      </c>
      <c r="T187" s="9">
        <f t="shared" si="57"/>
        <v>183</v>
      </c>
      <c r="U187" s="17">
        <f t="shared" ca="1" si="58"/>
        <v>51075</v>
      </c>
      <c r="V187" s="22"/>
      <c r="W187" s="22"/>
      <c r="X187" s="22"/>
    </row>
    <row r="188" spans="2:24" x14ac:dyDescent="0.2">
      <c r="B188" s="17">
        <f t="shared" ca="1" si="47"/>
        <v>51075</v>
      </c>
      <c r="C188" s="9">
        <f t="shared" si="59"/>
        <v>184</v>
      </c>
      <c r="D188" s="9"/>
      <c r="E188" s="13">
        <f t="shared" si="48"/>
        <v>2113.0150276334721</v>
      </c>
      <c r="F188" s="14">
        <f t="shared" si="60"/>
        <v>309304.27939240262</v>
      </c>
      <c r="G188" s="15">
        <f t="shared" si="49"/>
        <v>0.36480975985493475</v>
      </c>
      <c r="H188" s="13">
        <f t="shared" si="50"/>
        <v>17351.227568729817</v>
      </c>
      <c r="I188" s="13">
        <f t="shared" si="51"/>
        <v>1043531.2842268825</v>
      </c>
      <c r="J188" s="15">
        <f t="shared" si="44"/>
        <v>0.63519024014506531</v>
      </c>
      <c r="K188" s="13">
        <f t="shared" si="52"/>
        <v>538546.61011065322</v>
      </c>
      <c r="L188" s="13">
        <f t="shared" si="61"/>
        <v>29726952.056489144</v>
      </c>
      <c r="M188" s="15">
        <f t="shared" si="53"/>
        <v>0.6351902401450652</v>
      </c>
      <c r="N188" s="13">
        <f t="shared" si="45"/>
        <v>4971.4128464334326</v>
      </c>
      <c r="O188" s="13">
        <f t="shared" si="54"/>
        <v>504984.67411622859</v>
      </c>
      <c r="P188" s="15">
        <f t="shared" si="46"/>
        <v>0.37327868049626584</v>
      </c>
      <c r="Q188" s="7">
        <f t="shared" si="55"/>
        <v>1352835.5636192844</v>
      </c>
      <c r="R188" s="7">
        <f t="shared" si="56"/>
        <v>847850.88950305583</v>
      </c>
      <c r="S188" s="13">
        <f>IF('Calc (2)'!$AD$32="Sim",R188,Q188)</f>
        <v>847850.88950305583</v>
      </c>
      <c r="T188" s="9">
        <f t="shared" si="57"/>
        <v>184</v>
      </c>
      <c r="U188" s="17">
        <f t="shared" ca="1" si="58"/>
        <v>51105</v>
      </c>
      <c r="V188" s="22"/>
      <c r="W188" s="22"/>
      <c r="X188" s="22"/>
    </row>
    <row r="189" spans="2:24" x14ac:dyDescent="0.2">
      <c r="B189" s="17">
        <f t="shared" ca="1" si="47"/>
        <v>51105</v>
      </c>
      <c r="C189" s="9">
        <f t="shared" si="59"/>
        <v>185</v>
      </c>
      <c r="D189" s="9"/>
      <c r="E189" s="13">
        <f t="shared" si="48"/>
        <v>2121.6237124127601</v>
      </c>
      <c r="F189" s="14">
        <f t="shared" si="60"/>
        <v>311425.9031048154</v>
      </c>
      <c r="G189" s="15">
        <f t="shared" si="49"/>
        <v>0.36301772861844961</v>
      </c>
      <c r="H189" s="13">
        <f t="shared" si="50"/>
        <v>17604.516729384159</v>
      </c>
      <c r="I189" s="13">
        <f t="shared" si="51"/>
        <v>1061135.8009562667</v>
      </c>
      <c r="J189" s="15">
        <f t="shared" si="44"/>
        <v>0.63698227138155039</v>
      </c>
      <c r="K189" s="13">
        <f t="shared" si="52"/>
        <v>546454.79679934855</v>
      </c>
      <c r="L189" s="13">
        <f t="shared" si="61"/>
        <v>30273406.85328849</v>
      </c>
      <c r="M189" s="15">
        <f t="shared" si="53"/>
        <v>0.63698227138155039</v>
      </c>
      <c r="N189" s="13">
        <f t="shared" si="45"/>
        <v>5043.9026527632859</v>
      </c>
      <c r="O189" s="13">
        <f t="shared" si="54"/>
        <v>514681.00415691745</v>
      </c>
      <c r="P189" s="15">
        <f t="shared" si="46"/>
        <v>0.37497840908288466</v>
      </c>
      <c r="Q189" s="7">
        <f t="shared" si="55"/>
        <v>1372561.7040610814</v>
      </c>
      <c r="R189" s="7">
        <f t="shared" si="56"/>
        <v>857880.69990416395</v>
      </c>
      <c r="S189" s="13">
        <f>IF('Calc (2)'!$AD$32="Sim",R189,Q189)</f>
        <v>857880.69990416395</v>
      </c>
      <c r="T189" s="9">
        <f t="shared" si="57"/>
        <v>185</v>
      </c>
      <c r="U189" s="17">
        <f t="shared" ca="1" si="58"/>
        <v>51136</v>
      </c>
      <c r="V189" s="22"/>
      <c r="W189" s="22"/>
      <c r="X189" s="22"/>
    </row>
    <row r="190" spans="2:24" x14ac:dyDescent="0.2">
      <c r="B190" s="17">
        <f t="shared" ca="1" si="47"/>
        <v>51136</v>
      </c>
      <c r="C190" s="9">
        <f t="shared" si="59"/>
        <v>186</v>
      </c>
      <c r="D190" s="9"/>
      <c r="E190" s="13">
        <f t="shared" si="48"/>
        <v>2130.2674700394532</v>
      </c>
      <c r="F190" s="14">
        <f t="shared" si="60"/>
        <v>313556.17057485483</v>
      </c>
      <c r="G190" s="15">
        <f t="shared" si="49"/>
        <v>0.36123460395709811</v>
      </c>
      <c r="H190" s="13">
        <f t="shared" si="50"/>
        <v>17861.213979776316</v>
      </c>
      <c r="I190" s="13">
        <f t="shared" si="51"/>
        <v>1078997.0149360429</v>
      </c>
      <c r="J190" s="15">
        <f t="shared" si="44"/>
        <v>0.63876539604290183</v>
      </c>
      <c r="K190" s="13">
        <f t="shared" si="52"/>
        <v>554456.38176659867</v>
      </c>
      <c r="L190" s="13">
        <f t="shared" si="61"/>
        <v>30827863.235055089</v>
      </c>
      <c r="M190" s="15">
        <f t="shared" si="53"/>
        <v>0.63876539604290195</v>
      </c>
      <c r="N190" s="13">
        <f t="shared" si="45"/>
        <v>5117.3675367237274</v>
      </c>
      <c r="O190" s="13">
        <f t="shared" si="54"/>
        <v>524540.63316944358</v>
      </c>
      <c r="P190" s="15">
        <f t="shared" si="46"/>
        <v>0.37667547539809132</v>
      </c>
      <c r="Q190" s="7">
        <f t="shared" si="55"/>
        <v>1392553.1855108971</v>
      </c>
      <c r="R190" s="7">
        <f t="shared" si="56"/>
        <v>868012.5523414535</v>
      </c>
      <c r="S190" s="13">
        <f>IF('Calc (2)'!$AD$32="Sim",R190,Q190)</f>
        <v>868012.5523414535</v>
      </c>
      <c r="T190" s="9">
        <f t="shared" si="57"/>
        <v>186</v>
      </c>
      <c r="U190" s="17">
        <f t="shared" ca="1" si="58"/>
        <v>51167</v>
      </c>
      <c r="V190" s="22"/>
      <c r="W190" s="22"/>
      <c r="X190" s="22"/>
    </row>
    <row r="191" spans="2:24" x14ac:dyDescent="0.2">
      <c r="B191" s="17">
        <f t="shared" ca="1" si="47"/>
        <v>51167</v>
      </c>
      <c r="C191" s="9">
        <f t="shared" si="59"/>
        <v>187</v>
      </c>
      <c r="D191" s="9"/>
      <c r="E191" s="13">
        <f t="shared" si="48"/>
        <v>2138.9464434046731</v>
      </c>
      <c r="F191" s="14">
        <f t="shared" si="60"/>
        <v>315695.11701825948</v>
      </c>
      <c r="G191" s="15">
        <f t="shared" si="49"/>
        <v>0.35946033612043365</v>
      </c>
      <c r="H191" s="13">
        <f t="shared" si="50"/>
        <v>18121.36412595291</v>
      </c>
      <c r="I191" s="13">
        <f t="shared" si="51"/>
        <v>1097118.3790619958</v>
      </c>
      <c r="J191" s="15">
        <f t="shared" si="44"/>
        <v>0.6405396638795664</v>
      </c>
      <c r="K191" s="13">
        <f t="shared" si="52"/>
        <v>562552.3147442505</v>
      </c>
      <c r="L191" s="13">
        <f t="shared" si="61"/>
        <v>31390415.549799338</v>
      </c>
      <c r="M191" s="15">
        <f t="shared" si="53"/>
        <v>0.64053966387956629</v>
      </c>
      <c r="N191" s="13">
        <f t="shared" si="45"/>
        <v>5191.8203164597726</v>
      </c>
      <c r="O191" s="13">
        <f t="shared" si="54"/>
        <v>534566.06431774469</v>
      </c>
      <c r="P191" s="15">
        <f t="shared" si="46"/>
        <v>0.37836987387284893</v>
      </c>
      <c r="Q191" s="7">
        <f t="shared" si="55"/>
        <v>1412813.4960802547</v>
      </c>
      <c r="R191" s="7">
        <f t="shared" si="56"/>
        <v>878247.43176250998</v>
      </c>
      <c r="S191" s="13">
        <f>IF('Calc (2)'!$AD$32="Sim",R191,Q191)</f>
        <v>878247.43176250998</v>
      </c>
      <c r="T191" s="9">
        <f t="shared" si="57"/>
        <v>187</v>
      </c>
      <c r="U191" s="17">
        <f t="shared" ca="1" si="58"/>
        <v>51196</v>
      </c>
      <c r="V191" s="22"/>
      <c r="W191" s="22"/>
      <c r="X191" s="22"/>
    </row>
    <row r="192" spans="2:24" x14ac:dyDescent="0.2">
      <c r="B192" s="17">
        <f t="shared" ca="1" si="47"/>
        <v>51196</v>
      </c>
      <c r="C192" s="9">
        <f t="shared" si="59"/>
        <v>188</v>
      </c>
      <c r="D192" s="9"/>
      <c r="E192" s="13">
        <f t="shared" si="48"/>
        <v>2147.660775981698</v>
      </c>
      <c r="F192" s="14">
        <f t="shared" si="60"/>
        <v>317842.77779424121</v>
      </c>
      <c r="G192" s="15">
        <f t="shared" si="49"/>
        <v>0.35769487577789533</v>
      </c>
      <c r="H192" s="13">
        <f t="shared" si="50"/>
        <v>18385.012558883336</v>
      </c>
      <c r="I192" s="13">
        <f t="shared" si="51"/>
        <v>1115503.3916208791</v>
      </c>
      <c r="J192" s="15">
        <f t="shared" si="44"/>
        <v>0.64230512422210473</v>
      </c>
      <c r="K192" s="13">
        <f t="shared" si="52"/>
        <v>570743.55462948745</v>
      </c>
      <c r="L192" s="13">
        <f t="shared" si="61"/>
        <v>31961159.104428824</v>
      </c>
      <c r="M192" s="15">
        <f t="shared" si="53"/>
        <v>0.64230512422210473</v>
      </c>
      <c r="N192" s="13">
        <f t="shared" si="45"/>
        <v>5267.2739774468337</v>
      </c>
      <c r="O192" s="13">
        <f t="shared" si="54"/>
        <v>544759.83699139091</v>
      </c>
      <c r="P192" s="15">
        <f t="shared" si="46"/>
        <v>0.38006159894624864</v>
      </c>
      <c r="Q192" s="7">
        <f t="shared" si="55"/>
        <v>1433346.1694151196</v>
      </c>
      <c r="R192" s="7">
        <f t="shared" si="56"/>
        <v>888586.33242372866</v>
      </c>
      <c r="S192" s="13">
        <f>IF('Calc (2)'!$AD$32="Sim",R192,Q192)</f>
        <v>888586.33242372866</v>
      </c>
      <c r="T192" s="9">
        <f t="shared" si="57"/>
        <v>188</v>
      </c>
      <c r="U192" s="17">
        <f t="shared" ca="1" si="58"/>
        <v>51227</v>
      </c>
      <c r="V192" s="22"/>
      <c r="W192" s="22"/>
      <c r="X192" s="22"/>
    </row>
    <row r="193" spans="2:24" x14ac:dyDescent="0.2">
      <c r="B193" s="17">
        <f t="shared" ca="1" si="47"/>
        <v>51227</v>
      </c>
      <c r="C193" s="9">
        <f t="shared" si="59"/>
        <v>189</v>
      </c>
      <c r="D193" s="9"/>
      <c r="E193" s="13">
        <f t="shared" si="48"/>
        <v>2156.4106118283335</v>
      </c>
      <c r="F193" s="14">
        <f t="shared" si="60"/>
        <v>319999.18840606953</v>
      </c>
      <c r="G193" s="15">
        <f t="shared" si="49"/>
        <v>0.35593817401201777</v>
      </c>
      <c r="H193" s="13">
        <f t="shared" si="50"/>
        <v>18652.205262078958</v>
      </c>
      <c r="I193" s="13">
        <f t="shared" si="51"/>
        <v>1134155.596882958</v>
      </c>
      <c r="J193" s="15">
        <f t="shared" si="44"/>
        <v>0.64406182598798223</v>
      </c>
      <c r="K193" s="13">
        <f t="shared" si="52"/>
        <v>579031.0695714443</v>
      </c>
      <c r="L193" s="13">
        <f t="shared" si="61"/>
        <v>32540190.174000267</v>
      </c>
      <c r="M193" s="15">
        <f t="shared" si="53"/>
        <v>0.64406182598798223</v>
      </c>
      <c r="N193" s="13">
        <f t="shared" si="45"/>
        <v>5343.7416746703466</v>
      </c>
      <c r="O193" s="13">
        <f t="shared" si="54"/>
        <v>555124.52731151297</v>
      </c>
      <c r="P193" s="15">
        <f t="shared" si="46"/>
        <v>0.38175064506711148</v>
      </c>
      <c r="Q193" s="7">
        <f t="shared" si="55"/>
        <v>1454154.7852890268</v>
      </c>
      <c r="R193" s="7">
        <f t="shared" si="56"/>
        <v>899030.25797751383</v>
      </c>
      <c r="S193" s="13">
        <f>IF('Calc (2)'!$AD$32="Sim",R193,Q193)</f>
        <v>899030.25797751383</v>
      </c>
      <c r="T193" s="9">
        <f t="shared" si="57"/>
        <v>189</v>
      </c>
      <c r="U193" s="17">
        <f t="shared" ca="1" si="58"/>
        <v>51257</v>
      </c>
      <c r="V193" s="22"/>
      <c r="W193" s="22"/>
      <c r="X193" s="22"/>
    </row>
    <row r="194" spans="2:24" x14ac:dyDescent="0.2">
      <c r="B194" s="17">
        <f t="shared" ca="1" si="47"/>
        <v>51257</v>
      </c>
      <c r="C194" s="9">
        <f t="shared" si="59"/>
        <v>190</v>
      </c>
      <c r="D194" s="9"/>
      <c r="E194" s="13">
        <f t="shared" si="48"/>
        <v>2165.1960955892951</v>
      </c>
      <c r="F194" s="14">
        <f t="shared" si="60"/>
        <v>322164.38450165885</v>
      </c>
      <c r="G194" s="15">
        <f t="shared" si="49"/>
        <v>0.35419018231181254</v>
      </c>
      <c r="H194" s="13">
        <f t="shared" si="50"/>
        <v>18922.988819311508</v>
      </c>
      <c r="I194" s="13">
        <f t="shared" si="51"/>
        <v>1153078.5857022696</v>
      </c>
      <c r="J194" s="15">
        <f t="shared" si="44"/>
        <v>0.64580981768818746</v>
      </c>
      <c r="K194" s="13">
        <f t="shared" si="52"/>
        <v>587415.83705863368</v>
      </c>
      <c r="L194" s="13">
        <f t="shared" si="61"/>
        <v>33127606.011058901</v>
      </c>
      <c r="M194" s="15">
        <f t="shared" si="53"/>
        <v>0.64580981768818746</v>
      </c>
      <c r="N194" s="13">
        <f t="shared" si="45"/>
        <v>5421.2367348337757</v>
      </c>
      <c r="O194" s="13">
        <f t="shared" si="54"/>
        <v>565662.74864363519</v>
      </c>
      <c r="P194" s="15">
        <f t="shared" si="46"/>
        <v>0.38343700669554232</v>
      </c>
      <c r="Q194" s="7">
        <f t="shared" si="55"/>
        <v>1475242.9702039277</v>
      </c>
      <c r="R194" s="7">
        <f t="shared" si="56"/>
        <v>909580.22156029253</v>
      </c>
      <c r="S194" s="13">
        <f>IF('Calc (2)'!$AD$32="Sim",R194,Q194)</f>
        <v>909580.22156029253</v>
      </c>
      <c r="T194" s="9">
        <f t="shared" si="57"/>
        <v>190</v>
      </c>
      <c r="U194" s="17">
        <f t="shared" ca="1" si="58"/>
        <v>51288</v>
      </c>
      <c r="V194" s="22"/>
      <c r="W194" s="22"/>
      <c r="X194" s="22"/>
    </row>
    <row r="195" spans="2:24" x14ac:dyDescent="0.2">
      <c r="B195" s="17">
        <f t="shared" ca="1" si="47"/>
        <v>51288</v>
      </c>
      <c r="C195" s="9">
        <f t="shared" si="59"/>
        <v>191</v>
      </c>
      <c r="D195" s="9"/>
      <c r="E195" s="13">
        <f t="shared" si="48"/>
        <v>2174.017372498598</v>
      </c>
      <c r="F195" s="14">
        <f t="shared" si="60"/>
        <v>324338.40187415743</v>
      </c>
      <c r="G195" s="15">
        <f t="shared" si="49"/>
        <v>0.35245085256631326</v>
      </c>
      <c r="H195" s="13">
        <f t="shared" si="50"/>
        <v>19197.410422431927</v>
      </c>
      <c r="I195" s="13">
        <f t="shared" si="51"/>
        <v>1172275.9961247016</v>
      </c>
      <c r="J195" s="15">
        <f t="shared" si="44"/>
        <v>0.64754914743368674</v>
      </c>
      <c r="K195" s="13">
        <f t="shared" si="52"/>
        <v>595898.84400719148</v>
      </c>
      <c r="L195" s="13">
        <f t="shared" si="61"/>
        <v>33723504.855066091</v>
      </c>
      <c r="M195" s="15">
        <f t="shared" si="53"/>
        <v>0.64754914743368686</v>
      </c>
      <c r="N195" s="13">
        <f t="shared" si="45"/>
        <v>5499.7726585953433</v>
      </c>
      <c r="O195" s="13">
        <f t="shared" si="54"/>
        <v>576377.15211750939</v>
      </c>
      <c r="P195" s="15">
        <f t="shared" si="46"/>
        <v>0.38512067830443864</v>
      </c>
      <c r="Q195" s="7">
        <f t="shared" si="55"/>
        <v>1496614.3979988582</v>
      </c>
      <c r="R195" s="7">
        <f t="shared" si="56"/>
        <v>920237.24588134885</v>
      </c>
      <c r="S195" s="13">
        <f>IF('Calc (2)'!$AD$32="Sim",R195,Q195)</f>
        <v>920237.24588134885</v>
      </c>
      <c r="T195" s="9">
        <f t="shared" si="57"/>
        <v>191</v>
      </c>
      <c r="U195" s="17">
        <f t="shared" ca="1" si="58"/>
        <v>51318</v>
      </c>
      <c r="V195" s="22"/>
      <c r="W195" s="22"/>
      <c r="X195" s="22"/>
    </row>
    <row r="196" spans="2:24" x14ac:dyDescent="0.2">
      <c r="B196" s="17">
        <f t="shared" ca="1" si="47"/>
        <v>51318</v>
      </c>
      <c r="C196" s="9">
        <f t="shared" si="59"/>
        <v>192</v>
      </c>
      <c r="D196" s="9">
        <v>16</v>
      </c>
      <c r="E196" s="13">
        <f t="shared" si="48"/>
        <v>2182.8745883819593</v>
      </c>
      <c r="F196" s="14">
        <f t="shared" si="60"/>
        <v>326521.27646253939</v>
      </c>
      <c r="G196" s="15">
        <f t="shared" si="49"/>
        <v>0.3507201370582812</v>
      </c>
      <c r="H196" s="13">
        <f t="shared" si="50"/>
        <v>19475.517879291005</v>
      </c>
      <c r="I196" s="13">
        <f t="shared" si="51"/>
        <v>1191751.5140039925</v>
      </c>
      <c r="J196" s="15">
        <f t="shared" si="44"/>
        <v>0.6492798629417188</v>
      </c>
      <c r="K196" s="13">
        <f t="shared" si="52"/>
        <v>604481.08684994839</v>
      </c>
      <c r="L196" s="13">
        <f t="shared" si="61"/>
        <v>34327985.941916041</v>
      </c>
      <c r="M196" s="15">
        <f t="shared" si="53"/>
        <v>0.64927986294171891</v>
      </c>
      <c r="N196" s="13">
        <f t="shared" si="45"/>
        <v>5579.3631228338991</v>
      </c>
      <c r="O196" s="13">
        <f t="shared" si="54"/>
        <v>587270.42715404346</v>
      </c>
      <c r="P196" s="15">
        <f t="shared" si="46"/>
        <v>0.3868016543809551</v>
      </c>
      <c r="Q196" s="7">
        <f t="shared" si="55"/>
        <v>1518272.7904665312</v>
      </c>
      <c r="R196" s="7">
        <f t="shared" si="56"/>
        <v>931002.36331248772</v>
      </c>
      <c r="S196" s="13">
        <f>IF('Calc (2)'!$AD$32="Sim",R196,Q196)</f>
        <v>931002.36331248772</v>
      </c>
      <c r="T196" s="9">
        <f t="shared" si="57"/>
        <v>192</v>
      </c>
      <c r="U196" s="17">
        <f t="shared" ca="1" si="58"/>
        <v>51349</v>
      </c>
      <c r="V196" s="22"/>
      <c r="W196" s="22"/>
      <c r="X196" s="22"/>
    </row>
    <row r="197" spans="2:24" x14ac:dyDescent="0.2">
      <c r="B197" s="17">
        <f t="shared" ca="1" si="47"/>
        <v>51349</v>
      </c>
      <c r="C197" s="9">
        <f t="shared" si="59"/>
        <v>193</v>
      </c>
      <c r="D197" s="9"/>
      <c r="E197" s="13">
        <f t="shared" si="48"/>
        <v>2191.7678896592079</v>
      </c>
      <c r="F197" s="14">
        <f t="shared" si="60"/>
        <v>328713.0443521986</v>
      </c>
      <c r="G197" s="15">
        <f t="shared" si="49"/>
        <v>0.34899798845806562</v>
      </c>
      <c r="H197" s="13">
        <f t="shared" si="50"/>
        <v>19757.359621763128</v>
      </c>
      <c r="I197" s="13">
        <f t="shared" si="51"/>
        <v>1211508.8736257558</v>
      </c>
      <c r="J197" s="15">
        <f t="shared" ref="J197:J260" si="62">1-G197</f>
        <v>0.65100201154193438</v>
      </c>
      <c r="K197" s="13">
        <f t="shared" si="52"/>
        <v>613163.5716263362</v>
      </c>
      <c r="L197" s="13">
        <f t="shared" si="61"/>
        <v>34941149.513542376</v>
      </c>
      <c r="M197" s="15">
        <f t="shared" si="53"/>
        <v>0.65100201154193438</v>
      </c>
      <c r="N197" s="13">
        <f t="shared" ref="N197:N260" si="63">Q197*Inflação_2</f>
        <v>5660.0219829442613</v>
      </c>
      <c r="O197" s="13">
        <f t="shared" si="54"/>
        <v>598345.30199941876</v>
      </c>
      <c r="P197" s="15">
        <f t="shared" ref="P197:P260" si="64">O197/Q197</f>
        <v>0.38847992942792503</v>
      </c>
      <c r="Q197" s="7">
        <f t="shared" si="55"/>
        <v>1540221.9179779536</v>
      </c>
      <c r="R197" s="7">
        <f t="shared" si="56"/>
        <v>941876.6159785348</v>
      </c>
      <c r="S197" s="13">
        <f>IF('Calc (2)'!$AD$32="Sim",R197,Q197)</f>
        <v>941876.6159785348</v>
      </c>
      <c r="T197" s="9">
        <f t="shared" si="57"/>
        <v>193</v>
      </c>
      <c r="U197" s="17">
        <f t="shared" ca="1" si="58"/>
        <v>51380</v>
      </c>
      <c r="V197" s="22"/>
      <c r="W197" s="22"/>
      <c r="X197" s="22"/>
    </row>
    <row r="198" spans="2:24" x14ac:dyDescent="0.2">
      <c r="B198" s="17">
        <f t="shared" ref="B198:B261" ca="1" si="65">DATE(YEAR(B197),MONTH(B197)+1,1)</f>
        <v>51380</v>
      </c>
      <c r="C198" s="9">
        <f t="shared" si="59"/>
        <v>194</v>
      </c>
      <c r="D198" s="9"/>
      <c r="E198" s="13">
        <f t="shared" ref="E198:E261" si="66">IF($AE$33,IF($AE$34,$E197*(1+Inflação_2)*(1+Crescimento_Salário_2),$E197*(1+Inflação_2)),IF($AE$34,$E197*(1+Crescimento_Salário_2),$E197))</f>
        <v>2200.6974233467054</v>
      </c>
      <c r="F198" s="14">
        <f t="shared" si="60"/>
        <v>330913.74177554529</v>
      </c>
      <c r="G198" s="15">
        <f t="shared" ref="G198:G261" si="67">IF(F198&lt;=0,0,F198/S198)</f>
        <v>0.34728435981761419</v>
      </c>
      <c r="H198" s="13">
        <f t="shared" ref="H198:H261" si="68">Q197*Taxa_2</f>
        <v>20042.984713874444</v>
      </c>
      <c r="I198" s="13">
        <f t="shared" ref="I198:I261" si="69">I197+H198</f>
        <v>1231551.8583396303</v>
      </c>
      <c r="J198" s="15">
        <f t="shared" si="62"/>
        <v>0.65271564018238581</v>
      </c>
      <c r="K198" s="13">
        <f t="shared" ref="K198:K261" si="70">R198-F198</f>
        <v>621947.31407313631</v>
      </c>
      <c r="L198" s="13">
        <f t="shared" si="61"/>
        <v>35563096.827615514</v>
      </c>
      <c r="M198" s="15">
        <f t="shared" ref="M198:M261" si="71">K198/R198</f>
        <v>0.65271564018238581</v>
      </c>
      <c r="N198" s="13">
        <f t="shared" si="63"/>
        <v>5741.7632751624515</v>
      </c>
      <c r="O198" s="13">
        <f t="shared" ref="O198:O261" si="72">Q198-R198</f>
        <v>609604.54426649329</v>
      </c>
      <c r="P198" s="15">
        <f t="shared" si="64"/>
        <v>0.39015549796523979</v>
      </c>
      <c r="Q198" s="7">
        <f t="shared" ref="Q198:Q261" si="73">Q197+E198+H198</f>
        <v>1562465.6001151749</v>
      </c>
      <c r="R198" s="7">
        <f t="shared" ref="R198:R261" si="74">(R197+E198)*(1+((1+Taxa_2)/(1+Inflação_2)-1))</f>
        <v>952861.0558486816</v>
      </c>
      <c r="S198" s="13">
        <f>IF('Calc (2)'!$AD$32="Sim",R198,Q198)</f>
        <v>952861.0558486816</v>
      </c>
      <c r="T198" s="9">
        <f t="shared" ref="T198:T261" si="75">C198</f>
        <v>194</v>
      </c>
      <c r="U198" s="17">
        <f t="shared" ref="U198:U261" ca="1" si="76">DATE(YEAR(U197),MONTH(U197)+1,1)</f>
        <v>51410</v>
      </c>
      <c r="V198" s="22"/>
      <c r="W198" s="22"/>
      <c r="X198" s="22"/>
    </row>
    <row r="199" spans="2:24" x14ac:dyDescent="0.2">
      <c r="B199" s="17">
        <f t="shared" ca="1" si="65"/>
        <v>51410</v>
      </c>
      <c r="C199" s="9">
        <f t="shared" ref="C199:C262" si="77">C198+1</f>
        <v>195</v>
      </c>
      <c r="D199" s="9"/>
      <c r="E199" s="13">
        <f t="shared" si="66"/>
        <v>2209.663337059776</v>
      </c>
      <c r="F199" s="14">
        <f t="shared" ref="F199:F262" si="78">F198+E199</f>
        <v>333123.40511260508</v>
      </c>
      <c r="G199" s="15">
        <f t="shared" si="67"/>
        <v>0.34557920456462909</v>
      </c>
      <c r="H199" s="13">
        <f t="shared" si="68"/>
        <v>20332.442860036856</v>
      </c>
      <c r="I199" s="13">
        <f t="shared" si="69"/>
        <v>1251884.3011996672</v>
      </c>
      <c r="J199" s="15">
        <f t="shared" si="62"/>
        <v>0.65442079543537091</v>
      </c>
      <c r="K199" s="13">
        <f t="shared" si="70"/>
        <v>630833.33971607697</v>
      </c>
      <c r="L199" s="13">
        <f t="shared" ref="L199:L262" si="79">L198+K199</f>
        <v>36193930.167331591</v>
      </c>
      <c r="M199" s="15">
        <f t="shared" si="71"/>
        <v>0.65442079543537091</v>
      </c>
      <c r="N199" s="13">
        <f t="shared" si="63"/>
        <v>5824.6012189211879</v>
      </c>
      <c r="O199" s="13">
        <f t="shared" si="72"/>
        <v>621050.96148358949</v>
      </c>
      <c r="P199" s="15">
        <f t="shared" si="64"/>
        <v>0.39182835453118781</v>
      </c>
      <c r="Q199" s="7">
        <f t="shared" si="73"/>
        <v>1585007.7063122715</v>
      </c>
      <c r="R199" s="7">
        <f t="shared" si="74"/>
        <v>963956.74482868204</v>
      </c>
      <c r="S199" s="13">
        <f>IF('Calc (2)'!$AD$32="Sim",R199,Q199)</f>
        <v>963956.74482868204</v>
      </c>
      <c r="T199" s="9">
        <f t="shared" si="75"/>
        <v>195</v>
      </c>
      <c r="U199" s="17">
        <f t="shared" ca="1" si="76"/>
        <v>51441</v>
      </c>
      <c r="V199" s="22"/>
      <c r="W199" s="22"/>
      <c r="X199" s="22"/>
    </row>
    <row r="200" spans="2:24" x14ac:dyDescent="0.2">
      <c r="B200" s="17">
        <f t="shared" ca="1" si="65"/>
        <v>51441</v>
      </c>
      <c r="C200" s="9">
        <f t="shared" si="77"/>
        <v>196</v>
      </c>
      <c r="D200" s="9"/>
      <c r="E200" s="13">
        <f t="shared" si="66"/>
        <v>2218.6657790151471</v>
      </c>
      <c r="F200" s="14">
        <f t="shared" si="78"/>
        <v>335342.07089162024</v>
      </c>
      <c r="G200" s="15">
        <f t="shared" si="67"/>
        <v>0.34388247649686438</v>
      </c>
      <c r="H200" s="13">
        <f t="shared" si="68"/>
        <v>20625.784413389174</v>
      </c>
      <c r="I200" s="13">
        <f t="shared" si="69"/>
        <v>1272510.0856130563</v>
      </c>
      <c r="J200" s="15">
        <f t="shared" si="62"/>
        <v>0.65611752350313557</v>
      </c>
      <c r="K200" s="13">
        <f t="shared" si="70"/>
        <v>639822.68396228983</v>
      </c>
      <c r="L200" s="13">
        <f t="shared" si="79"/>
        <v>36833752.851293884</v>
      </c>
      <c r="M200" s="15">
        <f t="shared" si="71"/>
        <v>0.65611752350313557</v>
      </c>
      <c r="N200" s="13">
        <f t="shared" si="63"/>
        <v>5908.5502192360464</v>
      </c>
      <c r="O200" s="13">
        <f t="shared" si="72"/>
        <v>632687.40165076568</v>
      </c>
      <c r="P200" s="15">
        <f t="shared" si="64"/>
        <v>0.39349849368375417</v>
      </c>
      <c r="Q200" s="7">
        <f t="shared" si="73"/>
        <v>1607852.1565046757</v>
      </c>
      <c r="R200" s="7">
        <f t="shared" si="74"/>
        <v>975164.75485391007</v>
      </c>
      <c r="S200" s="13">
        <f>IF('Calc (2)'!$AD$32="Sim",R200,Q200)</f>
        <v>975164.75485391007</v>
      </c>
      <c r="T200" s="9">
        <f t="shared" si="75"/>
        <v>196</v>
      </c>
      <c r="U200" s="17">
        <f t="shared" ca="1" si="76"/>
        <v>51471</v>
      </c>
      <c r="V200" s="22"/>
      <c r="W200" s="22"/>
      <c r="X200" s="22"/>
    </row>
    <row r="201" spans="2:24" x14ac:dyDescent="0.2">
      <c r="B201" s="17">
        <f t="shared" ca="1" si="65"/>
        <v>51471</v>
      </c>
      <c r="C201" s="9">
        <f t="shared" si="77"/>
        <v>197</v>
      </c>
      <c r="D201" s="9"/>
      <c r="E201" s="13">
        <f t="shared" si="66"/>
        <v>2227.7048980333993</v>
      </c>
      <c r="F201" s="14">
        <f t="shared" si="78"/>
        <v>337569.77578965365</v>
      </c>
      <c r="G201" s="15">
        <f t="shared" si="67"/>
        <v>0.34219412977656005</v>
      </c>
      <c r="H201" s="13">
        <f t="shared" si="68"/>
        <v>20923.060384246884</v>
      </c>
      <c r="I201" s="13">
        <f t="shared" si="69"/>
        <v>1293433.1459973033</v>
      </c>
      <c r="J201" s="15">
        <f t="shared" si="62"/>
        <v>0.65780587022343995</v>
      </c>
      <c r="K201" s="13">
        <f t="shared" si="70"/>
        <v>648916.39219363139</v>
      </c>
      <c r="L201" s="13">
        <f t="shared" si="79"/>
        <v>37482669.243487515</v>
      </c>
      <c r="M201" s="15">
        <f t="shared" si="71"/>
        <v>0.65780587022343995</v>
      </c>
      <c r="N201" s="13">
        <f t="shared" si="63"/>
        <v>5993.6248691226765</v>
      </c>
      <c r="O201" s="13">
        <f t="shared" si="72"/>
        <v>644516.75380367099</v>
      </c>
      <c r="P201" s="15">
        <f t="shared" si="64"/>
        <v>0.39516591000188206</v>
      </c>
      <c r="Q201" s="7">
        <f t="shared" si="73"/>
        <v>1631002.921786956</v>
      </c>
      <c r="R201" s="7">
        <f t="shared" si="74"/>
        <v>986486.16798328504</v>
      </c>
      <c r="S201" s="13">
        <f>IF('Calc (2)'!$AD$32="Sim",R201,Q201)</f>
        <v>986486.16798328504</v>
      </c>
      <c r="T201" s="9">
        <f t="shared" si="75"/>
        <v>197</v>
      </c>
      <c r="U201" s="17">
        <f t="shared" ca="1" si="76"/>
        <v>51502</v>
      </c>
      <c r="V201" s="22"/>
      <c r="W201" s="22"/>
      <c r="X201" s="22"/>
    </row>
    <row r="202" spans="2:24" x14ac:dyDescent="0.2">
      <c r="B202" s="17">
        <f t="shared" ca="1" si="65"/>
        <v>51502</v>
      </c>
      <c r="C202" s="9">
        <f t="shared" si="77"/>
        <v>198</v>
      </c>
      <c r="D202" s="9"/>
      <c r="E202" s="13">
        <f t="shared" si="66"/>
        <v>2236.7808435414272</v>
      </c>
      <c r="F202" s="14">
        <f t="shared" si="78"/>
        <v>339806.55663319508</v>
      </c>
      <c r="G202" s="15">
        <f t="shared" si="67"/>
        <v>0.34051411892500921</v>
      </c>
      <c r="H202" s="13">
        <f t="shared" si="68"/>
        <v>21224.322448661867</v>
      </c>
      <c r="I202" s="13">
        <f t="shared" si="69"/>
        <v>1314657.4684459651</v>
      </c>
      <c r="J202" s="15">
        <f t="shared" si="62"/>
        <v>0.65948588107499084</v>
      </c>
      <c r="K202" s="13">
        <f t="shared" si="70"/>
        <v>658115.51986087835</v>
      </c>
      <c r="L202" s="13">
        <f t="shared" si="79"/>
        <v>38140784.763348393</v>
      </c>
      <c r="M202" s="15">
        <f t="shared" si="71"/>
        <v>0.65948588107499073</v>
      </c>
      <c r="N202" s="13">
        <f t="shared" si="63"/>
        <v>6079.839952045485</v>
      </c>
      <c r="O202" s="13">
        <f t="shared" si="72"/>
        <v>656541.9485850858</v>
      </c>
      <c r="P202" s="15">
        <f t="shared" si="64"/>
        <v>0.39683059808669635</v>
      </c>
      <c r="Q202" s="7">
        <f t="shared" si="73"/>
        <v>1654464.0250791593</v>
      </c>
      <c r="R202" s="7">
        <f t="shared" si="74"/>
        <v>997922.0764940735</v>
      </c>
      <c r="S202" s="13">
        <f>IF('Calc (2)'!$AD$32="Sim",R202,Q202)</f>
        <v>997922.0764940735</v>
      </c>
      <c r="T202" s="9">
        <f t="shared" si="75"/>
        <v>198</v>
      </c>
      <c r="U202" s="17">
        <f t="shared" ca="1" si="76"/>
        <v>51533</v>
      </c>
      <c r="V202" s="22"/>
      <c r="W202" s="22"/>
      <c r="X202" s="22"/>
    </row>
    <row r="203" spans="2:24" x14ac:dyDescent="0.2">
      <c r="B203" s="17">
        <f t="shared" ca="1" si="65"/>
        <v>51533</v>
      </c>
      <c r="C203" s="9">
        <f t="shared" si="77"/>
        <v>199</v>
      </c>
      <c r="D203" s="9"/>
      <c r="E203" s="13">
        <f t="shared" si="66"/>
        <v>2245.8937655749082</v>
      </c>
      <c r="F203" s="14">
        <f t="shared" si="78"/>
        <v>342052.45039876999</v>
      </c>
      <c r="G203" s="15">
        <f t="shared" si="67"/>
        <v>0.33884239881725381</v>
      </c>
      <c r="H203" s="13">
        <f t="shared" si="68"/>
        <v>21529.622957093528</v>
      </c>
      <c r="I203" s="13">
        <f t="shared" si="69"/>
        <v>1336187.0914030587</v>
      </c>
      <c r="J203" s="15">
        <f t="shared" si="62"/>
        <v>0.66115760118274625</v>
      </c>
      <c r="K203" s="13">
        <f t="shared" si="70"/>
        <v>667421.13257880602</v>
      </c>
      <c r="L203" s="13">
        <f t="shared" si="79"/>
        <v>38808205.895927198</v>
      </c>
      <c r="M203" s="15">
        <f t="shared" si="71"/>
        <v>0.66115760118274614</v>
      </c>
      <c r="N203" s="13">
        <f t="shared" si="63"/>
        <v>6167.2104443981916</v>
      </c>
      <c r="O203" s="13">
        <f t="shared" si="72"/>
        <v>668765.95882425189</v>
      </c>
      <c r="P203" s="15">
        <f t="shared" si="64"/>
        <v>0.39849255256269128</v>
      </c>
      <c r="Q203" s="7">
        <f t="shared" si="73"/>
        <v>1678239.541801828</v>
      </c>
      <c r="R203" s="7">
        <f t="shared" si="74"/>
        <v>1009473.5829775761</v>
      </c>
      <c r="S203" s="13">
        <f>IF('Calc (2)'!$AD$32="Sim",R203,Q203)</f>
        <v>1009473.5829775761</v>
      </c>
      <c r="T203" s="9">
        <f t="shared" si="75"/>
        <v>199</v>
      </c>
      <c r="U203" s="17">
        <f t="shared" ca="1" si="76"/>
        <v>51561</v>
      </c>
      <c r="V203" s="22"/>
      <c r="W203" s="22"/>
      <c r="X203" s="22"/>
    </row>
    <row r="204" spans="2:24" x14ac:dyDescent="0.2">
      <c r="B204" s="17">
        <f t="shared" ca="1" si="65"/>
        <v>51561</v>
      </c>
      <c r="C204" s="9">
        <f t="shared" si="77"/>
        <v>200</v>
      </c>
      <c r="D204" s="9"/>
      <c r="E204" s="13">
        <f t="shared" si="66"/>
        <v>2255.0438147807845</v>
      </c>
      <c r="F204" s="14">
        <f t="shared" si="78"/>
        <v>344307.49421355076</v>
      </c>
      <c r="G204" s="15">
        <f t="shared" si="67"/>
        <v>0.33717892467690552</v>
      </c>
      <c r="H204" s="13">
        <f t="shared" si="68"/>
        <v>21839.014943192855</v>
      </c>
      <c r="I204" s="13">
        <f t="shared" si="69"/>
        <v>1358026.1063462517</v>
      </c>
      <c r="J204" s="15">
        <f t="shared" si="62"/>
        <v>0.66282107532309453</v>
      </c>
      <c r="K204" s="13">
        <f t="shared" si="70"/>
        <v>676834.30622215569</v>
      </c>
      <c r="L204" s="13">
        <f t="shared" si="79"/>
        <v>39485040.202149354</v>
      </c>
      <c r="M204" s="15">
        <f t="shared" si="71"/>
        <v>0.66282107532309453</v>
      </c>
      <c r="N204" s="13">
        <f t="shared" si="63"/>
        <v>6255.751518016672</v>
      </c>
      <c r="O204" s="13">
        <f t="shared" si="72"/>
        <v>681191.8001240954</v>
      </c>
      <c r="P204" s="15">
        <f t="shared" si="64"/>
        <v>0.40015176807888286</v>
      </c>
      <c r="Q204" s="7">
        <f t="shared" si="73"/>
        <v>1702333.6005598018</v>
      </c>
      <c r="R204" s="7">
        <f t="shared" si="74"/>
        <v>1021141.8004357064</v>
      </c>
      <c r="S204" s="13">
        <f>IF('Calc (2)'!$AD$32="Sim",R204,Q204)</f>
        <v>1021141.8004357064</v>
      </c>
      <c r="T204" s="9">
        <f t="shared" si="75"/>
        <v>200</v>
      </c>
      <c r="U204" s="17">
        <f t="shared" ca="1" si="76"/>
        <v>51592</v>
      </c>
      <c r="V204" s="22"/>
      <c r="W204" s="22"/>
      <c r="X204" s="22"/>
    </row>
    <row r="205" spans="2:24" x14ac:dyDescent="0.2">
      <c r="B205" s="17">
        <f t="shared" ca="1" si="65"/>
        <v>51592</v>
      </c>
      <c r="C205" s="9">
        <f t="shared" si="77"/>
        <v>201</v>
      </c>
      <c r="D205" s="9"/>
      <c r="E205" s="13">
        <f t="shared" si="66"/>
        <v>2264.2311424197519</v>
      </c>
      <c r="F205" s="14">
        <f t="shared" si="78"/>
        <v>346571.7253559705</v>
      </c>
      <c r="G205" s="15">
        <f t="shared" si="67"/>
        <v>0.33552365207108814</v>
      </c>
      <c r="H205" s="13">
        <f t="shared" si="68"/>
        <v>22152.552132700748</v>
      </c>
      <c r="I205" s="13">
        <f t="shared" si="69"/>
        <v>1380178.6584789525</v>
      </c>
      <c r="J205" s="15">
        <f t="shared" si="62"/>
        <v>0.66447634792891186</v>
      </c>
      <c r="K205" s="13">
        <f t="shared" si="70"/>
        <v>686356.12702250085</v>
      </c>
      <c r="L205" s="13">
        <f t="shared" si="79"/>
        <v>40171396.329171851</v>
      </c>
      <c r="M205" s="15">
        <f t="shared" si="71"/>
        <v>0.66447634792891186</v>
      </c>
      <c r="N205" s="13">
        <f t="shared" si="63"/>
        <v>6345.4785427245142</v>
      </c>
      <c r="O205" s="13">
        <f t="shared" si="72"/>
        <v>693822.53145645116</v>
      </c>
      <c r="P205" s="15">
        <f t="shared" si="64"/>
        <v>0.40180823930992721</v>
      </c>
      <c r="Q205" s="7">
        <f t="shared" si="73"/>
        <v>1726750.3838349225</v>
      </c>
      <c r="R205" s="7">
        <f t="shared" si="74"/>
        <v>1032927.8523784713</v>
      </c>
      <c r="S205" s="13">
        <f>IF('Calc (2)'!$AD$32="Sim",R205,Q205)</f>
        <v>1032927.8523784713</v>
      </c>
      <c r="T205" s="9">
        <f t="shared" si="75"/>
        <v>201</v>
      </c>
      <c r="U205" s="17">
        <f t="shared" ca="1" si="76"/>
        <v>51622</v>
      </c>
      <c r="V205" s="22"/>
      <c r="W205" s="22"/>
      <c r="X205" s="22"/>
    </row>
    <row r="206" spans="2:24" x14ac:dyDescent="0.2">
      <c r="B206" s="17">
        <f t="shared" ca="1" si="65"/>
        <v>51622</v>
      </c>
      <c r="C206" s="9">
        <f t="shared" si="77"/>
        <v>202</v>
      </c>
      <c r="D206" s="9"/>
      <c r="E206" s="13">
        <f t="shared" si="66"/>
        <v>2273.4559003687614</v>
      </c>
      <c r="F206" s="14">
        <f t="shared" si="78"/>
        <v>348845.18125633925</v>
      </c>
      <c r="G206" s="15">
        <f t="shared" si="67"/>
        <v>0.33387653690549712</v>
      </c>
      <c r="H206" s="13">
        <f t="shared" si="68"/>
        <v>22470.288952462219</v>
      </c>
      <c r="I206" s="13">
        <f t="shared" si="69"/>
        <v>1402648.9474314146</v>
      </c>
      <c r="J206" s="15">
        <f t="shared" si="62"/>
        <v>0.66612346309450288</v>
      </c>
      <c r="K206" s="13">
        <f t="shared" si="70"/>
        <v>695987.69166602171</v>
      </c>
      <c r="L206" s="13">
        <f t="shared" si="79"/>
        <v>40867384.020837873</v>
      </c>
      <c r="M206" s="15">
        <f t="shared" si="71"/>
        <v>0.66612346309450288</v>
      </c>
      <c r="N206" s="13">
        <f t="shared" si="63"/>
        <v>6436.4070889117083</v>
      </c>
      <c r="O206" s="13">
        <f t="shared" si="72"/>
        <v>706661.25576539233</v>
      </c>
      <c r="P206" s="15">
        <f t="shared" si="64"/>
        <v>0.4034619609572051</v>
      </c>
      <c r="Q206" s="7">
        <f t="shared" si="73"/>
        <v>1751494.1286877533</v>
      </c>
      <c r="R206" s="7">
        <f t="shared" si="74"/>
        <v>1044832.872922361</v>
      </c>
      <c r="S206" s="13">
        <f>IF('Calc (2)'!$AD$32="Sim",R206,Q206)</f>
        <v>1044832.872922361</v>
      </c>
      <c r="T206" s="9">
        <f t="shared" si="75"/>
        <v>202</v>
      </c>
      <c r="U206" s="17">
        <f t="shared" ca="1" si="76"/>
        <v>51653</v>
      </c>
      <c r="V206" s="22"/>
      <c r="W206" s="22"/>
      <c r="X206" s="22"/>
    </row>
    <row r="207" spans="2:24" x14ac:dyDescent="0.2">
      <c r="B207" s="17">
        <f t="shared" ca="1" si="65"/>
        <v>51653</v>
      </c>
      <c r="C207" s="9">
        <f t="shared" si="77"/>
        <v>203</v>
      </c>
      <c r="D207" s="9"/>
      <c r="E207" s="13">
        <f t="shared" si="66"/>
        <v>2282.7182411235294</v>
      </c>
      <c r="F207" s="14">
        <f t="shared" si="78"/>
        <v>351127.89949746279</v>
      </c>
      <c r="G207" s="15">
        <f t="shared" si="67"/>
        <v>0.33223753541957407</v>
      </c>
      <c r="H207" s="13">
        <f t="shared" si="68"/>
        <v>22792.280539557916</v>
      </c>
      <c r="I207" s="13">
        <f t="shared" si="69"/>
        <v>1425441.2279709724</v>
      </c>
      <c r="J207" s="15">
        <f t="shared" si="62"/>
        <v>0.66776246458042587</v>
      </c>
      <c r="K207" s="13">
        <f t="shared" si="70"/>
        <v>705730.10739219387</v>
      </c>
      <c r="L207" s="13">
        <f t="shared" si="79"/>
        <v>41573114.128230065</v>
      </c>
      <c r="M207" s="15">
        <f t="shared" si="71"/>
        <v>0.66776246458042587</v>
      </c>
      <c r="N207" s="13">
        <f t="shared" si="63"/>
        <v>6528.5529301468987</v>
      </c>
      <c r="O207" s="13">
        <f t="shared" si="72"/>
        <v>719711.12057877798</v>
      </c>
      <c r="P207" s="15">
        <f t="shared" si="64"/>
        <v>0.40511292774987473</v>
      </c>
      <c r="Q207" s="7">
        <f t="shared" si="73"/>
        <v>1776569.1274684346</v>
      </c>
      <c r="R207" s="7">
        <f t="shared" si="74"/>
        <v>1056858.0068896567</v>
      </c>
      <c r="S207" s="13">
        <f>IF('Calc (2)'!$AD$32="Sim",R207,Q207)</f>
        <v>1056858.0068896567</v>
      </c>
      <c r="T207" s="9">
        <f t="shared" si="75"/>
        <v>203</v>
      </c>
      <c r="U207" s="17">
        <f t="shared" ca="1" si="76"/>
        <v>51683</v>
      </c>
      <c r="V207" s="22"/>
      <c r="W207" s="22"/>
      <c r="X207" s="22"/>
    </row>
    <row r="208" spans="2:24" x14ac:dyDescent="0.2">
      <c r="B208" s="17">
        <f t="shared" ca="1" si="65"/>
        <v>51683</v>
      </c>
      <c r="C208" s="9">
        <f t="shared" si="77"/>
        <v>204</v>
      </c>
      <c r="D208" s="9">
        <v>17</v>
      </c>
      <c r="E208" s="13">
        <f t="shared" si="66"/>
        <v>2292.0183178010589</v>
      </c>
      <c r="F208" s="14">
        <f t="shared" si="78"/>
        <v>353419.91781526385</v>
      </c>
      <c r="G208" s="15">
        <f t="shared" si="67"/>
        <v>0.33060660418179183</v>
      </c>
      <c r="H208" s="13">
        <f t="shared" si="68"/>
        <v>23118.582750554506</v>
      </c>
      <c r="I208" s="13">
        <f t="shared" si="69"/>
        <v>1448559.8107215269</v>
      </c>
      <c r="J208" s="15">
        <f t="shared" si="62"/>
        <v>0.66939339581820811</v>
      </c>
      <c r="K208" s="13">
        <f t="shared" si="70"/>
        <v>715584.4920934008</v>
      </c>
      <c r="L208" s="13">
        <f t="shared" si="79"/>
        <v>42288698.620323464</v>
      </c>
      <c r="M208" s="15">
        <f t="shared" si="71"/>
        <v>0.66939339581820811</v>
      </c>
      <c r="N208" s="13">
        <f t="shared" si="63"/>
        <v>6621.9320458236416</v>
      </c>
      <c r="O208" s="13">
        <f t="shared" si="72"/>
        <v>732975.31862812536</v>
      </c>
      <c r="P208" s="15">
        <f t="shared" si="64"/>
        <v>0.40676113444589207</v>
      </c>
      <c r="Q208" s="7">
        <f t="shared" si="73"/>
        <v>1801979.72853679</v>
      </c>
      <c r="R208" s="7">
        <f t="shared" si="74"/>
        <v>1069004.4099086646</v>
      </c>
      <c r="S208" s="13">
        <f>IF('Calc (2)'!$AD$32="Sim",R208,Q208)</f>
        <v>1069004.4099086646</v>
      </c>
      <c r="T208" s="9">
        <f t="shared" si="75"/>
        <v>204</v>
      </c>
      <c r="U208" s="17">
        <f t="shared" ca="1" si="76"/>
        <v>51714</v>
      </c>
      <c r="V208" s="22"/>
      <c r="W208" s="22"/>
      <c r="X208" s="22"/>
    </row>
    <row r="209" spans="2:24" x14ac:dyDescent="0.2">
      <c r="B209" s="17">
        <f t="shared" ca="1" si="65"/>
        <v>51714</v>
      </c>
      <c r="C209" s="9">
        <f t="shared" si="77"/>
        <v>205</v>
      </c>
      <c r="D209" s="9"/>
      <c r="E209" s="13">
        <f t="shared" si="66"/>
        <v>2301.3562841421699</v>
      </c>
      <c r="F209" s="14">
        <f t="shared" si="78"/>
        <v>355721.27409940603</v>
      </c>
      <c r="G209" s="15">
        <f t="shared" si="67"/>
        <v>0.32898370008504718</v>
      </c>
      <c r="H209" s="13">
        <f t="shared" si="68"/>
        <v>23449.252170875468</v>
      </c>
      <c r="I209" s="13">
        <f t="shared" si="69"/>
        <v>1472009.0628924023</v>
      </c>
      <c r="J209" s="15">
        <f t="shared" si="62"/>
        <v>0.67101629991495282</v>
      </c>
      <c r="K209" s="13">
        <f t="shared" si="70"/>
        <v>725551.97441548016</v>
      </c>
      <c r="L209" s="13">
        <f t="shared" si="79"/>
        <v>43014250.594738945</v>
      </c>
      <c r="M209" s="15">
        <f t="shared" si="71"/>
        <v>0.67101629991495271</v>
      </c>
      <c r="N209" s="13">
        <f t="shared" si="63"/>
        <v>6716.5606238411092</v>
      </c>
      <c r="O209" s="13">
        <f t="shared" si="72"/>
        <v>746457.08847692143</v>
      </c>
      <c r="P209" s="15">
        <f t="shared" si="64"/>
        <v>0.40840657583300116</v>
      </c>
      <c r="Q209" s="7">
        <f t="shared" si="73"/>
        <v>1827730.3369918077</v>
      </c>
      <c r="R209" s="7">
        <f t="shared" si="74"/>
        <v>1081273.2485148862</v>
      </c>
      <c r="S209" s="13">
        <f>IF('Calc (2)'!$AD$32="Sim",R209,Q209)</f>
        <v>1081273.2485148862</v>
      </c>
      <c r="T209" s="9">
        <f t="shared" si="75"/>
        <v>205</v>
      </c>
      <c r="U209" s="17">
        <f t="shared" ca="1" si="76"/>
        <v>51745</v>
      </c>
      <c r="V209" s="22"/>
      <c r="W209" s="22"/>
      <c r="X209" s="22"/>
    </row>
    <row r="210" spans="2:24" x14ac:dyDescent="0.2">
      <c r="B210" s="17">
        <f t="shared" ca="1" si="65"/>
        <v>51745</v>
      </c>
      <c r="C210" s="9">
        <f t="shared" si="77"/>
        <v>206</v>
      </c>
      <c r="D210" s="9"/>
      <c r="E210" s="13">
        <f t="shared" si="66"/>
        <v>2310.7322945140422</v>
      </c>
      <c r="F210" s="14">
        <f t="shared" si="78"/>
        <v>358032.00639392005</v>
      </c>
      <c r="G210" s="15">
        <f t="shared" si="67"/>
        <v>0.32736878034215855</v>
      </c>
      <c r="H210" s="13">
        <f t="shared" si="68"/>
        <v>23784.346124293857</v>
      </c>
      <c r="I210" s="13">
        <f t="shared" si="69"/>
        <v>1495793.409016696</v>
      </c>
      <c r="J210" s="15">
        <f t="shared" si="62"/>
        <v>0.67263121965784145</v>
      </c>
      <c r="K210" s="13">
        <f t="shared" si="70"/>
        <v>735633.69385921035</v>
      </c>
      <c r="L210" s="13">
        <f t="shared" si="79"/>
        <v>43749884.288598157</v>
      </c>
      <c r="M210" s="15">
        <f t="shared" si="71"/>
        <v>0.67263121965784145</v>
      </c>
      <c r="N210" s="13">
        <f t="shared" si="63"/>
        <v>6812.4550633196814</v>
      </c>
      <c r="O210" s="13">
        <f t="shared" si="72"/>
        <v>760159.7151574851</v>
      </c>
      <c r="P210" s="15">
        <f t="shared" si="64"/>
        <v>0.41004924672969406</v>
      </c>
      <c r="Q210" s="7">
        <f t="shared" si="73"/>
        <v>1853825.4154106155</v>
      </c>
      <c r="R210" s="7">
        <f t="shared" si="74"/>
        <v>1093665.7002531304</v>
      </c>
      <c r="S210" s="13">
        <f>IF('Calc (2)'!$AD$32="Sim",R210,Q210)</f>
        <v>1093665.7002531304</v>
      </c>
      <c r="T210" s="9">
        <f t="shared" si="75"/>
        <v>206</v>
      </c>
      <c r="U210" s="17">
        <f t="shared" ca="1" si="76"/>
        <v>51775</v>
      </c>
      <c r="V210" s="22"/>
      <c r="W210" s="22"/>
      <c r="X210" s="22"/>
    </row>
    <row r="211" spans="2:24" x14ac:dyDescent="0.2">
      <c r="B211" s="17">
        <f t="shared" ca="1" si="65"/>
        <v>51775</v>
      </c>
      <c r="C211" s="9">
        <f t="shared" si="77"/>
        <v>207</v>
      </c>
      <c r="D211" s="9"/>
      <c r="E211" s="13">
        <f t="shared" si="66"/>
        <v>2320.1465039127661</v>
      </c>
      <c r="F211" s="14">
        <f t="shared" si="78"/>
        <v>360352.1528978328</v>
      </c>
      <c r="G211" s="15">
        <f t="shared" si="67"/>
        <v>0.32576180248146502</v>
      </c>
      <c r="H211" s="13">
        <f t="shared" si="68"/>
        <v>24123.922682548629</v>
      </c>
      <c r="I211" s="13">
        <f t="shared" si="69"/>
        <v>1519917.3316992447</v>
      </c>
      <c r="J211" s="15">
        <f t="shared" si="62"/>
        <v>0.67423819751853498</v>
      </c>
      <c r="K211" s="13">
        <f t="shared" si="70"/>
        <v>745830.80088274705</v>
      </c>
      <c r="L211" s="13">
        <f t="shared" si="79"/>
        <v>44495715.089480907</v>
      </c>
      <c r="M211" s="15">
        <f t="shared" si="71"/>
        <v>0.67423819751853498</v>
      </c>
      <c r="N211" s="13">
        <f t="shared" si="63"/>
        <v>6909.6319773518917</v>
      </c>
      <c r="O211" s="13">
        <f t="shared" si="72"/>
        <v>774086.53081649705</v>
      </c>
      <c r="P211" s="15">
        <f t="shared" si="64"/>
        <v>0.41168914198614254</v>
      </c>
      <c r="Q211" s="7">
        <f t="shared" si="73"/>
        <v>1880269.4845970769</v>
      </c>
      <c r="R211" s="7">
        <f t="shared" si="74"/>
        <v>1106182.9537805798</v>
      </c>
      <c r="S211" s="13">
        <f>IF('Calc (2)'!$AD$32="Sim",R211,Q211)</f>
        <v>1106182.9537805798</v>
      </c>
      <c r="T211" s="9">
        <f t="shared" si="75"/>
        <v>207</v>
      </c>
      <c r="U211" s="17">
        <f t="shared" ca="1" si="76"/>
        <v>51806</v>
      </c>
      <c r="V211" s="22"/>
      <c r="W211" s="22"/>
      <c r="X211" s="22"/>
    </row>
    <row r="212" spans="2:24" x14ac:dyDescent="0.2">
      <c r="B212" s="17">
        <f t="shared" ca="1" si="65"/>
        <v>51806</v>
      </c>
      <c r="C212" s="9">
        <f t="shared" si="77"/>
        <v>208</v>
      </c>
      <c r="D212" s="9"/>
      <c r="E212" s="13">
        <f t="shared" si="66"/>
        <v>2329.5990679659058</v>
      </c>
      <c r="F212" s="14">
        <f t="shared" si="78"/>
        <v>362681.75196579873</v>
      </c>
      <c r="G212" s="15">
        <f t="shared" si="67"/>
        <v>0.32416272434252402</v>
      </c>
      <c r="H212" s="13">
        <f t="shared" si="68"/>
        <v>24468.040675086162</v>
      </c>
      <c r="I212" s="13">
        <f t="shared" si="69"/>
        <v>1544385.3723743309</v>
      </c>
      <c r="J212" s="15">
        <f t="shared" si="62"/>
        <v>0.67583727565747598</v>
      </c>
      <c r="K212" s="13">
        <f t="shared" si="70"/>
        <v>756144.45700502023</v>
      </c>
      <c r="L212" s="13">
        <f t="shared" si="79"/>
        <v>45251859.546485931</v>
      </c>
      <c r="M212" s="15">
        <f t="shared" si="71"/>
        <v>0.67583727565747609</v>
      </c>
      <c r="N212" s="13">
        <f t="shared" si="63"/>
        <v>7008.1081957891802</v>
      </c>
      <c r="O212" s="13">
        <f t="shared" si="72"/>
        <v>788240.91536931018</v>
      </c>
      <c r="P212" s="15">
        <f t="shared" si="64"/>
        <v>0.41332625648509996</v>
      </c>
      <c r="Q212" s="7">
        <f t="shared" si="73"/>
        <v>1907067.1243401291</v>
      </c>
      <c r="R212" s="7">
        <f t="shared" si="74"/>
        <v>1118826.2089708189</v>
      </c>
      <c r="S212" s="13">
        <f>IF('Calc (2)'!$AD$32="Sim",R212,Q212)</f>
        <v>1118826.2089708189</v>
      </c>
      <c r="T212" s="9">
        <f t="shared" si="75"/>
        <v>208</v>
      </c>
      <c r="U212" s="17">
        <f t="shared" ca="1" si="76"/>
        <v>51836</v>
      </c>
      <c r="V212" s="22"/>
      <c r="W212" s="22"/>
      <c r="X212" s="22"/>
    </row>
    <row r="213" spans="2:24" x14ac:dyDescent="0.2">
      <c r="B213" s="17">
        <f t="shared" ca="1" si="65"/>
        <v>51836</v>
      </c>
      <c r="C213" s="9">
        <f t="shared" si="77"/>
        <v>209</v>
      </c>
      <c r="D213" s="9"/>
      <c r="E213" s="13">
        <f t="shared" si="66"/>
        <v>2339.0901429350706</v>
      </c>
      <c r="F213" s="14">
        <f t="shared" si="78"/>
        <v>365020.84210873378</v>
      </c>
      <c r="G213" s="15">
        <f t="shared" si="67"/>
        <v>0.32257150407190477</v>
      </c>
      <c r="H213" s="13">
        <f t="shared" si="68"/>
        <v>24816.759698928545</v>
      </c>
      <c r="I213" s="13">
        <f t="shared" si="69"/>
        <v>1569202.1320732594</v>
      </c>
      <c r="J213" s="15">
        <f t="shared" si="62"/>
        <v>0.67742849592809518</v>
      </c>
      <c r="K213" s="13">
        <f t="shared" si="70"/>
        <v>766575.8349100973</v>
      </c>
      <c r="L213" s="13">
        <f t="shared" si="79"/>
        <v>46018435.381396025</v>
      </c>
      <c r="M213" s="15">
        <f t="shared" si="71"/>
        <v>0.67742849592809529</v>
      </c>
      <c r="N213" s="13">
        <f t="shared" si="63"/>
        <v>7107.900768064912</v>
      </c>
      <c r="O213" s="13">
        <f t="shared" si="72"/>
        <v>802626.29716316168</v>
      </c>
      <c r="P213" s="15">
        <f t="shared" si="64"/>
        <v>0.41496058514277678</v>
      </c>
      <c r="Q213" s="7">
        <f t="shared" si="73"/>
        <v>1934222.9741819927</v>
      </c>
      <c r="R213" s="7">
        <f t="shared" si="74"/>
        <v>1131596.677018831</v>
      </c>
      <c r="S213" s="13">
        <f>IF('Calc (2)'!$AD$32="Sim",R213,Q213)</f>
        <v>1131596.677018831</v>
      </c>
      <c r="T213" s="9">
        <f t="shared" si="75"/>
        <v>209</v>
      </c>
      <c r="U213" s="17">
        <f t="shared" ca="1" si="76"/>
        <v>51867</v>
      </c>
      <c r="V213" s="22"/>
      <c r="W213" s="22"/>
      <c r="X213" s="22"/>
    </row>
    <row r="214" spans="2:24" x14ac:dyDescent="0.2">
      <c r="B214" s="17">
        <f t="shared" ca="1" si="65"/>
        <v>51867</v>
      </c>
      <c r="C214" s="9">
        <f t="shared" si="77"/>
        <v>210</v>
      </c>
      <c r="D214" s="9"/>
      <c r="E214" s="13">
        <f t="shared" si="66"/>
        <v>2348.6198857185</v>
      </c>
      <c r="F214" s="14">
        <f t="shared" si="78"/>
        <v>367369.46199445229</v>
      </c>
      <c r="G214" s="15">
        <f t="shared" si="67"/>
        <v>0.32098810011907558</v>
      </c>
      <c r="H214" s="13">
        <f t="shared" si="68"/>
        <v>25170.140128670311</v>
      </c>
      <c r="I214" s="13">
        <f t="shared" si="69"/>
        <v>1594372.2722019297</v>
      </c>
      <c r="J214" s="15">
        <f t="shared" si="62"/>
        <v>0.67901189988092447</v>
      </c>
      <c r="K214" s="13">
        <f t="shared" si="70"/>
        <v>777126.11855252378</v>
      </c>
      <c r="L214" s="13">
        <f t="shared" si="79"/>
        <v>46795561.499948546</v>
      </c>
      <c r="M214" s="15">
        <f t="shared" si="71"/>
        <v>0.67901189988092436</v>
      </c>
      <c r="N214" s="13">
        <f t="shared" si="63"/>
        <v>7209.0269660541535</v>
      </c>
      <c r="O214" s="13">
        <f t="shared" si="72"/>
        <v>817246.15364940534</v>
      </c>
      <c r="P214" s="15">
        <f t="shared" si="64"/>
        <v>0.416592122909689</v>
      </c>
      <c r="Q214" s="7">
        <f t="shared" si="73"/>
        <v>1961741.7341963814</v>
      </c>
      <c r="R214" s="7">
        <f t="shared" si="74"/>
        <v>1144495.5805469761</v>
      </c>
      <c r="S214" s="13">
        <f>IF('Calc (2)'!$AD$32="Sim",R214,Q214)</f>
        <v>1144495.5805469761</v>
      </c>
      <c r="T214" s="9">
        <f t="shared" si="75"/>
        <v>210</v>
      </c>
      <c r="U214" s="17">
        <f t="shared" ca="1" si="76"/>
        <v>51898</v>
      </c>
      <c r="V214" s="22"/>
      <c r="W214" s="22"/>
      <c r="X214" s="22"/>
    </row>
    <row r="215" spans="2:24" x14ac:dyDescent="0.2">
      <c r="B215" s="17">
        <f t="shared" ca="1" si="65"/>
        <v>51898</v>
      </c>
      <c r="C215" s="9">
        <f t="shared" si="77"/>
        <v>211</v>
      </c>
      <c r="D215" s="9"/>
      <c r="E215" s="13">
        <f t="shared" si="66"/>
        <v>2358.1884538536551</v>
      </c>
      <c r="F215" s="14">
        <f t="shared" si="78"/>
        <v>369727.65044830594</v>
      </c>
      <c r="G215" s="15">
        <f t="shared" si="67"/>
        <v>0.31941247123238048</v>
      </c>
      <c r="H215" s="13">
        <f t="shared" si="68"/>
        <v>25528.243126605361</v>
      </c>
      <c r="I215" s="13">
        <f t="shared" si="69"/>
        <v>1619900.5153285351</v>
      </c>
      <c r="J215" s="15">
        <f t="shared" si="62"/>
        <v>0.68058752876761952</v>
      </c>
      <c r="K215" s="13">
        <f t="shared" si="70"/>
        <v>787796.50326365069</v>
      </c>
      <c r="L215" s="13">
        <f t="shared" si="79"/>
        <v>47583358.003212199</v>
      </c>
      <c r="M215" s="15">
        <f t="shared" si="71"/>
        <v>0.68058752876761941</v>
      </c>
      <c r="N215" s="13">
        <f t="shared" si="63"/>
        <v>7311.5042869706631</v>
      </c>
      <c r="O215" s="13">
        <f t="shared" si="72"/>
        <v>832104.01206488372</v>
      </c>
      <c r="P215" s="15">
        <f t="shared" si="64"/>
        <v>0.41822086477147996</v>
      </c>
      <c r="Q215" s="7">
        <f t="shared" si="73"/>
        <v>1989628.1657768404</v>
      </c>
      <c r="R215" s="7">
        <f t="shared" si="74"/>
        <v>1157524.1537119567</v>
      </c>
      <c r="S215" s="13">
        <f>IF('Calc (2)'!$AD$32="Sim",R215,Q215)</f>
        <v>1157524.1537119567</v>
      </c>
      <c r="T215" s="9">
        <f t="shared" si="75"/>
        <v>211</v>
      </c>
      <c r="U215" s="17">
        <f t="shared" ca="1" si="76"/>
        <v>51926</v>
      </c>
      <c r="V215" s="22"/>
      <c r="W215" s="22"/>
      <c r="X215" s="22"/>
    </row>
    <row r="216" spans="2:24" x14ac:dyDescent="0.2">
      <c r="B216" s="17">
        <f t="shared" ca="1" si="65"/>
        <v>51926</v>
      </c>
      <c r="C216" s="9">
        <f t="shared" si="77"/>
        <v>212</v>
      </c>
      <c r="D216" s="9"/>
      <c r="E216" s="13">
        <f t="shared" si="66"/>
        <v>2367.796005519825</v>
      </c>
      <c r="F216" s="14">
        <f t="shared" si="78"/>
        <v>372095.44645382575</v>
      </c>
      <c r="G216" s="15">
        <f t="shared" si="67"/>
        <v>0.31784457645510489</v>
      </c>
      <c r="H216" s="13">
        <f t="shared" si="68"/>
        <v>25891.130652985597</v>
      </c>
      <c r="I216" s="13">
        <f t="shared" si="69"/>
        <v>1645791.6459815206</v>
      </c>
      <c r="J216" s="15">
        <f t="shared" si="62"/>
        <v>0.68215542354489511</v>
      </c>
      <c r="K216" s="13">
        <f t="shared" si="70"/>
        <v>798588.19585895631</v>
      </c>
      <c r="L216" s="13">
        <f t="shared" si="79"/>
        <v>48381946.199071154</v>
      </c>
      <c r="M216" s="15">
        <f t="shared" si="71"/>
        <v>0.68215542354489511</v>
      </c>
      <c r="N216" s="13">
        <f t="shared" si="63"/>
        <v>7415.350456301594</v>
      </c>
      <c r="O216" s="13">
        <f t="shared" si="72"/>
        <v>847203.45012256363</v>
      </c>
      <c r="P216" s="15">
        <f t="shared" si="64"/>
        <v>0.41984680574971689</v>
      </c>
      <c r="Q216" s="7">
        <f t="shared" si="73"/>
        <v>2017887.0924353458</v>
      </c>
      <c r="R216" s="7">
        <f t="shared" si="74"/>
        <v>1170683.6423127821</v>
      </c>
      <c r="S216" s="13">
        <f>IF('Calc (2)'!$AD$32="Sim",R216,Q216)</f>
        <v>1170683.6423127821</v>
      </c>
      <c r="T216" s="9">
        <f t="shared" si="75"/>
        <v>212</v>
      </c>
      <c r="U216" s="17">
        <f t="shared" ca="1" si="76"/>
        <v>51957</v>
      </c>
      <c r="V216" s="22"/>
      <c r="W216" s="22"/>
      <c r="X216" s="22"/>
    </row>
    <row r="217" spans="2:24" x14ac:dyDescent="0.2">
      <c r="B217" s="17">
        <f t="shared" ca="1" si="65"/>
        <v>51957</v>
      </c>
      <c r="C217" s="9">
        <f t="shared" si="77"/>
        <v>213</v>
      </c>
      <c r="D217" s="9"/>
      <c r="E217" s="13">
        <f t="shared" si="66"/>
        <v>2377.4426995407407</v>
      </c>
      <c r="F217" s="14">
        <f t="shared" si="78"/>
        <v>374472.8891533665</v>
      </c>
      <c r="G217" s="15">
        <f t="shared" si="67"/>
        <v>0.31628437512162622</v>
      </c>
      <c r="H217" s="13">
        <f t="shared" si="68"/>
        <v>26258.865476413182</v>
      </c>
      <c r="I217" s="13">
        <f t="shared" si="69"/>
        <v>1672050.5114579338</v>
      </c>
      <c r="J217" s="15">
        <f t="shared" si="62"/>
        <v>0.68371562487837378</v>
      </c>
      <c r="K217" s="13">
        <f t="shared" si="70"/>
        <v>809502.41474637273</v>
      </c>
      <c r="L217" s="13">
        <f t="shared" si="79"/>
        <v>49191448.613817528</v>
      </c>
      <c r="M217" s="15">
        <f t="shared" si="71"/>
        <v>0.68371562487837378</v>
      </c>
      <c r="N217" s="13">
        <f t="shared" si="63"/>
        <v>7520.5834307803962</v>
      </c>
      <c r="O217" s="13">
        <f t="shared" si="72"/>
        <v>862548.09671156039</v>
      </c>
      <c r="P217" s="15">
        <f t="shared" si="64"/>
        <v>0.42146994090266254</v>
      </c>
      <c r="Q217" s="7">
        <f t="shared" si="73"/>
        <v>2046523.4006112996</v>
      </c>
      <c r="R217" s="7">
        <f t="shared" si="74"/>
        <v>1183975.3038997392</v>
      </c>
      <c r="S217" s="13">
        <f>IF('Calc (2)'!$AD$32="Sim",R217,Q217)</f>
        <v>1183975.3038997392</v>
      </c>
      <c r="T217" s="9">
        <f t="shared" si="75"/>
        <v>213</v>
      </c>
      <c r="U217" s="17">
        <f t="shared" ca="1" si="76"/>
        <v>51987</v>
      </c>
      <c r="V217" s="22"/>
      <c r="W217" s="22"/>
      <c r="X217" s="22"/>
    </row>
    <row r="218" spans="2:24" x14ac:dyDescent="0.2">
      <c r="B218" s="17">
        <f t="shared" ca="1" si="65"/>
        <v>51987</v>
      </c>
      <c r="C218" s="9">
        <f t="shared" si="77"/>
        <v>214</v>
      </c>
      <c r="D218" s="9"/>
      <c r="E218" s="13">
        <f t="shared" si="66"/>
        <v>2387.1286953872009</v>
      </c>
      <c r="F218" s="14">
        <f t="shared" si="78"/>
        <v>376860.01784875372</v>
      </c>
      <c r="G218" s="15">
        <f t="shared" si="67"/>
        <v>0.31473182685364764</v>
      </c>
      <c r="H218" s="13">
        <f t="shared" si="68"/>
        <v>26631.511184368013</v>
      </c>
      <c r="I218" s="13">
        <f t="shared" si="69"/>
        <v>1698682.0226423019</v>
      </c>
      <c r="J218" s="15">
        <f t="shared" si="62"/>
        <v>0.68526817314635236</v>
      </c>
      <c r="K218" s="13">
        <f t="shared" si="70"/>
        <v>820540.39003562613</v>
      </c>
      <c r="L218" s="13">
        <f t="shared" si="79"/>
        <v>50011989.003853157</v>
      </c>
      <c r="M218" s="15">
        <f t="shared" si="71"/>
        <v>0.68526817314635236</v>
      </c>
      <c r="N218" s="13">
        <f t="shared" si="63"/>
        <v>7627.2214013984121</v>
      </c>
      <c r="O218" s="13">
        <f t="shared" si="72"/>
        <v>878141.63260667492</v>
      </c>
      <c r="P218" s="15">
        <f t="shared" si="64"/>
        <v>0.42309026532602273</v>
      </c>
      <c r="Q218" s="7">
        <f t="shared" si="73"/>
        <v>2075542.0404910548</v>
      </c>
      <c r="R218" s="7">
        <f t="shared" si="74"/>
        <v>1197400.4078843798</v>
      </c>
      <c r="S218" s="13">
        <f>IF('Calc (2)'!$AD$32="Sim",R218,Q218)</f>
        <v>1197400.4078843798</v>
      </c>
      <c r="T218" s="9">
        <f t="shared" si="75"/>
        <v>214</v>
      </c>
      <c r="U218" s="17">
        <f t="shared" ca="1" si="76"/>
        <v>52018</v>
      </c>
      <c r="V218" s="22"/>
      <c r="W218" s="22"/>
      <c r="X218" s="22"/>
    </row>
    <row r="219" spans="2:24" x14ac:dyDescent="0.2">
      <c r="B219" s="17">
        <f t="shared" ca="1" si="65"/>
        <v>52018</v>
      </c>
      <c r="C219" s="9">
        <f t="shared" si="77"/>
        <v>215</v>
      </c>
      <c r="D219" s="9"/>
      <c r="E219" s="13">
        <f t="shared" si="66"/>
        <v>2396.8541531797073</v>
      </c>
      <c r="F219" s="14">
        <f t="shared" si="78"/>
        <v>379256.8720019334</v>
      </c>
      <c r="G219" s="15">
        <f t="shared" si="67"/>
        <v>0.31318689155651291</v>
      </c>
      <c r="H219" s="13">
        <f t="shared" si="68"/>
        <v>27009.132193872232</v>
      </c>
      <c r="I219" s="13">
        <f t="shared" si="69"/>
        <v>1725691.1548361741</v>
      </c>
      <c r="J219" s="15">
        <f t="shared" si="62"/>
        <v>0.68681310844348709</v>
      </c>
      <c r="K219" s="13">
        <f t="shared" si="70"/>
        <v>831703.36364860157</v>
      </c>
      <c r="L219" s="13">
        <f t="shared" si="79"/>
        <v>50843692.367501758</v>
      </c>
      <c r="M219" s="15">
        <f t="shared" si="71"/>
        <v>0.68681310844348709</v>
      </c>
      <c r="N219" s="13">
        <f t="shared" si="63"/>
        <v>7735.2827964556755</v>
      </c>
      <c r="O219" s="13">
        <f t="shared" si="72"/>
        <v>893987.79118757159</v>
      </c>
      <c r="P219" s="15">
        <f t="shared" si="64"/>
        <v>0.42470777415366989</v>
      </c>
      <c r="Q219" s="7">
        <f t="shared" si="73"/>
        <v>2104948.0268381066</v>
      </c>
      <c r="R219" s="7">
        <f t="shared" si="74"/>
        <v>1210960.235650535</v>
      </c>
      <c r="S219" s="13">
        <f>IF('Calc (2)'!$AD$32="Sim",R219,Q219)</f>
        <v>1210960.235650535</v>
      </c>
      <c r="T219" s="9">
        <f t="shared" si="75"/>
        <v>215</v>
      </c>
      <c r="U219" s="17">
        <f t="shared" ca="1" si="76"/>
        <v>52048</v>
      </c>
      <c r="V219" s="22"/>
      <c r="W219" s="22"/>
      <c r="X219" s="22"/>
    </row>
    <row r="220" spans="2:24" x14ac:dyDescent="0.2">
      <c r="B220" s="17">
        <f t="shared" ca="1" si="65"/>
        <v>52048</v>
      </c>
      <c r="C220" s="9">
        <f t="shared" si="77"/>
        <v>216</v>
      </c>
      <c r="D220" s="9">
        <v>18</v>
      </c>
      <c r="E220" s="13">
        <f t="shared" si="66"/>
        <v>2406.6192336911131</v>
      </c>
      <c r="F220" s="14">
        <f t="shared" si="78"/>
        <v>381663.49123562453</v>
      </c>
      <c r="G220" s="15">
        <f t="shared" si="67"/>
        <v>0.31164952941559959</v>
      </c>
      <c r="H220" s="13">
        <f t="shared" si="68"/>
        <v>27391.793762293568</v>
      </c>
      <c r="I220" s="13">
        <f t="shared" si="69"/>
        <v>1753082.9485984677</v>
      </c>
      <c r="J220" s="15">
        <f t="shared" si="62"/>
        <v>0.68835047058440035</v>
      </c>
      <c r="K220" s="13">
        <f t="shared" si="70"/>
        <v>842992.58943073824</v>
      </c>
      <c r="L220" s="13">
        <f t="shared" si="79"/>
        <v>51686684.9569325</v>
      </c>
      <c r="M220" s="15">
        <f t="shared" si="71"/>
        <v>0.68835047058440035</v>
      </c>
      <c r="N220" s="13">
        <f t="shared" si="63"/>
        <v>7844.7862846514208</v>
      </c>
      <c r="O220" s="13">
        <f t="shared" si="72"/>
        <v>910090.35916772857</v>
      </c>
      <c r="P220" s="15">
        <f t="shared" si="64"/>
        <v>0.42632246255834449</v>
      </c>
      <c r="Q220" s="7">
        <f t="shared" si="73"/>
        <v>2134746.4398340913</v>
      </c>
      <c r="R220" s="7">
        <f t="shared" si="74"/>
        <v>1224656.0806663628</v>
      </c>
      <c r="S220" s="13">
        <f>IF('Calc (2)'!$AD$32="Sim",R220,Q220)</f>
        <v>1224656.0806663628</v>
      </c>
      <c r="T220" s="9">
        <f t="shared" si="75"/>
        <v>216</v>
      </c>
      <c r="U220" s="17">
        <f t="shared" ca="1" si="76"/>
        <v>52079</v>
      </c>
      <c r="V220" s="22"/>
      <c r="W220" s="22"/>
      <c r="X220" s="22"/>
    </row>
    <row r="221" spans="2:24" x14ac:dyDescent="0.2">
      <c r="B221" s="17">
        <f t="shared" ca="1" si="65"/>
        <v>52079</v>
      </c>
      <c r="C221" s="9">
        <f t="shared" si="77"/>
        <v>217</v>
      </c>
      <c r="D221" s="9"/>
      <c r="E221" s="13">
        <f t="shared" si="66"/>
        <v>2416.4240983492796</v>
      </c>
      <c r="F221" s="14">
        <f t="shared" si="78"/>
        <v>384079.91533397383</v>
      </c>
      <c r="G221" s="15">
        <f t="shared" si="67"/>
        <v>0.31011970089278856</v>
      </c>
      <c r="H221" s="13">
        <f t="shared" si="68"/>
        <v>27779.561998289279</v>
      </c>
      <c r="I221" s="13">
        <f t="shared" si="69"/>
        <v>1780862.5105967571</v>
      </c>
      <c r="J221" s="15">
        <f t="shared" si="62"/>
        <v>0.68988029910721149</v>
      </c>
      <c r="K221" s="13">
        <f t="shared" si="70"/>
        <v>854409.33326347021</v>
      </c>
      <c r="L221" s="13">
        <f t="shared" si="79"/>
        <v>52541094.290195972</v>
      </c>
      <c r="M221" s="15">
        <f t="shared" si="71"/>
        <v>0.68988029910721138</v>
      </c>
      <c r="N221" s="13">
        <f t="shared" si="63"/>
        <v>7955.7507782148068</v>
      </c>
      <c r="O221" s="13">
        <f t="shared" si="72"/>
        <v>926453.17733328557</v>
      </c>
      <c r="P221" s="15">
        <f t="shared" si="64"/>
        <v>0.42793432575233237</v>
      </c>
      <c r="Q221" s="7">
        <f t="shared" si="73"/>
        <v>2164942.4259307296</v>
      </c>
      <c r="R221" s="7">
        <f t="shared" si="74"/>
        <v>1238489.248597444</v>
      </c>
      <c r="S221" s="13">
        <f>IF('Calc (2)'!$AD$32="Sim",R221,Q221)</f>
        <v>1238489.248597444</v>
      </c>
      <c r="T221" s="9">
        <f t="shared" si="75"/>
        <v>217</v>
      </c>
      <c r="U221" s="17">
        <f t="shared" ca="1" si="76"/>
        <v>52110</v>
      </c>
      <c r="V221" s="22"/>
      <c r="W221" s="22"/>
      <c r="X221" s="22"/>
    </row>
    <row r="222" spans="2:24" x14ac:dyDescent="0.2">
      <c r="B222" s="17">
        <f t="shared" ca="1" si="65"/>
        <v>52110</v>
      </c>
      <c r="C222" s="9">
        <f t="shared" si="77"/>
        <v>218</v>
      </c>
      <c r="D222" s="9"/>
      <c r="E222" s="13">
        <f t="shared" si="66"/>
        <v>2426.2689092397454</v>
      </c>
      <c r="F222" s="14">
        <f t="shared" si="78"/>
        <v>386506.18424321356</v>
      </c>
      <c r="G222" s="15">
        <f t="shared" si="67"/>
        <v>0.30859736672300819</v>
      </c>
      <c r="H222" s="13">
        <f t="shared" si="68"/>
        <v>28172.503872892539</v>
      </c>
      <c r="I222" s="13">
        <f t="shared" si="69"/>
        <v>1809035.0144696496</v>
      </c>
      <c r="J222" s="15">
        <f t="shared" si="62"/>
        <v>0.69140263327699181</v>
      </c>
      <c r="K222" s="13">
        <f t="shared" si="70"/>
        <v>865954.87317771697</v>
      </c>
      <c r="L222" s="13">
        <f t="shared" si="79"/>
        <v>53407049.163373686</v>
      </c>
      <c r="M222" s="15">
        <f t="shared" si="71"/>
        <v>0.6914026332769917</v>
      </c>
      <c r="N222" s="13">
        <f t="shared" si="63"/>
        <v>8068.1954360764175</v>
      </c>
      <c r="O222" s="13">
        <f t="shared" si="72"/>
        <v>943080.14129193104</v>
      </c>
      <c r="P222" s="15">
        <f t="shared" si="64"/>
        <v>0.42954335898812229</v>
      </c>
      <c r="Q222" s="7">
        <f t="shared" si="73"/>
        <v>2195541.1987128616</v>
      </c>
      <c r="R222" s="7">
        <f t="shared" si="74"/>
        <v>1252461.0574209306</v>
      </c>
      <c r="S222" s="13">
        <f>IF('Calc (2)'!$AD$32="Sim",R222,Q222)</f>
        <v>1252461.0574209306</v>
      </c>
      <c r="T222" s="9">
        <f t="shared" si="75"/>
        <v>218</v>
      </c>
      <c r="U222" s="17">
        <f t="shared" ca="1" si="76"/>
        <v>52140</v>
      </c>
      <c r="V222" s="22"/>
      <c r="W222" s="22"/>
      <c r="X222" s="22"/>
    </row>
    <row r="223" spans="2:24" x14ac:dyDescent="0.2">
      <c r="B223" s="17">
        <f t="shared" ca="1" si="65"/>
        <v>52140</v>
      </c>
      <c r="C223" s="9">
        <f t="shared" si="77"/>
        <v>219</v>
      </c>
      <c r="D223" s="9"/>
      <c r="E223" s="13">
        <f t="shared" si="66"/>
        <v>2436.1538291084057</v>
      </c>
      <c r="F223" s="14">
        <f t="shared" si="78"/>
        <v>388942.33807232196</v>
      </c>
      <c r="G223" s="15">
        <f t="shared" si="67"/>
        <v>0.30708248791085052</v>
      </c>
      <c r="H223" s="13">
        <f t="shared" si="68"/>
        <v>28570.687230743162</v>
      </c>
      <c r="I223" s="13">
        <f t="shared" si="69"/>
        <v>1837605.7017003929</v>
      </c>
      <c r="J223" s="15">
        <f t="shared" si="62"/>
        <v>0.69291751208914953</v>
      </c>
      <c r="K223" s="13">
        <f t="shared" si="70"/>
        <v>877630.49946843775</v>
      </c>
      <c r="L223" s="13">
        <f t="shared" si="79"/>
        <v>54284679.662842125</v>
      </c>
      <c r="M223" s="15">
        <f t="shared" si="71"/>
        <v>0.69291751208914953</v>
      </c>
      <c r="N223" s="13">
        <f t="shared" si="63"/>
        <v>8182.1396670810109</v>
      </c>
      <c r="O223" s="13">
        <f t="shared" si="72"/>
        <v>959975.20223195339</v>
      </c>
      <c r="P223" s="15">
        <f t="shared" si="64"/>
        <v>0.43114955755904016</v>
      </c>
      <c r="Q223" s="7">
        <f t="shared" si="73"/>
        <v>2226548.0397727131</v>
      </c>
      <c r="R223" s="7">
        <f t="shared" si="74"/>
        <v>1266572.8375407597</v>
      </c>
      <c r="S223" s="13">
        <f>IF('Calc (2)'!$AD$32="Sim",R223,Q223)</f>
        <v>1266572.8375407597</v>
      </c>
      <c r="T223" s="9">
        <f t="shared" si="75"/>
        <v>219</v>
      </c>
      <c r="U223" s="17">
        <f t="shared" ca="1" si="76"/>
        <v>52171</v>
      </c>
      <c r="V223" s="22"/>
      <c r="W223" s="22"/>
      <c r="X223" s="22"/>
    </row>
    <row r="224" spans="2:24" x14ac:dyDescent="0.2">
      <c r="B224" s="17">
        <f t="shared" ca="1" si="65"/>
        <v>52171</v>
      </c>
      <c r="C224" s="9">
        <f t="shared" si="77"/>
        <v>220</v>
      </c>
      <c r="D224" s="9"/>
      <c r="E224" s="13">
        <f t="shared" si="66"/>
        <v>2446.0790213642022</v>
      </c>
      <c r="F224" s="14">
        <f t="shared" si="78"/>
        <v>391388.41709368618</v>
      </c>
      <c r="G224" s="15">
        <f t="shared" si="67"/>
        <v>0.30557502572725775</v>
      </c>
      <c r="H224" s="13">
        <f t="shared" si="68"/>
        <v>28974.180801464463</v>
      </c>
      <c r="I224" s="13">
        <f t="shared" si="69"/>
        <v>1866579.8825018574</v>
      </c>
      <c r="J224" s="15">
        <f t="shared" si="62"/>
        <v>0.69442497427274219</v>
      </c>
      <c r="K224" s="13">
        <f t="shared" si="70"/>
        <v>889437.51481025654</v>
      </c>
      <c r="L224" s="13">
        <f t="shared" si="79"/>
        <v>55174117.177652381</v>
      </c>
      <c r="M224" s="15">
        <f t="shared" si="71"/>
        <v>0.6944249742727423</v>
      </c>
      <c r="N224" s="13">
        <f t="shared" si="63"/>
        <v>8297.603133242108</v>
      </c>
      <c r="O224" s="13">
        <f t="shared" si="72"/>
        <v>977142.3676915986</v>
      </c>
      <c r="P224" s="15">
        <f t="shared" si="64"/>
        <v>0.4327529167998635</v>
      </c>
      <c r="Q224" s="7">
        <f t="shared" si="73"/>
        <v>2257968.2995955413</v>
      </c>
      <c r="R224" s="7">
        <f t="shared" si="74"/>
        <v>1280825.9319039427</v>
      </c>
      <c r="S224" s="13">
        <f>IF('Calc (2)'!$AD$32="Sim",R224,Q224)</f>
        <v>1280825.9319039427</v>
      </c>
      <c r="T224" s="9">
        <f t="shared" si="75"/>
        <v>220</v>
      </c>
      <c r="U224" s="17">
        <f t="shared" ca="1" si="76"/>
        <v>52201</v>
      </c>
      <c r="V224" s="22"/>
      <c r="W224" s="22"/>
      <c r="X224" s="22"/>
    </row>
    <row r="225" spans="2:24" x14ac:dyDescent="0.2">
      <c r="B225" s="17">
        <f t="shared" ca="1" si="65"/>
        <v>52201</v>
      </c>
      <c r="C225" s="9">
        <f t="shared" si="77"/>
        <v>221</v>
      </c>
      <c r="D225" s="9"/>
      <c r="E225" s="13">
        <f t="shared" si="66"/>
        <v>2456.0446500818252</v>
      </c>
      <c r="F225" s="14">
        <f t="shared" si="78"/>
        <v>393844.46174376801</v>
      </c>
      <c r="G225" s="15">
        <f t="shared" si="67"/>
        <v>0.30407494170627763</v>
      </c>
      <c r="H225" s="13">
        <f t="shared" si="68"/>
        <v>29383.054211188221</v>
      </c>
      <c r="I225" s="13">
        <f t="shared" si="69"/>
        <v>1895962.9367130455</v>
      </c>
      <c r="J225" s="15">
        <f t="shared" si="62"/>
        <v>0.69592505829372242</v>
      </c>
      <c r="K225" s="13">
        <f t="shared" si="70"/>
        <v>901377.23437416973</v>
      </c>
      <c r="L225" s="13">
        <f t="shared" si="79"/>
        <v>56075494.412026554</v>
      </c>
      <c r="M225" s="15">
        <f t="shared" si="71"/>
        <v>0.69592505829372231</v>
      </c>
      <c r="N225" s="13">
        <f t="shared" si="63"/>
        <v>8414.6057530389426</v>
      </c>
      <c r="O225" s="13">
        <f t="shared" si="72"/>
        <v>994585.70233887364</v>
      </c>
      <c r="P225" s="15">
        <f t="shared" si="64"/>
        <v>0.43435343208741611</v>
      </c>
      <c r="Q225" s="7">
        <f t="shared" si="73"/>
        <v>2289807.3984568114</v>
      </c>
      <c r="R225" s="7">
        <f t="shared" si="74"/>
        <v>1295221.6961179378</v>
      </c>
      <c r="S225" s="13">
        <f>IF('Calc (2)'!$AD$32="Sim",R225,Q225)</f>
        <v>1295221.6961179378</v>
      </c>
      <c r="T225" s="9">
        <f t="shared" si="75"/>
        <v>221</v>
      </c>
      <c r="U225" s="17">
        <f t="shared" ca="1" si="76"/>
        <v>52232</v>
      </c>
      <c r="V225" s="22"/>
      <c r="W225" s="22"/>
      <c r="X225" s="22"/>
    </row>
    <row r="226" spans="2:24" x14ac:dyDescent="0.2">
      <c r="B226" s="17">
        <f t="shared" ca="1" si="65"/>
        <v>52232</v>
      </c>
      <c r="C226" s="9">
        <f t="shared" si="77"/>
        <v>222</v>
      </c>
      <c r="D226" s="9"/>
      <c r="E226" s="13">
        <f t="shared" si="66"/>
        <v>2466.0508800044258</v>
      </c>
      <c r="F226" s="14">
        <f t="shared" si="78"/>
        <v>396310.51262377243</v>
      </c>
      <c r="G226" s="15">
        <f t="shared" si="67"/>
        <v>0.30258219764188488</v>
      </c>
      <c r="H226" s="13">
        <f t="shared" si="68"/>
        <v>29797.377994229664</v>
      </c>
      <c r="I226" s="13">
        <f t="shared" si="69"/>
        <v>1925760.314707275</v>
      </c>
      <c r="J226" s="15">
        <f t="shared" si="62"/>
        <v>0.69741780235811512</v>
      </c>
      <c r="K226" s="13">
        <f t="shared" si="70"/>
        <v>913450.9859453463</v>
      </c>
      <c r="L226" s="13">
        <f t="shared" si="79"/>
        <v>56988945.397971898</v>
      </c>
      <c r="M226" s="15">
        <f t="shared" si="71"/>
        <v>0.69741780235811501</v>
      </c>
      <c r="N226" s="13">
        <f t="shared" si="63"/>
        <v>8533.1677047563026</v>
      </c>
      <c r="O226" s="13">
        <f t="shared" si="72"/>
        <v>1012309.3287619269</v>
      </c>
      <c r="P226" s="15">
        <f t="shared" si="64"/>
        <v>0.43595109884114103</v>
      </c>
      <c r="Q226" s="7">
        <f t="shared" si="73"/>
        <v>2322070.8273310456</v>
      </c>
      <c r="R226" s="7">
        <f t="shared" si="74"/>
        <v>1309761.4985691188</v>
      </c>
      <c r="S226" s="13">
        <f>IF('Calc (2)'!$AD$32="Sim",R226,Q226)</f>
        <v>1309761.4985691188</v>
      </c>
      <c r="T226" s="9">
        <f t="shared" si="75"/>
        <v>222</v>
      </c>
      <c r="U226" s="17">
        <f t="shared" ca="1" si="76"/>
        <v>52263</v>
      </c>
      <c r="V226" s="22"/>
      <c r="W226" s="22"/>
      <c r="X226" s="22"/>
    </row>
    <row r="227" spans="2:24" x14ac:dyDescent="0.2">
      <c r="B227" s="17">
        <f t="shared" ca="1" si="65"/>
        <v>52263</v>
      </c>
      <c r="C227" s="9">
        <f t="shared" si="77"/>
        <v>223</v>
      </c>
      <c r="D227" s="9"/>
      <c r="E227" s="13">
        <f t="shared" si="66"/>
        <v>2476.0978765463387</v>
      </c>
      <c r="F227" s="14">
        <f t="shared" si="78"/>
        <v>398786.61050031875</v>
      </c>
      <c r="G227" s="15">
        <f t="shared" si="67"/>
        <v>0.30109675558486754</v>
      </c>
      <c r="H227" s="13">
        <f t="shared" si="68"/>
        <v>30217.22360491439</v>
      </c>
      <c r="I227" s="13">
        <f t="shared" si="69"/>
        <v>1955977.5383121895</v>
      </c>
      <c r="J227" s="15">
        <f t="shared" si="62"/>
        <v>0.69890324441513241</v>
      </c>
      <c r="K227" s="13">
        <f t="shared" si="70"/>
        <v>925660.11004202953</v>
      </c>
      <c r="L227" s="13">
        <f t="shared" si="79"/>
        <v>57914605.508013926</v>
      </c>
      <c r="M227" s="15">
        <f t="shared" si="71"/>
        <v>0.69890324441513252</v>
      </c>
      <c r="N227" s="13">
        <f t="shared" si="63"/>
        <v>8653.3094298678789</v>
      </c>
      <c r="O227" s="13">
        <f t="shared" si="72"/>
        <v>1030317.4282701581</v>
      </c>
      <c r="P227" s="15">
        <f t="shared" si="64"/>
        <v>0.43754591252365599</v>
      </c>
      <c r="Q227" s="7">
        <f t="shared" si="73"/>
        <v>2354764.1488125063</v>
      </c>
      <c r="R227" s="7">
        <f t="shared" si="74"/>
        <v>1324446.7205423482</v>
      </c>
      <c r="S227" s="13">
        <f>IF('Calc (2)'!$AD$32="Sim",R227,Q227)</f>
        <v>1324446.7205423482</v>
      </c>
      <c r="T227" s="9">
        <f t="shared" si="75"/>
        <v>223</v>
      </c>
      <c r="U227" s="17">
        <f t="shared" ca="1" si="76"/>
        <v>52291</v>
      </c>
      <c r="V227" s="22"/>
      <c r="W227" s="22"/>
      <c r="X227" s="22"/>
    </row>
    <row r="228" spans="2:24" x14ac:dyDescent="0.2">
      <c r="B228" s="17">
        <f t="shared" ca="1" si="65"/>
        <v>52291</v>
      </c>
      <c r="C228" s="9">
        <f t="shared" si="77"/>
        <v>224</v>
      </c>
      <c r="D228" s="9"/>
      <c r="E228" s="13">
        <f t="shared" si="66"/>
        <v>2486.1858057958175</v>
      </c>
      <c r="F228" s="14">
        <f t="shared" si="78"/>
        <v>401272.79630611459</v>
      </c>
      <c r="G228" s="15">
        <f t="shared" si="67"/>
        <v>0.29961857783977675</v>
      </c>
      <c r="H228" s="13">
        <f t="shared" si="68"/>
        <v>30642.663429559241</v>
      </c>
      <c r="I228" s="13">
        <f t="shared" si="69"/>
        <v>1986620.2017417487</v>
      </c>
      <c r="J228" s="15">
        <f t="shared" si="62"/>
        <v>0.70038142216022325</v>
      </c>
      <c r="K228" s="13">
        <f t="shared" si="70"/>
        <v>938005.96003555041</v>
      </c>
      <c r="L228" s="13">
        <f t="shared" si="79"/>
        <v>58852611.468049474</v>
      </c>
      <c r="M228" s="15">
        <f t="shared" si="71"/>
        <v>0.70038142216022314</v>
      </c>
      <c r="N228" s="13">
        <f t="shared" si="63"/>
        <v>8775.0516364636169</v>
      </c>
      <c r="O228" s="13">
        <f t="shared" si="72"/>
        <v>1048614.2417061962</v>
      </c>
      <c r="P228" s="15">
        <f t="shared" si="64"/>
        <v>0.43913786864128929</v>
      </c>
      <c r="Q228" s="7">
        <f t="shared" si="73"/>
        <v>2387892.9980478613</v>
      </c>
      <c r="R228" s="7">
        <f t="shared" si="74"/>
        <v>1339278.7563416651</v>
      </c>
      <c r="S228" s="13">
        <f>IF('Calc (2)'!$AD$32="Sim",R228,Q228)</f>
        <v>1339278.7563416651</v>
      </c>
      <c r="T228" s="9">
        <f t="shared" si="75"/>
        <v>224</v>
      </c>
      <c r="U228" s="17">
        <f t="shared" ca="1" si="76"/>
        <v>52322</v>
      </c>
      <c r="V228" s="22"/>
      <c r="W228" s="22"/>
      <c r="X228" s="22"/>
    </row>
    <row r="229" spans="2:24" x14ac:dyDescent="0.2">
      <c r="B229" s="17">
        <f t="shared" ca="1" si="65"/>
        <v>52322</v>
      </c>
      <c r="C229" s="9">
        <f t="shared" si="77"/>
        <v>225</v>
      </c>
      <c r="D229" s="9"/>
      <c r="E229" s="13">
        <f t="shared" si="66"/>
        <v>2496.3148345177792</v>
      </c>
      <c r="F229" s="14">
        <f t="shared" si="78"/>
        <v>403769.11114063236</v>
      </c>
      <c r="G229" s="15">
        <f t="shared" si="67"/>
        <v>0.29814762696193764</v>
      </c>
      <c r="H229" s="13">
        <f t="shared" si="68"/>
        <v>31073.770798609145</v>
      </c>
      <c r="I229" s="13">
        <f t="shared" si="69"/>
        <v>2017693.9725403578</v>
      </c>
      <c r="J229" s="15">
        <f t="shared" si="62"/>
        <v>0.70185237303806236</v>
      </c>
      <c r="K229" s="13">
        <f t="shared" si="70"/>
        <v>950489.90227146726</v>
      </c>
      <c r="L229" s="13">
        <f t="shared" si="79"/>
        <v>59803101.370320939</v>
      </c>
      <c r="M229" s="15">
        <f t="shared" si="71"/>
        <v>0.70185237303806236</v>
      </c>
      <c r="N229" s="13">
        <f t="shared" si="63"/>
        <v>8898.4153027217017</v>
      </c>
      <c r="O229" s="13">
        <f t="shared" si="72"/>
        <v>1067204.0702688887</v>
      </c>
      <c r="P229" s="15">
        <f t="shared" si="64"/>
        <v>0.44072696274459733</v>
      </c>
      <c r="Q229" s="7">
        <f t="shared" si="73"/>
        <v>2421463.0836809883</v>
      </c>
      <c r="R229" s="7">
        <f t="shared" si="74"/>
        <v>1354259.0134120996</v>
      </c>
      <c r="S229" s="13">
        <f>IF('Calc (2)'!$AD$32="Sim",R229,Q229)</f>
        <v>1354259.0134120996</v>
      </c>
      <c r="T229" s="9">
        <f t="shared" si="75"/>
        <v>225</v>
      </c>
      <c r="U229" s="17">
        <f t="shared" ca="1" si="76"/>
        <v>52352</v>
      </c>
      <c r="V229" s="22"/>
      <c r="W229" s="22"/>
      <c r="X229" s="22"/>
    </row>
    <row r="230" spans="2:24" x14ac:dyDescent="0.2">
      <c r="B230" s="17">
        <f t="shared" ca="1" si="65"/>
        <v>52352</v>
      </c>
      <c r="C230" s="9">
        <f t="shared" si="77"/>
        <v>226</v>
      </c>
      <c r="D230" s="9"/>
      <c r="E230" s="13">
        <f t="shared" si="66"/>
        <v>2506.4851301565623</v>
      </c>
      <c r="F230" s="14">
        <f t="shared" si="78"/>
        <v>406275.59627078893</v>
      </c>
      <c r="G230" s="15">
        <f t="shared" si="67"/>
        <v>0.29668386575452005</v>
      </c>
      <c r="H230" s="13">
        <f t="shared" si="68"/>
        <v>31510.619998931881</v>
      </c>
      <c r="I230" s="13">
        <f t="shared" si="69"/>
        <v>2049204.5925392897</v>
      </c>
      <c r="J230" s="15">
        <f t="shared" si="62"/>
        <v>0.7033161342454799</v>
      </c>
      <c r="K230" s="13">
        <f t="shared" si="70"/>
        <v>963113.3161918337</v>
      </c>
      <c r="L230" s="13">
        <f t="shared" si="79"/>
        <v>60766214.686512776</v>
      </c>
      <c r="M230" s="15">
        <f t="shared" si="71"/>
        <v>0.70331613424548001</v>
      </c>
      <c r="N230" s="13">
        <f t="shared" si="63"/>
        <v>9023.4216804257248</v>
      </c>
      <c r="O230" s="13">
        <f t="shared" si="72"/>
        <v>1086091.2763474539</v>
      </c>
      <c r="P230" s="15">
        <f t="shared" si="64"/>
        <v>0.44231319042886386</v>
      </c>
      <c r="Q230" s="7">
        <f t="shared" si="73"/>
        <v>2455480.1888100766</v>
      </c>
      <c r="R230" s="7">
        <f t="shared" si="74"/>
        <v>1369388.9124626226</v>
      </c>
      <c r="S230" s="13">
        <f>IF('Calc (2)'!$AD$32="Sim",R230,Q230)</f>
        <v>1369388.9124626226</v>
      </c>
      <c r="T230" s="9">
        <f t="shared" si="75"/>
        <v>226</v>
      </c>
      <c r="U230" s="17">
        <f t="shared" ca="1" si="76"/>
        <v>52383</v>
      </c>
      <c r="V230" s="22"/>
      <c r="W230" s="22"/>
      <c r="X230" s="22"/>
    </row>
    <row r="231" spans="2:24" x14ac:dyDescent="0.2">
      <c r="B231" s="17">
        <f t="shared" ca="1" si="65"/>
        <v>52383</v>
      </c>
      <c r="C231" s="9">
        <f t="shared" si="77"/>
        <v>227</v>
      </c>
      <c r="D231" s="9"/>
      <c r="E231" s="13">
        <f t="shared" si="66"/>
        <v>2516.6968608386942</v>
      </c>
      <c r="F231" s="14">
        <f t="shared" si="78"/>
        <v>408792.29313162761</v>
      </c>
      <c r="G231" s="15">
        <f t="shared" si="67"/>
        <v>0.29522725726566745</v>
      </c>
      <c r="H231" s="13">
        <f t="shared" si="68"/>
        <v>31953.286286272909</v>
      </c>
      <c r="I231" s="13">
        <f t="shared" si="69"/>
        <v>2081157.8788255625</v>
      </c>
      <c r="J231" s="15">
        <f t="shared" si="62"/>
        <v>0.70477274273433255</v>
      </c>
      <c r="K231" s="13">
        <f t="shared" si="70"/>
        <v>975877.59445861587</v>
      </c>
      <c r="L231" s="13">
        <f t="shared" si="79"/>
        <v>61742092.280971393</v>
      </c>
      <c r="M231" s="15">
        <f t="shared" si="71"/>
        <v>0.70477274273433255</v>
      </c>
      <c r="N231" s="13">
        <f t="shared" si="63"/>
        <v>9150.0922985276302</v>
      </c>
      <c r="O231" s="13">
        <f t="shared" si="72"/>
        <v>1105280.2843669448</v>
      </c>
      <c r="P231" s="15">
        <f t="shared" si="64"/>
        <v>0.44389654733458206</v>
      </c>
      <c r="Q231" s="7">
        <f t="shared" si="73"/>
        <v>2489950.1719571883</v>
      </c>
      <c r="R231" s="7">
        <f t="shared" si="74"/>
        <v>1384669.8875902435</v>
      </c>
      <c r="S231" s="13">
        <f>IF('Calc (2)'!$AD$32="Sim",R231,Q231)</f>
        <v>1384669.8875902435</v>
      </c>
      <c r="T231" s="9">
        <f t="shared" si="75"/>
        <v>227</v>
      </c>
      <c r="U231" s="17">
        <f t="shared" ca="1" si="76"/>
        <v>52413</v>
      </c>
      <c r="V231" s="22"/>
      <c r="W231" s="22"/>
      <c r="X231" s="22"/>
    </row>
    <row r="232" spans="2:24" x14ac:dyDescent="0.2">
      <c r="B232" s="17">
        <f t="shared" ca="1" si="65"/>
        <v>52413</v>
      </c>
      <c r="C232" s="9">
        <f t="shared" si="77"/>
        <v>228</v>
      </c>
      <c r="D232" s="9">
        <v>19</v>
      </c>
      <c r="E232" s="13">
        <f t="shared" si="66"/>
        <v>2526.9501953756703</v>
      </c>
      <c r="F232" s="14">
        <f t="shared" si="78"/>
        <v>411319.24332700326</v>
      </c>
      <c r="G232" s="15">
        <f t="shared" si="67"/>
        <v>0.29377776478568268</v>
      </c>
      <c r="H232" s="13">
        <f t="shared" si="68"/>
        <v>32401.845897872307</v>
      </c>
      <c r="I232" s="13">
        <f t="shared" si="69"/>
        <v>2113559.724723435</v>
      </c>
      <c r="J232" s="15">
        <f t="shared" si="62"/>
        <v>0.70622223521431726</v>
      </c>
      <c r="K232" s="13">
        <f t="shared" si="70"/>
        <v>988784.14307826012</v>
      </c>
      <c r="L232" s="13">
        <f t="shared" si="79"/>
        <v>62730876.424049653</v>
      </c>
      <c r="M232" s="15">
        <f t="shared" si="71"/>
        <v>0.70622223521431737</v>
      </c>
      <c r="N232" s="13">
        <f t="shared" si="63"/>
        <v>9278.4489667570415</v>
      </c>
      <c r="O232" s="13">
        <f t="shared" si="72"/>
        <v>1124775.5816451733</v>
      </c>
      <c r="P232" s="15">
        <f t="shared" si="64"/>
        <v>0.44547702914791948</v>
      </c>
      <c r="Q232" s="7">
        <f t="shared" si="73"/>
        <v>2524878.9680504366</v>
      </c>
      <c r="R232" s="7">
        <f t="shared" si="74"/>
        <v>1400103.3864052633</v>
      </c>
      <c r="S232" s="13">
        <f>IF('Calc (2)'!$AD$32="Sim",R232,Q232)</f>
        <v>1400103.3864052633</v>
      </c>
      <c r="T232" s="9">
        <f t="shared" si="75"/>
        <v>228</v>
      </c>
      <c r="U232" s="17">
        <f t="shared" ca="1" si="76"/>
        <v>52444</v>
      </c>
      <c r="V232" s="22"/>
      <c r="W232" s="22"/>
      <c r="X232" s="22"/>
    </row>
    <row r="233" spans="2:24" x14ac:dyDescent="0.2">
      <c r="B233" s="17">
        <f t="shared" ca="1" si="65"/>
        <v>52444</v>
      </c>
      <c r="C233" s="9">
        <f t="shared" si="77"/>
        <v>229</v>
      </c>
      <c r="D233" s="9"/>
      <c r="E233" s="13">
        <f t="shared" si="66"/>
        <v>2537.2453032667454</v>
      </c>
      <c r="F233" s="14">
        <f t="shared" si="78"/>
        <v>413856.48863027</v>
      </c>
      <c r="G233" s="15">
        <f t="shared" si="67"/>
        <v>0.29233535184426895</v>
      </c>
      <c r="H233" s="13">
        <f t="shared" si="68"/>
        <v>32856.37606524591</v>
      </c>
      <c r="I233" s="13">
        <f t="shared" si="69"/>
        <v>2146416.1007886808</v>
      </c>
      <c r="J233" s="15">
        <f t="shared" si="62"/>
        <v>0.70766464815573105</v>
      </c>
      <c r="K233" s="13">
        <f t="shared" si="70"/>
        <v>1001834.3815274282</v>
      </c>
      <c r="L233" s="13">
        <f t="shared" si="79"/>
        <v>63732710.805577084</v>
      </c>
      <c r="M233" s="15">
        <f t="shared" si="71"/>
        <v>0.70766464815573105</v>
      </c>
      <c r="N233" s="13">
        <f t="shared" si="63"/>
        <v>9408.5137792775531</v>
      </c>
      <c r="O233" s="13">
        <f t="shared" si="72"/>
        <v>1144581.7192612509</v>
      </c>
      <c r="P233" s="15">
        <f t="shared" si="64"/>
        <v>0.44705463160116571</v>
      </c>
      <c r="Q233" s="7">
        <f t="shared" si="73"/>
        <v>2560272.5894189491</v>
      </c>
      <c r="R233" s="7">
        <f t="shared" si="74"/>
        <v>1415690.8701576982</v>
      </c>
      <c r="S233" s="13">
        <f>IF('Calc (2)'!$AD$32="Sim",R233,Q233)</f>
        <v>1415690.8701576982</v>
      </c>
      <c r="T233" s="9">
        <f t="shared" si="75"/>
        <v>229</v>
      </c>
      <c r="U233" s="17">
        <f t="shared" ca="1" si="76"/>
        <v>52475</v>
      </c>
      <c r="V233" s="22"/>
      <c r="W233" s="22"/>
      <c r="X233" s="22"/>
    </row>
    <row r="234" spans="2:24" x14ac:dyDescent="0.2">
      <c r="B234" s="17">
        <f t="shared" ca="1" si="65"/>
        <v>52475</v>
      </c>
      <c r="C234" s="9">
        <f t="shared" si="77"/>
        <v>230</v>
      </c>
      <c r="D234" s="9"/>
      <c r="E234" s="13">
        <f t="shared" si="66"/>
        <v>2547.5823547017344</v>
      </c>
      <c r="F234" s="14">
        <f t="shared" si="78"/>
        <v>416404.07098497171</v>
      </c>
      <c r="G234" s="15">
        <f t="shared" si="67"/>
        <v>0.29089998220782415</v>
      </c>
      <c r="H234" s="13">
        <f t="shared" si="68"/>
        <v>33316.955027132826</v>
      </c>
      <c r="I234" s="13">
        <f t="shared" si="69"/>
        <v>2179733.0558158136</v>
      </c>
      <c r="J234" s="15">
        <f t="shared" si="62"/>
        <v>0.7091000177921758</v>
      </c>
      <c r="K234" s="13">
        <f t="shared" si="70"/>
        <v>1015029.7428799092</v>
      </c>
      <c r="L234" s="13">
        <f t="shared" si="79"/>
        <v>64747740.548456997</v>
      </c>
      <c r="M234" s="15">
        <f t="shared" si="71"/>
        <v>0.70910001779217591</v>
      </c>
      <c r="N234" s="13">
        <f t="shared" si="63"/>
        <v>9540.3091183906363</v>
      </c>
      <c r="O234" s="13">
        <f t="shared" si="72"/>
        <v>1164703.3129359025</v>
      </c>
      <c r="P234" s="15">
        <f t="shared" si="64"/>
        <v>0.44862935047316432</v>
      </c>
      <c r="Q234" s="7">
        <f t="shared" si="73"/>
        <v>2596137.1268007834</v>
      </c>
      <c r="R234" s="7">
        <f t="shared" si="74"/>
        <v>1431433.8138648809</v>
      </c>
      <c r="S234" s="13">
        <f>IF('Calc (2)'!$AD$32="Sim",R234,Q234)</f>
        <v>1431433.8138648809</v>
      </c>
      <c r="T234" s="9">
        <f t="shared" si="75"/>
        <v>230</v>
      </c>
      <c r="U234" s="17">
        <f t="shared" ca="1" si="76"/>
        <v>52505</v>
      </c>
      <c r="V234" s="22"/>
      <c r="W234" s="22"/>
      <c r="X234" s="22"/>
    </row>
    <row r="235" spans="2:24" x14ac:dyDescent="0.2">
      <c r="B235" s="17">
        <f t="shared" ca="1" si="65"/>
        <v>52505</v>
      </c>
      <c r="C235" s="9">
        <f t="shared" si="77"/>
        <v>231</v>
      </c>
      <c r="D235" s="9"/>
      <c r="E235" s="13">
        <f t="shared" si="66"/>
        <v>2557.9615205638274</v>
      </c>
      <c r="F235" s="14">
        <f t="shared" si="78"/>
        <v>418962.03250553552</v>
      </c>
      <c r="G235" s="15">
        <f t="shared" si="67"/>
        <v>0.28947161987678821</v>
      </c>
      <c r="H235" s="13">
        <f t="shared" si="68"/>
        <v>33783.662042611468</v>
      </c>
      <c r="I235" s="13">
        <f t="shared" si="69"/>
        <v>2213516.7178584249</v>
      </c>
      <c r="J235" s="15">
        <f t="shared" si="62"/>
        <v>0.71052838012321184</v>
      </c>
      <c r="K235" s="13">
        <f t="shared" si="70"/>
        <v>1028371.6739347163</v>
      </c>
      <c r="L235" s="13">
        <f t="shared" si="79"/>
        <v>65776112.22239171</v>
      </c>
      <c r="M235" s="15">
        <f t="shared" si="71"/>
        <v>0.71052838012321184</v>
      </c>
      <c r="N235" s="13">
        <f t="shared" si="63"/>
        <v>9673.8576582877304</v>
      </c>
      <c r="O235" s="13">
        <f t="shared" si="72"/>
        <v>1185145.0439237067</v>
      </c>
      <c r="P235" s="15">
        <f t="shared" si="64"/>
        <v>0.45020118158972877</v>
      </c>
      <c r="Q235" s="7">
        <f t="shared" si="73"/>
        <v>2632478.7503639585</v>
      </c>
      <c r="R235" s="7">
        <f t="shared" si="74"/>
        <v>1447333.7064402518</v>
      </c>
      <c r="S235" s="13">
        <f>IF('Calc (2)'!$AD$32="Sim",R235,Q235)</f>
        <v>1447333.7064402518</v>
      </c>
      <c r="T235" s="9">
        <f t="shared" si="75"/>
        <v>231</v>
      </c>
      <c r="U235" s="17">
        <f t="shared" ca="1" si="76"/>
        <v>52536</v>
      </c>
      <c r="V235" s="22"/>
      <c r="W235" s="22"/>
      <c r="X235" s="22"/>
    </row>
    <row r="236" spans="2:24" x14ac:dyDescent="0.2">
      <c r="B236" s="17">
        <f t="shared" ca="1" si="65"/>
        <v>52536</v>
      </c>
      <c r="C236" s="9">
        <f t="shared" si="77"/>
        <v>232</v>
      </c>
      <c r="D236" s="9"/>
      <c r="E236" s="13">
        <f t="shared" si="66"/>
        <v>2568.3829724324137</v>
      </c>
      <c r="F236" s="14">
        <f t="shared" si="78"/>
        <v>421530.41547796794</v>
      </c>
      <c r="G236" s="15">
        <f t="shared" si="67"/>
        <v>0.28805022908304118</v>
      </c>
      <c r="H236" s="13">
        <f t="shared" si="68"/>
        <v>34256.57740438632</v>
      </c>
      <c r="I236" s="13">
        <f t="shared" si="69"/>
        <v>2247773.2952628112</v>
      </c>
      <c r="J236" s="15">
        <f t="shared" si="62"/>
        <v>0.71194977091695888</v>
      </c>
      <c r="K236" s="13">
        <f t="shared" si="70"/>
        <v>1041861.6353453839</v>
      </c>
      <c r="L236" s="13">
        <f t="shared" si="79"/>
        <v>66817973.857737094</v>
      </c>
      <c r="M236" s="15">
        <f t="shared" si="71"/>
        <v>0.71194977091695877</v>
      </c>
      <c r="N236" s="13">
        <f t="shared" si="63"/>
        <v>9809.1823688511777</v>
      </c>
      <c r="O236" s="13">
        <f t="shared" si="72"/>
        <v>1205911.6599174254</v>
      </c>
      <c r="P236" s="15">
        <f t="shared" si="64"/>
        <v>0.45177012082404228</v>
      </c>
      <c r="Q236" s="7">
        <f t="shared" si="73"/>
        <v>2669303.7107407772</v>
      </c>
      <c r="R236" s="7">
        <f t="shared" si="74"/>
        <v>1463392.0508233518</v>
      </c>
      <c r="S236" s="13">
        <f>IF('Calc (2)'!$AD$32="Sim",R236,Q236)</f>
        <v>1463392.0508233518</v>
      </c>
      <c r="T236" s="9">
        <f t="shared" si="75"/>
        <v>232</v>
      </c>
      <c r="U236" s="17">
        <f t="shared" ca="1" si="76"/>
        <v>52566</v>
      </c>
      <c r="V236" s="22"/>
      <c r="W236" s="22"/>
      <c r="X236" s="22"/>
    </row>
    <row r="237" spans="2:24" x14ac:dyDescent="0.2">
      <c r="B237" s="17">
        <f t="shared" ca="1" si="65"/>
        <v>52566</v>
      </c>
      <c r="C237" s="9">
        <f t="shared" si="77"/>
        <v>233</v>
      </c>
      <c r="D237" s="9"/>
      <c r="E237" s="13">
        <f t="shared" si="66"/>
        <v>2578.8468825859181</v>
      </c>
      <c r="F237" s="14">
        <f t="shared" si="78"/>
        <v>424109.26236055384</v>
      </c>
      <c r="G237" s="15">
        <f t="shared" si="67"/>
        <v>0.28663577428735093</v>
      </c>
      <c r="H237" s="13">
        <f t="shared" si="68"/>
        <v>34735.782452247593</v>
      </c>
      <c r="I237" s="13">
        <f t="shared" si="69"/>
        <v>2282509.0777150588</v>
      </c>
      <c r="J237" s="15">
        <f t="shared" si="62"/>
        <v>0.71336422571264912</v>
      </c>
      <c r="K237" s="13">
        <f t="shared" si="70"/>
        <v>1055501.1017504744</v>
      </c>
      <c r="L237" s="13">
        <f t="shared" si="79"/>
        <v>67873474.959487572</v>
      </c>
      <c r="M237" s="15">
        <f t="shared" si="71"/>
        <v>0.71336422571264901</v>
      </c>
      <c r="N237" s="13">
        <f t="shared" si="63"/>
        <v>9946.3065195046402</v>
      </c>
      <c r="O237" s="13">
        <f t="shared" si="72"/>
        <v>1227007.9759645823</v>
      </c>
      <c r="P237" s="15">
        <f t="shared" si="64"/>
        <v>0.45333616409704269</v>
      </c>
      <c r="Q237" s="7">
        <f t="shared" si="73"/>
        <v>2706618.3400756107</v>
      </c>
      <c r="R237" s="7">
        <f t="shared" si="74"/>
        <v>1479610.3641110284</v>
      </c>
      <c r="S237" s="13">
        <f>IF('Calc (2)'!$AD$32="Sim",R237,Q237)</f>
        <v>1479610.3641110284</v>
      </c>
      <c r="T237" s="9">
        <f t="shared" si="75"/>
        <v>233</v>
      </c>
      <c r="U237" s="17">
        <f t="shared" ca="1" si="76"/>
        <v>52597</v>
      </c>
      <c r="V237" s="22"/>
      <c r="W237" s="22"/>
      <c r="X237" s="22"/>
    </row>
    <row r="238" spans="2:24" x14ac:dyDescent="0.2">
      <c r="B238" s="17">
        <f t="shared" ca="1" si="65"/>
        <v>52597</v>
      </c>
      <c r="C238" s="9">
        <f t="shared" si="77"/>
        <v>234</v>
      </c>
      <c r="D238" s="9"/>
      <c r="E238" s="13">
        <f t="shared" si="66"/>
        <v>2589.3534240046488</v>
      </c>
      <c r="F238" s="14">
        <f t="shared" si="78"/>
        <v>426698.61578455847</v>
      </c>
      <c r="G238" s="15">
        <f t="shared" si="67"/>
        <v>0.28522822017686955</v>
      </c>
      <c r="H238" s="13">
        <f t="shared" si="68"/>
        <v>35221.359586706123</v>
      </c>
      <c r="I238" s="13">
        <f t="shared" si="69"/>
        <v>2317730.4373017647</v>
      </c>
      <c r="J238" s="15">
        <f t="shared" si="62"/>
        <v>0.71477177982313045</v>
      </c>
      <c r="K238" s="13">
        <f t="shared" si="70"/>
        <v>1069291.5619053047</v>
      </c>
      <c r="L238" s="13">
        <f t="shared" si="79"/>
        <v>68942766.521392882</v>
      </c>
      <c r="M238" s="15">
        <f t="shared" si="71"/>
        <v>0.71477177982313045</v>
      </c>
      <c r="N238" s="13">
        <f t="shared" si="63"/>
        <v>10085.25368311362</v>
      </c>
      <c r="O238" s="13">
        <f t="shared" si="72"/>
        <v>1248438.8753964582</v>
      </c>
      <c r="P238" s="15">
        <f t="shared" si="64"/>
        <v>0.45489930737779238</v>
      </c>
      <c r="Q238" s="7">
        <f t="shared" si="73"/>
        <v>2744429.0530863213</v>
      </c>
      <c r="R238" s="7">
        <f t="shared" si="74"/>
        <v>1495990.1776898631</v>
      </c>
      <c r="S238" s="13">
        <f>IF('Calc (2)'!$AD$32="Sim",R238,Q238)</f>
        <v>1495990.1776898631</v>
      </c>
      <c r="T238" s="9">
        <f t="shared" si="75"/>
        <v>234</v>
      </c>
      <c r="U238" s="17">
        <f t="shared" ca="1" si="76"/>
        <v>52628</v>
      </c>
      <c r="V238" s="22"/>
      <c r="W238" s="22"/>
      <c r="X238" s="22"/>
    </row>
    <row r="239" spans="2:24" x14ac:dyDescent="0.2">
      <c r="B239" s="17">
        <f t="shared" ca="1" si="65"/>
        <v>52628</v>
      </c>
      <c r="C239" s="9">
        <f t="shared" si="77"/>
        <v>235</v>
      </c>
      <c r="D239" s="9"/>
      <c r="E239" s="13">
        <f t="shared" si="66"/>
        <v>2599.9027703736574</v>
      </c>
      <c r="F239" s="14">
        <f t="shared" si="78"/>
        <v>429298.51855493215</v>
      </c>
      <c r="G239" s="15">
        <f t="shared" si="67"/>
        <v>0.28382753166267705</v>
      </c>
      <c r="H239" s="13">
        <f t="shared" si="68"/>
        <v>35713.392282805711</v>
      </c>
      <c r="I239" s="13">
        <f t="shared" si="69"/>
        <v>2353443.8295845706</v>
      </c>
      <c r="J239" s="15">
        <f t="shared" si="62"/>
        <v>0.71617246833732295</v>
      </c>
      <c r="K239" s="13">
        <f t="shared" si="70"/>
        <v>1083234.5188149035</v>
      </c>
      <c r="L239" s="13">
        <f t="shared" si="79"/>
        <v>70026001.040207788</v>
      </c>
      <c r="M239" s="15">
        <f t="shared" si="71"/>
        <v>0.71617246833732284</v>
      </c>
      <c r="N239" s="13">
        <f t="shared" si="63"/>
        <v>10226.047739936756</v>
      </c>
      <c r="O239" s="13">
        <f t="shared" si="72"/>
        <v>1270209.3107696651</v>
      </c>
      <c r="P239" s="15">
        <f t="shared" si="64"/>
        <v>0.45645954668383426</v>
      </c>
      <c r="Q239" s="7">
        <f t="shared" si="73"/>
        <v>2782742.3481395007</v>
      </c>
      <c r="R239" s="7">
        <f t="shared" si="74"/>
        <v>1512533.0373698357</v>
      </c>
      <c r="S239" s="13">
        <f>IF('Calc (2)'!$AD$32="Sim",R239,Q239)</f>
        <v>1512533.0373698357</v>
      </c>
      <c r="T239" s="9">
        <f t="shared" si="75"/>
        <v>235</v>
      </c>
      <c r="U239" s="17">
        <f t="shared" ca="1" si="76"/>
        <v>52657</v>
      </c>
      <c r="V239" s="22"/>
      <c r="W239" s="22"/>
      <c r="X239" s="22"/>
    </row>
    <row r="240" spans="2:24" x14ac:dyDescent="0.2">
      <c r="B240" s="17">
        <f t="shared" ca="1" si="65"/>
        <v>52657</v>
      </c>
      <c r="C240" s="9">
        <f t="shared" si="77"/>
        <v>236</v>
      </c>
      <c r="D240" s="9"/>
      <c r="E240" s="13">
        <f t="shared" si="66"/>
        <v>2610.4950960856099</v>
      </c>
      <c r="F240" s="14">
        <f t="shared" si="78"/>
        <v>431909.01365101774</v>
      </c>
      <c r="G240" s="15">
        <f t="shared" si="67"/>
        <v>0.28243367387737084</v>
      </c>
      <c r="H240" s="13">
        <f t="shared" si="68"/>
        <v>36211.965104115232</v>
      </c>
      <c r="I240" s="13">
        <f t="shared" si="69"/>
        <v>2389655.7946886858</v>
      </c>
      <c r="J240" s="15">
        <f t="shared" si="62"/>
        <v>0.71756632612262916</v>
      </c>
      <c r="K240" s="13">
        <f t="shared" si="70"/>
        <v>1097331.4898682162</v>
      </c>
      <c r="L240" s="13">
        <f t="shared" si="79"/>
        <v>71123332.530075997</v>
      </c>
      <c r="M240" s="15">
        <f t="shared" si="71"/>
        <v>0.71756632612262905</v>
      </c>
      <c r="N240" s="13">
        <f t="shared" si="63"/>
        <v>10368.712881628539</v>
      </c>
      <c r="O240" s="13">
        <f t="shared" si="72"/>
        <v>1292324.3048204675</v>
      </c>
      <c r="P240" s="15">
        <f t="shared" si="64"/>
        <v>0.45801687808153241</v>
      </c>
      <c r="Q240" s="7">
        <f t="shared" si="73"/>
        <v>2821564.8083397015</v>
      </c>
      <c r="R240" s="7">
        <f t="shared" si="74"/>
        <v>1529240.503519234</v>
      </c>
      <c r="S240" s="13">
        <f>IF('Calc (2)'!$AD$32="Sim",R240,Q240)</f>
        <v>1529240.503519234</v>
      </c>
      <c r="T240" s="9">
        <f t="shared" si="75"/>
        <v>236</v>
      </c>
      <c r="U240" s="17">
        <f t="shared" ca="1" si="76"/>
        <v>52688</v>
      </c>
      <c r="V240" s="22"/>
      <c r="W240" s="22"/>
      <c r="X240" s="22"/>
    </row>
    <row r="241" spans="2:24" x14ac:dyDescent="0.2">
      <c r="B241" s="17">
        <f t="shared" ca="1" si="65"/>
        <v>52688</v>
      </c>
      <c r="C241" s="9">
        <f t="shared" si="77"/>
        <v>237</v>
      </c>
      <c r="D241" s="9"/>
      <c r="E241" s="13">
        <f t="shared" si="66"/>
        <v>2621.1305762436696</v>
      </c>
      <c r="F241" s="14">
        <f t="shared" si="78"/>
        <v>434530.14422726142</v>
      </c>
      <c r="G241" s="15">
        <f t="shared" si="67"/>
        <v>0.28104661217270027</v>
      </c>
      <c r="H241" s="13">
        <f t="shared" si="68"/>
        <v>36717.163716902905</v>
      </c>
      <c r="I241" s="13">
        <f t="shared" si="69"/>
        <v>2426372.9584055888</v>
      </c>
      <c r="J241" s="15">
        <f t="shared" si="62"/>
        <v>0.71895338782729978</v>
      </c>
      <c r="K241" s="13">
        <f t="shared" si="70"/>
        <v>1111584.0069735618</v>
      </c>
      <c r="L241" s="13">
        <f t="shared" si="79"/>
        <v>72234916.537049562</v>
      </c>
      <c r="M241" s="15">
        <f t="shared" si="71"/>
        <v>0.71895338782729978</v>
      </c>
      <c r="N241" s="13">
        <f t="shared" si="63"/>
        <v>10513.273615294145</v>
      </c>
      <c r="O241" s="13">
        <f t="shared" si="72"/>
        <v>1314788.9514320248</v>
      </c>
      <c r="P241" s="15">
        <f t="shared" si="64"/>
        <v>0.45957129768639959</v>
      </c>
      <c r="Q241" s="7">
        <f t="shared" si="73"/>
        <v>2860903.1026328481</v>
      </c>
      <c r="R241" s="7">
        <f t="shared" si="74"/>
        <v>1546114.1512008233</v>
      </c>
      <c r="S241" s="13">
        <f>IF('Calc (2)'!$AD$32="Sim",R241,Q241)</f>
        <v>1546114.1512008233</v>
      </c>
      <c r="T241" s="9">
        <f t="shared" si="75"/>
        <v>237</v>
      </c>
      <c r="U241" s="17">
        <f t="shared" ca="1" si="76"/>
        <v>52718</v>
      </c>
      <c r="V241" s="22"/>
      <c r="W241" s="22"/>
      <c r="X241" s="22"/>
    </row>
    <row r="242" spans="2:24" x14ac:dyDescent="0.2">
      <c r="B242" s="17">
        <f t="shared" ca="1" si="65"/>
        <v>52718</v>
      </c>
      <c r="C242" s="9">
        <f t="shared" si="77"/>
        <v>238</v>
      </c>
      <c r="D242" s="9"/>
      <c r="E242" s="13">
        <f t="shared" si="66"/>
        <v>2631.8093866643917</v>
      </c>
      <c r="F242" s="14">
        <f t="shared" si="78"/>
        <v>437161.95361392584</v>
      </c>
      <c r="G242" s="15">
        <f t="shared" si="67"/>
        <v>0.27966631211724485</v>
      </c>
      <c r="H242" s="13">
        <f t="shared" si="68"/>
        <v>37229.07490449497</v>
      </c>
      <c r="I242" s="13">
        <f t="shared" si="69"/>
        <v>2463602.0333100837</v>
      </c>
      <c r="J242" s="15">
        <f t="shared" si="62"/>
        <v>0.72033368788275509</v>
      </c>
      <c r="K242" s="13">
        <f t="shared" si="70"/>
        <v>1125993.6166953575</v>
      </c>
      <c r="L242" s="13">
        <f t="shared" si="79"/>
        <v>73360910.153744921</v>
      </c>
      <c r="M242" s="15">
        <f t="shared" si="71"/>
        <v>0.7203336878827552</v>
      </c>
      <c r="N242" s="13">
        <f t="shared" si="63"/>
        <v>10659.754767597024</v>
      </c>
      <c r="O242" s="13">
        <f t="shared" si="72"/>
        <v>1337608.4166147243</v>
      </c>
      <c r="P242" s="15">
        <f t="shared" si="64"/>
        <v>0.46112280166341096</v>
      </c>
      <c r="Q242" s="7">
        <f t="shared" si="73"/>
        <v>2900763.9869240075</v>
      </c>
      <c r="R242" s="7">
        <f t="shared" si="74"/>
        <v>1563155.5703092832</v>
      </c>
      <c r="S242" s="13">
        <f>IF('Calc (2)'!$AD$32="Sim",R242,Q242)</f>
        <v>1563155.5703092832</v>
      </c>
      <c r="T242" s="9">
        <f t="shared" si="75"/>
        <v>238</v>
      </c>
      <c r="U242" s="17">
        <f t="shared" ca="1" si="76"/>
        <v>52749</v>
      </c>
      <c r="V242" s="22"/>
      <c r="W242" s="22"/>
      <c r="X242" s="22"/>
    </row>
    <row r="243" spans="2:24" x14ac:dyDescent="0.2">
      <c r="B243" s="17">
        <f t="shared" ca="1" si="65"/>
        <v>52749</v>
      </c>
      <c r="C243" s="9">
        <f t="shared" si="77"/>
        <v>239</v>
      </c>
      <c r="D243" s="9"/>
      <c r="E243" s="13">
        <f t="shared" si="66"/>
        <v>2642.5317038806302</v>
      </c>
      <c r="F243" s="14">
        <f t="shared" si="78"/>
        <v>439804.48531780648</v>
      </c>
      <c r="G243" s="15">
        <f t="shared" si="67"/>
        <v>0.27829273949413524</v>
      </c>
      <c r="H243" s="13">
        <f t="shared" si="68"/>
        <v>37747.786581821369</v>
      </c>
      <c r="I243" s="13">
        <f t="shared" si="69"/>
        <v>2501349.8198919049</v>
      </c>
      <c r="J243" s="15">
        <f t="shared" si="62"/>
        <v>0.72170726050586476</v>
      </c>
      <c r="K243" s="13">
        <f t="shared" si="70"/>
        <v>1140561.8803921223</v>
      </c>
      <c r="L243" s="13">
        <f t="shared" si="79"/>
        <v>74501472.03413704</v>
      </c>
      <c r="M243" s="15">
        <f t="shared" si="71"/>
        <v>0.72170726050586476</v>
      </c>
      <c r="N243" s="13">
        <f t="shared" si="63"/>
        <v>10808.181488919956</v>
      </c>
      <c r="O243" s="13">
        <f t="shared" si="72"/>
        <v>1360787.9394997805</v>
      </c>
      <c r="P243" s="15">
        <f t="shared" si="64"/>
        <v>0.46267138622730442</v>
      </c>
      <c r="Q243" s="7">
        <f t="shared" si="73"/>
        <v>2941154.3052097093</v>
      </c>
      <c r="R243" s="7">
        <f t="shared" si="74"/>
        <v>1580366.3657099288</v>
      </c>
      <c r="S243" s="13">
        <f>IF('Calc (2)'!$AD$32="Sim",R243,Q243)</f>
        <v>1580366.3657099288</v>
      </c>
      <c r="T243" s="9">
        <f t="shared" si="75"/>
        <v>239</v>
      </c>
      <c r="U243" s="17">
        <f t="shared" ca="1" si="76"/>
        <v>52779</v>
      </c>
      <c r="V243" s="22"/>
      <c r="W243" s="22"/>
      <c r="X243" s="22"/>
    </row>
    <row r="244" spans="2:24" x14ac:dyDescent="0.2">
      <c r="B244" s="17">
        <f t="shared" ca="1" si="65"/>
        <v>52779</v>
      </c>
      <c r="C244" s="9">
        <f t="shared" si="77"/>
        <v>240</v>
      </c>
      <c r="D244" s="9">
        <v>20</v>
      </c>
      <c r="E244" s="13">
        <f t="shared" si="66"/>
        <v>2653.297705144455</v>
      </c>
      <c r="F244" s="14">
        <f t="shared" si="78"/>
        <v>442457.78302295093</v>
      </c>
      <c r="G244" s="15">
        <f t="shared" si="67"/>
        <v>0.276925860298816</v>
      </c>
      <c r="H244" s="13">
        <f t="shared" si="68"/>
        <v>38273.38781015062</v>
      </c>
      <c r="I244" s="13">
        <f t="shared" si="69"/>
        <v>2539623.2077020556</v>
      </c>
      <c r="J244" s="15">
        <f t="shared" si="62"/>
        <v>0.72307413970118395</v>
      </c>
      <c r="K244" s="13">
        <f t="shared" si="70"/>
        <v>1155290.374355772</v>
      </c>
      <c r="L244" s="13">
        <f t="shared" si="79"/>
        <v>75656762.408492818</v>
      </c>
      <c r="M244" s="15">
        <f t="shared" si="71"/>
        <v>0.72307413970118406</v>
      </c>
      <c r="N244" s="13">
        <f t="shared" si="63"/>
        <v>10958.579257580286</v>
      </c>
      <c r="O244" s="13">
        <f t="shared" si="72"/>
        <v>1384332.8333462817</v>
      </c>
      <c r="P244" s="15">
        <f t="shared" si="64"/>
        <v>0.46421704764286842</v>
      </c>
      <c r="Q244" s="7">
        <f t="shared" si="73"/>
        <v>2982080.9907250046</v>
      </c>
      <c r="R244" s="7">
        <f t="shared" si="74"/>
        <v>1597748.1573787229</v>
      </c>
      <c r="S244" s="13">
        <f>IF('Calc (2)'!$AD$32="Sim",R244,Q244)</f>
        <v>1597748.1573787229</v>
      </c>
      <c r="T244" s="9">
        <f t="shared" si="75"/>
        <v>240</v>
      </c>
      <c r="U244" s="17">
        <f t="shared" ca="1" si="76"/>
        <v>52810</v>
      </c>
      <c r="V244" s="22"/>
      <c r="W244" s="22"/>
      <c r="X244" s="22"/>
    </row>
    <row r="245" spans="2:24" x14ac:dyDescent="0.2">
      <c r="B245" s="17">
        <f t="shared" ca="1" si="65"/>
        <v>52810</v>
      </c>
      <c r="C245" s="9">
        <f t="shared" si="77"/>
        <v>241</v>
      </c>
      <c r="D245" s="9"/>
      <c r="E245" s="13">
        <f t="shared" si="66"/>
        <v>2664.1075684300836</v>
      </c>
      <c r="F245" s="14">
        <f t="shared" si="78"/>
        <v>445121.890591381</v>
      </c>
      <c r="G245" s="15">
        <f t="shared" si="67"/>
        <v>0.27556564073684864</v>
      </c>
      <c r="H245" s="13">
        <f t="shared" si="68"/>
        <v>38805.968812016581</v>
      </c>
      <c r="I245" s="13">
        <f t="shared" si="69"/>
        <v>2578429.1765140723</v>
      </c>
      <c r="J245" s="15">
        <f t="shared" si="62"/>
        <v>0.72443435926315136</v>
      </c>
      <c r="K245" s="13">
        <f t="shared" si="70"/>
        <v>1170180.6899522147</v>
      </c>
      <c r="L245" s="13">
        <f t="shared" si="79"/>
        <v>76826943.098445028</v>
      </c>
      <c r="M245" s="15">
        <f t="shared" si="71"/>
        <v>0.72443435926315147</v>
      </c>
      <c r="N245" s="13">
        <f t="shared" si="63"/>
        <v>11110.973884099987</v>
      </c>
      <c r="O245" s="13">
        <f t="shared" si="72"/>
        <v>1408248.486561856</v>
      </c>
      <c r="P245" s="15">
        <f t="shared" si="64"/>
        <v>0.46575978222521647</v>
      </c>
      <c r="Q245" s="7">
        <f t="shared" si="73"/>
        <v>3023551.0671054516</v>
      </c>
      <c r="R245" s="7">
        <f t="shared" si="74"/>
        <v>1615302.5805435956</v>
      </c>
      <c r="S245" s="13">
        <f>IF('Calc (2)'!$AD$32="Sim",R245,Q245)</f>
        <v>1615302.5805435956</v>
      </c>
      <c r="T245" s="9">
        <f t="shared" si="75"/>
        <v>241</v>
      </c>
      <c r="U245" s="17">
        <f t="shared" ca="1" si="76"/>
        <v>52841</v>
      </c>
      <c r="V245" s="22"/>
      <c r="W245" s="22"/>
      <c r="X245" s="22"/>
    </row>
    <row r="246" spans="2:24" x14ac:dyDescent="0.2">
      <c r="B246" s="17">
        <f t="shared" ca="1" si="65"/>
        <v>52841</v>
      </c>
      <c r="C246" s="9">
        <f t="shared" si="77"/>
        <v>242</v>
      </c>
      <c r="D246" s="9"/>
      <c r="E246" s="13">
        <f t="shared" si="66"/>
        <v>2674.9614724368221</v>
      </c>
      <c r="F246" s="14">
        <f t="shared" si="78"/>
        <v>447796.85206381785</v>
      </c>
      <c r="G246" s="15">
        <f t="shared" si="67"/>
        <v>0.2742120472217543</v>
      </c>
      <c r="H246" s="13">
        <f t="shared" si="68"/>
        <v>39345.620986339425</v>
      </c>
      <c r="I246" s="13">
        <f t="shared" si="69"/>
        <v>2617774.797500412</v>
      </c>
      <c r="J246" s="15">
        <f t="shared" si="62"/>
        <v>0.7257879527782457</v>
      </c>
      <c r="K246" s="13">
        <f t="shared" si="70"/>
        <v>1185234.4337632637</v>
      </c>
      <c r="L246" s="13">
        <f t="shared" si="79"/>
        <v>78012177.532208294</v>
      </c>
      <c r="M246" s="15">
        <f t="shared" si="71"/>
        <v>0.7257879527782457</v>
      </c>
      <c r="N246" s="13">
        <f t="shared" si="63"/>
        <v>11265.39151553133</v>
      </c>
      <c r="O246" s="13">
        <f t="shared" si="72"/>
        <v>1432540.3637371464</v>
      </c>
      <c r="P246" s="15">
        <f t="shared" si="64"/>
        <v>0.46729958634004931</v>
      </c>
      <c r="Q246" s="7">
        <f t="shared" si="73"/>
        <v>3065571.649564228</v>
      </c>
      <c r="R246" s="7">
        <f t="shared" si="74"/>
        <v>1633031.2858270817</v>
      </c>
      <c r="S246" s="13">
        <f>IF('Calc (2)'!$AD$32="Sim",R246,Q246)</f>
        <v>1633031.2858270817</v>
      </c>
      <c r="T246" s="9">
        <f t="shared" si="75"/>
        <v>242</v>
      </c>
      <c r="U246" s="17">
        <f t="shared" ca="1" si="76"/>
        <v>52871</v>
      </c>
      <c r="V246" s="22"/>
      <c r="W246" s="22"/>
      <c r="X246" s="22"/>
    </row>
    <row r="247" spans="2:24" x14ac:dyDescent="0.2">
      <c r="B247" s="17">
        <f t="shared" ca="1" si="65"/>
        <v>52871</v>
      </c>
      <c r="C247" s="9">
        <f t="shared" si="77"/>
        <v>243</v>
      </c>
      <c r="D247" s="9"/>
      <c r="E247" s="13">
        <f t="shared" si="66"/>
        <v>2685.8595965920199</v>
      </c>
      <c r="F247" s="14">
        <f t="shared" si="78"/>
        <v>450482.71166040987</v>
      </c>
      <c r="G247" s="15">
        <f t="shared" si="67"/>
        <v>0.27286504637289527</v>
      </c>
      <c r="H247" s="13">
        <f t="shared" si="68"/>
        <v>39892.436923743458</v>
      </c>
      <c r="I247" s="13">
        <f t="shared" si="69"/>
        <v>2657667.2344241552</v>
      </c>
      <c r="J247" s="15">
        <f t="shared" si="62"/>
        <v>0.72713495362710479</v>
      </c>
      <c r="K247" s="13">
        <f t="shared" si="70"/>
        <v>1200453.2277298765</v>
      </c>
      <c r="L247" s="13">
        <f t="shared" si="79"/>
        <v>79212630.759938166</v>
      </c>
      <c r="M247" s="15">
        <f t="shared" si="71"/>
        <v>0.72713495362710479</v>
      </c>
      <c r="N247" s="13">
        <f t="shared" si="63"/>
        <v>11421.858639838847</v>
      </c>
      <c r="O247" s="13">
        <f t="shared" si="72"/>
        <v>1457214.0066942773</v>
      </c>
      <c r="P247" s="15">
        <f t="shared" si="64"/>
        <v>0.4688364564039057</v>
      </c>
      <c r="Q247" s="7">
        <f t="shared" si="73"/>
        <v>3108149.9460845636</v>
      </c>
      <c r="R247" s="7">
        <f t="shared" si="74"/>
        <v>1650935.9393902863</v>
      </c>
      <c r="S247" s="13">
        <f>IF('Calc (2)'!$AD$32="Sim",R247,Q247)</f>
        <v>1650935.9393902863</v>
      </c>
      <c r="T247" s="9">
        <f t="shared" si="75"/>
        <v>243</v>
      </c>
      <c r="U247" s="17">
        <f t="shared" ca="1" si="76"/>
        <v>52902</v>
      </c>
      <c r="V247" s="22"/>
      <c r="W247" s="22"/>
      <c r="X247" s="22"/>
    </row>
    <row r="248" spans="2:24" x14ac:dyDescent="0.2">
      <c r="B248" s="17">
        <f t="shared" ca="1" si="65"/>
        <v>52902</v>
      </c>
      <c r="C248" s="9">
        <f t="shared" si="77"/>
        <v>244</v>
      </c>
      <c r="D248" s="9"/>
      <c r="E248" s="13">
        <f t="shared" si="66"/>
        <v>2696.8021210540355</v>
      </c>
      <c r="F248" s="14">
        <f t="shared" si="78"/>
        <v>453179.5137814639</v>
      </c>
      <c r="G248" s="15">
        <f t="shared" si="67"/>
        <v>0.27152460501339393</v>
      </c>
      <c r="H248" s="13">
        <f t="shared" si="68"/>
        <v>40446.510422074316</v>
      </c>
      <c r="I248" s="13">
        <f t="shared" si="69"/>
        <v>2698113.7448462294</v>
      </c>
      <c r="J248" s="15">
        <f t="shared" si="62"/>
        <v>0.72847539498660607</v>
      </c>
      <c r="K248" s="13">
        <f t="shared" si="70"/>
        <v>1215838.7092967324</v>
      </c>
      <c r="L248" s="13">
        <f t="shared" si="79"/>
        <v>80428469.469234899</v>
      </c>
      <c r="M248" s="15">
        <f t="shared" si="71"/>
        <v>0.72847539498660607</v>
      </c>
      <c r="N248" s="13">
        <f t="shared" si="63"/>
        <v>11580.402090338321</v>
      </c>
      <c r="O248" s="13">
        <f t="shared" si="72"/>
        <v>1482275.0355494954</v>
      </c>
      <c r="P248" s="15">
        <f t="shared" si="64"/>
        <v>0.47037038888439997</v>
      </c>
      <c r="Q248" s="7">
        <f t="shared" si="73"/>
        <v>3151293.2586276918</v>
      </c>
      <c r="R248" s="7">
        <f t="shared" si="74"/>
        <v>1669018.2230781964</v>
      </c>
      <c r="S248" s="13">
        <f>IF('Calc (2)'!$AD$32="Sim",R248,Q248)</f>
        <v>1669018.2230781964</v>
      </c>
      <c r="T248" s="9">
        <f t="shared" si="75"/>
        <v>244</v>
      </c>
      <c r="U248" s="17">
        <f t="shared" ca="1" si="76"/>
        <v>52932</v>
      </c>
      <c r="V248" s="22"/>
      <c r="W248" s="22"/>
      <c r="X248" s="22"/>
    </row>
    <row r="249" spans="2:24" x14ac:dyDescent="0.2">
      <c r="B249" s="17">
        <f t="shared" ca="1" si="65"/>
        <v>52932</v>
      </c>
      <c r="C249" s="9">
        <f t="shared" si="77"/>
        <v>245</v>
      </c>
      <c r="D249" s="9"/>
      <c r="E249" s="13">
        <f t="shared" si="66"/>
        <v>2707.7892267152151</v>
      </c>
      <c r="F249" s="14">
        <f t="shared" si="78"/>
        <v>455887.30300817912</v>
      </c>
      <c r="G249" s="15">
        <f t="shared" si="67"/>
        <v>0.27019069016808889</v>
      </c>
      <c r="H249" s="13">
        <f t="shared" si="68"/>
        <v>41007.936502118064</v>
      </c>
      <c r="I249" s="13">
        <f t="shared" si="69"/>
        <v>2739121.6813483476</v>
      </c>
      <c r="J249" s="15">
        <f t="shared" si="62"/>
        <v>0.72980930983191117</v>
      </c>
      <c r="K249" s="13">
        <f t="shared" si="70"/>
        <v>1231392.5315581639</v>
      </c>
      <c r="L249" s="13">
        <f t="shared" si="79"/>
        <v>81659862.00079307</v>
      </c>
      <c r="M249" s="15">
        <f t="shared" si="71"/>
        <v>0.72980930983191106</v>
      </c>
      <c r="N249" s="13">
        <f t="shared" si="63"/>
        <v>11741.049050193555</v>
      </c>
      <c r="O249" s="13">
        <f t="shared" si="72"/>
        <v>1507729.1497901818</v>
      </c>
      <c r="P249" s="15">
        <f t="shared" si="64"/>
        <v>0.47190138030044965</v>
      </c>
      <c r="Q249" s="7">
        <f t="shared" si="73"/>
        <v>3195008.9843565249</v>
      </c>
      <c r="R249" s="7">
        <f t="shared" si="74"/>
        <v>1687279.8345663431</v>
      </c>
      <c r="S249" s="13">
        <f>IF('Calc (2)'!$AD$32="Sim",R249,Q249)</f>
        <v>1687279.8345663431</v>
      </c>
      <c r="T249" s="9">
        <f t="shared" si="75"/>
        <v>245</v>
      </c>
      <c r="U249" s="17">
        <f t="shared" ca="1" si="76"/>
        <v>52963</v>
      </c>
      <c r="V249" s="22"/>
      <c r="W249" s="22"/>
      <c r="X249" s="22"/>
    </row>
    <row r="250" spans="2:24" x14ac:dyDescent="0.2">
      <c r="B250" s="17">
        <f t="shared" ca="1" si="65"/>
        <v>52963</v>
      </c>
      <c r="C250" s="9">
        <f t="shared" si="77"/>
        <v>246</v>
      </c>
      <c r="D250" s="9"/>
      <c r="E250" s="13">
        <f t="shared" si="66"/>
        <v>2718.8210952048826</v>
      </c>
      <c r="F250" s="14">
        <f t="shared" si="78"/>
        <v>458606.12410338398</v>
      </c>
      <c r="G250" s="15">
        <f t="shared" si="67"/>
        <v>0.26886326906152641</v>
      </c>
      <c r="H250" s="13">
        <f t="shared" si="68"/>
        <v>41576.811423524989</v>
      </c>
      <c r="I250" s="13">
        <f t="shared" si="69"/>
        <v>2780698.4927718728</v>
      </c>
      <c r="J250" s="15">
        <f t="shared" si="62"/>
        <v>0.73113673093847353</v>
      </c>
      <c r="K250" s="13">
        <f t="shared" si="70"/>
        <v>1247116.3634054507</v>
      </c>
      <c r="L250" s="13">
        <f t="shared" si="79"/>
        <v>82906978.364198521</v>
      </c>
      <c r="M250" s="15">
        <f t="shared" si="71"/>
        <v>0.73113673093847353</v>
      </c>
      <c r="N250" s="13">
        <f t="shared" si="63"/>
        <v>11903.827056971681</v>
      </c>
      <c r="O250" s="13">
        <f t="shared" si="72"/>
        <v>1533582.1293664202</v>
      </c>
      <c r="P250" s="15">
        <f t="shared" si="64"/>
        <v>0.47342942722249026</v>
      </c>
      <c r="Q250" s="7">
        <f t="shared" si="73"/>
        <v>3239304.616875255</v>
      </c>
      <c r="R250" s="7">
        <f t="shared" si="74"/>
        <v>1705722.4875088348</v>
      </c>
      <c r="S250" s="13">
        <f>IF('Calc (2)'!$AD$32="Sim",R250,Q250)</f>
        <v>1705722.4875088348</v>
      </c>
      <c r="T250" s="9">
        <f t="shared" si="75"/>
        <v>246</v>
      </c>
      <c r="U250" s="17">
        <f t="shared" ca="1" si="76"/>
        <v>52994</v>
      </c>
      <c r="V250" s="22"/>
      <c r="W250" s="22"/>
      <c r="X250" s="22"/>
    </row>
    <row r="251" spans="2:24" x14ac:dyDescent="0.2">
      <c r="B251" s="17">
        <f t="shared" ca="1" si="65"/>
        <v>52994</v>
      </c>
      <c r="C251" s="9">
        <f t="shared" si="77"/>
        <v>247</v>
      </c>
      <c r="D251" s="9"/>
      <c r="E251" s="13">
        <f t="shared" si="66"/>
        <v>2729.8979088923415</v>
      </c>
      <c r="F251" s="14">
        <f t="shared" si="78"/>
        <v>461336.02201227634</v>
      </c>
      <c r="G251" s="15">
        <f t="shared" si="67"/>
        <v>0.26754230911598725</v>
      </c>
      <c r="H251" s="13">
        <f t="shared" si="68"/>
        <v>42153.232700940556</v>
      </c>
      <c r="I251" s="13">
        <f t="shared" si="69"/>
        <v>2822851.7254728135</v>
      </c>
      <c r="J251" s="15">
        <f t="shared" si="62"/>
        <v>0.7324576908840128</v>
      </c>
      <c r="K251" s="13">
        <f t="shared" si="70"/>
        <v>1263011.8896754931</v>
      </c>
      <c r="L251" s="13">
        <f t="shared" si="79"/>
        <v>84169990.253874019</v>
      </c>
      <c r="M251" s="15">
        <f t="shared" si="71"/>
        <v>0.73245769088401269</v>
      </c>
      <c r="N251" s="13">
        <f t="shared" si="63"/>
        <v>12068.764007257731</v>
      </c>
      <c r="O251" s="13">
        <f t="shared" si="72"/>
        <v>1559839.8357973187</v>
      </c>
      <c r="P251" s="15">
        <f t="shared" si="64"/>
        <v>0.47495452627267959</v>
      </c>
      <c r="Q251" s="7">
        <f t="shared" si="73"/>
        <v>3284187.7474850882</v>
      </c>
      <c r="R251" s="7">
        <f t="shared" si="74"/>
        <v>1724347.9116877695</v>
      </c>
      <c r="S251" s="13">
        <f>IF('Calc (2)'!$AD$32="Sim",R251,Q251)</f>
        <v>1724347.9116877695</v>
      </c>
      <c r="T251" s="9">
        <f t="shared" si="75"/>
        <v>247</v>
      </c>
      <c r="U251" s="17">
        <f t="shared" ca="1" si="76"/>
        <v>53022</v>
      </c>
      <c r="V251" s="22"/>
      <c r="W251" s="22"/>
      <c r="X251" s="22"/>
    </row>
    <row r="252" spans="2:24" x14ac:dyDescent="0.2">
      <c r="B252" s="17">
        <f t="shared" ca="1" si="65"/>
        <v>53022</v>
      </c>
      <c r="C252" s="9">
        <f t="shared" si="77"/>
        <v>248</v>
      </c>
      <c r="D252" s="9"/>
      <c r="E252" s="13">
        <f t="shared" si="66"/>
        <v>2741.0198508898916</v>
      </c>
      <c r="F252" s="14">
        <f t="shared" si="78"/>
        <v>464077.04186316626</v>
      </c>
      <c r="G252" s="15">
        <f t="shared" si="67"/>
        <v>0.26622777794954766</v>
      </c>
      <c r="H252" s="13">
        <f t="shared" si="68"/>
        <v>42737.299120346353</v>
      </c>
      <c r="I252" s="13">
        <f t="shared" si="69"/>
        <v>2865589.02459316</v>
      </c>
      <c r="J252" s="15">
        <f t="shared" si="62"/>
        <v>0.73377222205045234</v>
      </c>
      <c r="K252" s="13">
        <f t="shared" si="70"/>
        <v>1279080.8113008738</v>
      </c>
      <c r="L252" s="13">
        <f t="shared" si="79"/>
        <v>85449071.065174893</v>
      </c>
      <c r="M252" s="15">
        <f t="shared" si="71"/>
        <v>0.73377222205045234</v>
      </c>
      <c r="N252" s="13">
        <f t="shared" si="63"/>
        <v>12235.888161329294</v>
      </c>
      <c r="O252" s="13">
        <f t="shared" si="72"/>
        <v>1586508.2132922844</v>
      </c>
      <c r="P252" s="15">
        <f t="shared" si="64"/>
        <v>0.4764766741250912</v>
      </c>
      <c r="Q252" s="7">
        <f t="shared" si="73"/>
        <v>3329666.0664563244</v>
      </c>
      <c r="R252" s="7">
        <f t="shared" si="74"/>
        <v>1743157.85316404</v>
      </c>
      <c r="S252" s="13">
        <f>IF('Calc (2)'!$AD$32="Sim",R252,Q252)</f>
        <v>1743157.85316404</v>
      </c>
      <c r="T252" s="9">
        <f t="shared" si="75"/>
        <v>248</v>
      </c>
      <c r="U252" s="17">
        <f t="shared" ca="1" si="76"/>
        <v>53053</v>
      </c>
      <c r="V252" s="22"/>
      <c r="W252" s="22"/>
      <c r="X252" s="22"/>
    </row>
    <row r="253" spans="2:24" x14ac:dyDescent="0.2">
      <c r="B253" s="17">
        <f t="shared" ca="1" si="65"/>
        <v>53053</v>
      </c>
      <c r="C253" s="9">
        <f t="shared" si="77"/>
        <v>249</v>
      </c>
      <c r="D253" s="9"/>
      <c r="E253" s="13">
        <f t="shared" si="66"/>
        <v>2752.1871050558543</v>
      </c>
      <c r="F253" s="14">
        <f t="shared" si="78"/>
        <v>466829.2289682221</v>
      </c>
      <c r="G253" s="15">
        <f t="shared" si="67"/>
        <v>0.26491964337417351</v>
      </c>
      <c r="H253" s="13">
        <f t="shared" si="68"/>
        <v>43329.110755613736</v>
      </c>
      <c r="I253" s="13">
        <f t="shared" si="69"/>
        <v>2908918.1353487736</v>
      </c>
      <c r="J253" s="15">
        <f t="shared" si="62"/>
        <v>0.73508035662582649</v>
      </c>
      <c r="K253" s="13">
        <f t="shared" si="70"/>
        <v>1295324.8454613239</v>
      </c>
      <c r="L253" s="13">
        <f t="shared" si="79"/>
        <v>86744395.910636216</v>
      </c>
      <c r="M253" s="15">
        <f t="shared" si="71"/>
        <v>0.73508035662582649</v>
      </c>
      <c r="N253" s="13">
        <f t="shared" si="63"/>
        <v>12405.228147892014</v>
      </c>
      <c r="O253" s="13">
        <f t="shared" si="72"/>
        <v>1613593.2898874478</v>
      </c>
      <c r="P253" s="15">
        <f t="shared" si="64"/>
        <v>0.47799586750589729</v>
      </c>
      <c r="Q253" s="7">
        <f t="shared" si="73"/>
        <v>3375747.3643169939</v>
      </c>
      <c r="R253" s="7">
        <f t="shared" si="74"/>
        <v>1762154.074429546</v>
      </c>
      <c r="S253" s="13">
        <f>IF('Calc (2)'!$AD$32="Sim",R253,Q253)</f>
        <v>1762154.074429546</v>
      </c>
      <c r="T253" s="9">
        <f t="shared" si="75"/>
        <v>249</v>
      </c>
      <c r="U253" s="17">
        <f t="shared" ca="1" si="76"/>
        <v>53083</v>
      </c>
      <c r="V253" s="22"/>
      <c r="W253" s="22"/>
      <c r="X253" s="22"/>
    </row>
    <row r="254" spans="2:24" x14ac:dyDescent="0.2">
      <c r="B254" s="17">
        <f t="shared" ca="1" si="65"/>
        <v>53083</v>
      </c>
      <c r="C254" s="9">
        <f t="shared" si="77"/>
        <v>250</v>
      </c>
      <c r="D254" s="9"/>
      <c r="E254" s="13">
        <f t="shared" si="66"/>
        <v>2763.3998559976126</v>
      </c>
      <c r="F254" s="14">
        <f t="shared" si="78"/>
        <v>469592.62882421969</v>
      </c>
      <c r="G254" s="15">
        <f t="shared" si="67"/>
        <v>0.26361787339384729</v>
      </c>
      <c r="H254" s="13">
        <f t="shared" si="68"/>
        <v>43928.768985272894</v>
      </c>
      <c r="I254" s="13">
        <f t="shared" si="69"/>
        <v>2952846.9043340464</v>
      </c>
      <c r="J254" s="15">
        <f t="shared" si="62"/>
        <v>0.73638212660615276</v>
      </c>
      <c r="K254" s="13">
        <f t="shared" si="70"/>
        <v>1311745.725736605</v>
      </c>
      <c r="L254" s="13">
        <f t="shared" si="79"/>
        <v>88056141.63637282</v>
      </c>
      <c r="M254" s="15">
        <f t="shared" si="71"/>
        <v>0.73638212660615276</v>
      </c>
      <c r="N254" s="13">
        <f t="shared" si="63"/>
        <v>12576.812968876699</v>
      </c>
      <c r="O254" s="13">
        <f t="shared" si="72"/>
        <v>1641101.1785974395</v>
      </c>
      <c r="P254" s="15">
        <f t="shared" si="64"/>
        <v>0.47951210319354093</v>
      </c>
      <c r="Q254" s="7">
        <f t="shared" si="73"/>
        <v>3422439.5331582641</v>
      </c>
      <c r="R254" s="7">
        <f t="shared" si="74"/>
        <v>1781338.3545608246</v>
      </c>
      <c r="S254" s="13">
        <f>IF('Calc (2)'!$AD$32="Sim",R254,Q254)</f>
        <v>1781338.3545608246</v>
      </c>
      <c r="T254" s="9">
        <f t="shared" si="75"/>
        <v>250</v>
      </c>
      <c r="U254" s="17">
        <f t="shared" ca="1" si="76"/>
        <v>53114</v>
      </c>
      <c r="V254" s="22"/>
      <c r="W254" s="22"/>
      <c r="X254" s="22"/>
    </row>
    <row r="255" spans="2:24" x14ac:dyDescent="0.2">
      <c r="B255" s="17">
        <f t="shared" ca="1" si="65"/>
        <v>53114</v>
      </c>
      <c r="C255" s="9">
        <f t="shared" si="77"/>
        <v>251</v>
      </c>
      <c r="D255" s="9"/>
      <c r="E255" s="13">
        <f t="shared" si="66"/>
        <v>2774.6582890746627</v>
      </c>
      <c r="F255" s="14">
        <f t="shared" si="78"/>
        <v>472367.28711329435</v>
      </c>
      <c r="G255" s="15">
        <f t="shared" si="67"/>
        <v>0.26232243620272683</v>
      </c>
      <c r="H255" s="13">
        <f t="shared" si="68"/>
        <v>44536.376509500202</v>
      </c>
      <c r="I255" s="13">
        <f t="shared" si="69"/>
        <v>2997383.2808435466</v>
      </c>
      <c r="J255" s="15">
        <f t="shared" si="62"/>
        <v>0.73767756379727323</v>
      </c>
      <c r="K255" s="13">
        <f t="shared" si="70"/>
        <v>1328345.2022608193</v>
      </c>
      <c r="L255" s="13">
        <f t="shared" si="79"/>
        <v>89384486.838633642</v>
      </c>
      <c r="M255" s="15">
        <f t="shared" si="71"/>
        <v>0.73767756379727312</v>
      </c>
      <c r="N255" s="13">
        <f t="shared" si="63"/>
        <v>12750.672004298895</v>
      </c>
      <c r="O255" s="13">
        <f t="shared" si="72"/>
        <v>1669038.078582725</v>
      </c>
      <c r="P255" s="15">
        <f t="shared" si="64"/>
        <v>0.48102537801889816</v>
      </c>
      <c r="Q255" s="7">
        <f t="shared" si="73"/>
        <v>3469750.5679568388</v>
      </c>
      <c r="R255" s="7">
        <f t="shared" si="74"/>
        <v>1800712.4893741137</v>
      </c>
      <c r="S255" s="13">
        <f>IF('Calc (2)'!$AD$32="Sim",R255,Q255)</f>
        <v>1800712.4893741137</v>
      </c>
      <c r="T255" s="9">
        <f t="shared" si="75"/>
        <v>251</v>
      </c>
      <c r="U255" s="17">
        <f t="shared" ca="1" si="76"/>
        <v>53144</v>
      </c>
      <c r="V255" s="22"/>
      <c r="W255" s="22"/>
      <c r="X255" s="22"/>
    </row>
    <row r="256" spans="2:24" x14ac:dyDescent="0.2">
      <c r="B256" s="17">
        <f t="shared" ca="1" si="65"/>
        <v>53144</v>
      </c>
      <c r="C256" s="9">
        <f t="shared" si="77"/>
        <v>252</v>
      </c>
      <c r="D256" s="9">
        <v>21</v>
      </c>
      <c r="E256" s="13">
        <f t="shared" si="66"/>
        <v>2785.9625904016789</v>
      </c>
      <c r="F256" s="14">
        <f t="shared" si="78"/>
        <v>475153.24970369606</v>
      </c>
      <c r="G256" s="15">
        <f t="shared" si="67"/>
        <v>0.26103330018333482</v>
      </c>
      <c r="H256" s="13">
        <f t="shared" si="68"/>
        <v>45152.037367326659</v>
      </c>
      <c r="I256" s="13">
        <f t="shared" si="69"/>
        <v>3042535.3182108733</v>
      </c>
      <c r="J256" s="15">
        <f t="shared" si="62"/>
        <v>0.73896669981666518</v>
      </c>
      <c r="K256" s="13">
        <f t="shared" si="70"/>
        <v>1345125.0418781661</v>
      </c>
      <c r="L256" s="13">
        <f t="shared" si="79"/>
        <v>90729611.880511805</v>
      </c>
      <c r="M256" s="15">
        <f t="shared" si="71"/>
        <v>0.73896669981666518</v>
      </c>
      <c r="N256" s="13">
        <f t="shared" si="63"/>
        <v>12926.835017181696</v>
      </c>
      <c r="O256" s="13">
        <f t="shared" si="72"/>
        <v>1697410.2763327048</v>
      </c>
      <c r="P256" s="15">
        <f t="shared" si="64"/>
        <v>0.48253568886543036</v>
      </c>
      <c r="Q256" s="7">
        <f t="shared" si="73"/>
        <v>3517688.567914567</v>
      </c>
      <c r="R256" s="7">
        <f t="shared" si="74"/>
        <v>1820278.2915818621</v>
      </c>
      <c r="S256" s="13">
        <f>IF('Calc (2)'!$AD$32="Sim",R256,Q256)</f>
        <v>1820278.2915818621</v>
      </c>
      <c r="T256" s="9">
        <f t="shared" si="75"/>
        <v>252</v>
      </c>
      <c r="U256" s="17">
        <f t="shared" ca="1" si="76"/>
        <v>53175</v>
      </c>
      <c r="V256" s="22"/>
      <c r="W256" s="22"/>
      <c r="X256" s="22"/>
    </row>
    <row r="257" spans="2:24" x14ac:dyDescent="0.2">
      <c r="B257" s="17">
        <f t="shared" ca="1" si="65"/>
        <v>53175</v>
      </c>
      <c r="C257" s="9">
        <f t="shared" si="77"/>
        <v>253</v>
      </c>
      <c r="D257" s="9"/>
      <c r="E257" s="13">
        <f t="shared" si="66"/>
        <v>2797.312946851589</v>
      </c>
      <c r="F257" s="14">
        <f t="shared" si="78"/>
        <v>477950.56265054765</v>
      </c>
      <c r="G257" s="15">
        <f t="shared" si="67"/>
        <v>0.25975043390477898</v>
      </c>
      <c r="H257" s="13">
        <f t="shared" si="68"/>
        <v>45775.856954070267</v>
      </c>
      <c r="I257" s="13">
        <f t="shared" si="69"/>
        <v>3088311.1751649436</v>
      </c>
      <c r="J257" s="15">
        <f t="shared" si="62"/>
        <v>0.74024956609522108</v>
      </c>
      <c r="K257" s="13">
        <f t="shared" si="70"/>
        <v>1362087.0283001489</v>
      </c>
      <c r="L257" s="13">
        <f t="shared" si="79"/>
        <v>92091698.908811957</v>
      </c>
      <c r="M257" s="15">
        <f t="shared" si="71"/>
        <v>0.74024956609522108</v>
      </c>
      <c r="N257" s="13">
        <f t="shared" si="63"/>
        <v>13105.33215854262</v>
      </c>
      <c r="O257" s="13">
        <f t="shared" si="72"/>
        <v>1726224.1468647921</v>
      </c>
      <c r="P257" s="15">
        <f t="shared" si="64"/>
        <v>0.48404303266932663</v>
      </c>
      <c r="Q257" s="7">
        <f t="shared" si="73"/>
        <v>3566261.7378154886</v>
      </c>
      <c r="R257" s="7">
        <f t="shared" si="74"/>
        <v>1840037.5909506965</v>
      </c>
      <c r="S257" s="13">
        <f>IF('Calc (2)'!$AD$32="Sim",R257,Q257)</f>
        <v>1840037.5909506965</v>
      </c>
      <c r="T257" s="9">
        <f t="shared" si="75"/>
        <v>253</v>
      </c>
      <c r="U257" s="17">
        <f t="shared" ca="1" si="76"/>
        <v>53206</v>
      </c>
      <c r="V257" s="22"/>
      <c r="W257" s="22"/>
      <c r="X257" s="22"/>
    </row>
    <row r="258" spans="2:24" x14ac:dyDescent="0.2">
      <c r="B258" s="17">
        <f t="shared" ca="1" si="65"/>
        <v>53206</v>
      </c>
      <c r="C258" s="9">
        <f t="shared" si="77"/>
        <v>254</v>
      </c>
      <c r="D258" s="9"/>
      <c r="E258" s="13">
        <f t="shared" si="66"/>
        <v>2808.7095460586647</v>
      </c>
      <c r="F258" s="14">
        <f t="shared" si="78"/>
        <v>480759.27219660633</v>
      </c>
      <c r="G258" s="15">
        <f t="shared" si="67"/>
        <v>0.25847380612100185</v>
      </c>
      <c r="H258" s="13">
        <f t="shared" si="68"/>
        <v>46407.942038995374</v>
      </c>
      <c r="I258" s="13">
        <f t="shared" si="69"/>
        <v>3134719.1172039388</v>
      </c>
      <c r="J258" s="15">
        <f t="shared" si="62"/>
        <v>0.7415261938789981</v>
      </c>
      <c r="K258" s="13">
        <f t="shared" si="70"/>
        <v>1379232.9622642577</v>
      </c>
      <c r="L258" s="13">
        <f t="shared" si="79"/>
        <v>93470931.871076211</v>
      </c>
      <c r="M258" s="15">
        <f t="shared" si="71"/>
        <v>0.74152619387899821</v>
      </c>
      <c r="N258" s="13">
        <f t="shared" si="63"/>
        <v>13286.193972445401</v>
      </c>
      <c r="O258" s="13">
        <f t="shared" si="72"/>
        <v>1755486.1549396783</v>
      </c>
      <c r="P258" s="15">
        <f t="shared" si="64"/>
        <v>0.48554740641963662</v>
      </c>
      <c r="Q258" s="7">
        <f t="shared" si="73"/>
        <v>3615478.3894005422</v>
      </c>
      <c r="R258" s="7">
        <f t="shared" si="74"/>
        <v>1859992.234460864</v>
      </c>
      <c r="S258" s="13">
        <f>IF('Calc (2)'!$AD$32="Sim",R258,Q258)</f>
        <v>1859992.234460864</v>
      </c>
      <c r="T258" s="9">
        <f t="shared" si="75"/>
        <v>254</v>
      </c>
      <c r="U258" s="17">
        <f t="shared" ca="1" si="76"/>
        <v>53236</v>
      </c>
      <c r="V258" s="22"/>
      <c r="W258" s="22"/>
      <c r="X258" s="22"/>
    </row>
    <row r="259" spans="2:24" x14ac:dyDescent="0.2">
      <c r="B259" s="17">
        <f t="shared" ca="1" si="65"/>
        <v>53236</v>
      </c>
      <c r="C259" s="9">
        <f t="shared" si="77"/>
        <v>255</v>
      </c>
      <c r="D259" s="9"/>
      <c r="E259" s="13">
        <f t="shared" si="66"/>
        <v>2820.1525764216226</v>
      </c>
      <c r="F259" s="14">
        <f t="shared" si="78"/>
        <v>483579.42477302795</v>
      </c>
      <c r="G259" s="15">
        <f t="shared" si="67"/>
        <v>0.25720338576905905</v>
      </c>
      <c r="H259" s="13">
        <f t="shared" si="68"/>
        <v>47048.40078320176</v>
      </c>
      <c r="I259" s="13">
        <f t="shared" si="69"/>
        <v>3181767.5179871405</v>
      </c>
      <c r="J259" s="15">
        <f t="shared" si="62"/>
        <v>0.74279661423094101</v>
      </c>
      <c r="K259" s="13">
        <f t="shared" si="70"/>
        <v>1396564.6616941318</v>
      </c>
      <c r="L259" s="13">
        <f t="shared" si="79"/>
        <v>94867496.532770336</v>
      </c>
      <c r="M259" s="15">
        <f t="shared" si="71"/>
        <v>0.74279661423094101</v>
      </c>
      <c r="N259" s="13">
        <f t="shared" si="63"/>
        <v>13469.451401117531</v>
      </c>
      <c r="O259" s="13">
        <f t="shared" si="72"/>
        <v>1785202.8562930061</v>
      </c>
      <c r="P259" s="15">
        <f t="shared" si="64"/>
        <v>0.48704880715839433</v>
      </c>
      <c r="Q259" s="7">
        <f t="shared" si="73"/>
        <v>3665346.9427601658</v>
      </c>
      <c r="R259" s="7">
        <f t="shared" si="74"/>
        <v>1880144.0864671597</v>
      </c>
      <c r="S259" s="13">
        <f>IF('Calc (2)'!$AD$32="Sim",R259,Q259)</f>
        <v>1880144.0864671597</v>
      </c>
      <c r="T259" s="9">
        <f t="shared" si="75"/>
        <v>255</v>
      </c>
      <c r="U259" s="17">
        <f t="shared" ca="1" si="76"/>
        <v>53267</v>
      </c>
      <c r="V259" s="22"/>
      <c r="W259" s="22"/>
      <c r="X259" s="22"/>
    </row>
    <row r="260" spans="2:24" x14ac:dyDescent="0.2">
      <c r="B260" s="17">
        <f t="shared" ca="1" si="65"/>
        <v>53267</v>
      </c>
      <c r="C260" s="9">
        <f t="shared" si="77"/>
        <v>256</v>
      </c>
      <c r="D260" s="9"/>
      <c r="E260" s="13">
        <f t="shared" si="66"/>
        <v>2831.642227106739</v>
      </c>
      <c r="F260" s="14">
        <f t="shared" si="78"/>
        <v>486411.06700013467</v>
      </c>
      <c r="G260" s="15">
        <f t="shared" si="67"/>
        <v>0.25593914196742651</v>
      </c>
      <c r="H260" s="13">
        <f t="shared" si="68"/>
        <v>47697.342757746672</v>
      </c>
      <c r="I260" s="13">
        <f t="shared" si="69"/>
        <v>3229464.860744887</v>
      </c>
      <c r="J260" s="15">
        <f t="shared" si="62"/>
        <v>0.74406085803257349</v>
      </c>
      <c r="K260" s="13">
        <f t="shared" si="70"/>
        <v>1414083.9618612204</v>
      </c>
      <c r="L260" s="13">
        <f t="shared" si="79"/>
        <v>96281580.494631559</v>
      </c>
      <c r="M260" s="15">
        <f t="shared" si="71"/>
        <v>0.74406085803257349</v>
      </c>
      <c r="N260" s="13">
        <f t="shared" si="63"/>
        <v>13655.135790134404</v>
      </c>
      <c r="O260" s="13">
        <f t="shared" si="72"/>
        <v>1815380.898883664</v>
      </c>
      <c r="P260" s="15">
        <f t="shared" si="64"/>
        <v>0.48854723198073213</v>
      </c>
      <c r="Q260" s="7">
        <f t="shared" si="73"/>
        <v>3715875.9277450191</v>
      </c>
      <c r="R260" s="7">
        <f t="shared" si="74"/>
        <v>1900495.028861355</v>
      </c>
      <c r="S260" s="13">
        <f>IF('Calc (2)'!$AD$32="Sim",R260,Q260)</f>
        <v>1900495.028861355</v>
      </c>
      <c r="T260" s="9">
        <f t="shared" si="75"/>
        <v>256</v>
      </c>
      <c r="U260" s="17">
        <f t="shared" ca="1" si="76"/>
        <v>53297</v>
      </c>
      <c r="V260" s="22"/>
      <c r="W260" s="22"/>
      <c r="X260" s="22"/>
    </row>
    <row r="261" spans="2:24" x14ac:dyDescent="0.2">
      <c r="B261" s="17">
        <f t="shared" ca="1" si="65"/>
        <v>53297</v>
      </c>
      <c r="C261" s="9">
        <f t="shared" si="77"/>
        <v>257</v>
      </c>
      <c r="D261" s="9"/>
      <c r="E261" s="13">
        <f t="shared" si="66"/>
        <v>2843.1786880509776</v>
      </c>
      <c r="F261" s="14">
        <f t="shared" si="78"/>
        <v>489254.24568818568</v>
      </c>
      <c r="G261" s="15">
        <f t="shared" si="67"/>
        <v>0.25468104401433478</v>
      </c>
      <c r="H261" s="13">
        <f t="shared" si="68"/>
        <v>48354.8789620026</v>
      </c>
      <c r="I261" s="13">
        <f t="shared" si="69"/>
        <v>3277819.7397068897</v>
      </c>
      <c r="J261" s="15">
        <f t="shared" ref="J261:J324" si="80">1-G261</f>
        <v>0.74531895598566522</v>
      </c>
      <c r="K261" s="13">
        <f t="shared" si="70"/>
        <v>1431792.7155479551</v>
      </c>
      <c r="L261" s="13">
        <f t="shared" si="79"/>
        <v>97713373.210179508</v>
      </c>
      <c r="M261" s="15">
        <f t="shared" si="71"/>
        <v>0.74531895598566522</v>
      </c>
      <c r="N261" s="13">
        <f t="shared" ref="N261:N324" si="81">Q261*Inflação_2</f>
        <v>13843.278893670929</v>
      </c>
      <c r="O261" s="13">
        <f t="shared" si="72"/>
        <v>1846027.0241589323</v>
      </c>
      <c r="P261" s="15">
        <f t="shared" ref="P261:P324" si="82">O261/Q261</f>
        <v>0.4900426780349868</v>
      </c>
      <c r="Q261" s="7">
        <f t="shared" si="73"/>
        <v>3767073.985395073</v>
      </c>
      <c r="R261" s="7">
        <f t="shared" si="74"/>
        <v>1921046.9612361407</v>
      </c>
      <c r="S261" s="13">
        <f>IF('Calc (2)'!$AD$32="Sim",R261,Q261)</f>
        <v>1921046.9612361407</v>
      </c>
      <c r="T261" s="9">
        <f t="shared" si="75"/>
        <v>257</v>
      </c>
      <c r="U261" s="17">
        <f t="shared" ca="1" si="76"/>
        <v>53328</v>
      </c>
      <c r="V261" s="22"/>
      <c r="W261" s="22"/>
      <c r="X261" s="22"/>
    </row>
    <row r="262" spans="2:24" x14ac:dyDescent="0.2">
      <c r="B262" s="17">
        <f t="shared" ref="B262:B325" ca="1" si="83">DATE(YEAR(B261),MONTH(B261)+1,1)</f>
        <v>53328</v>
      </c>
      <c r="C262" s="9">
        <f t="shared" si="77"/>
        <v>258</v>
      </c>
      <c r="D262" s="9"/>
      <c r="E262" s="13">
        <f t="shared" ref="E262:E325" si="84">IF($AE$33,IF($AE$34,$E261*(1+Inflação_2)*(1+Crescimento_Salário_2),$E261*(1+Inflação_2)),IF($AE$34,$E261*(1+Crescimento_Salário_2),$E261))</f>
        <v>2854.7621499651282</v>
      </c>
      <c r="F262" s="14">
        <f t="shared" si="78"/>
        <v>492109.00783815078</v>
      </c>
      <c r="G262" s="15">
        <f t="shared" ref="G262:G325" si="85">IF(F262&lt;=0,0,F262/S262)</f>
        <v>0.25342906138613058</v>
      </c>
      <c r="H262" s="13">
        <f t="shared" ref="H262:H325" si="86">Q261*Taxa_2</f>
        <v>49021.121842254077</v>
      </c>
      <c r="I262" s="13">
        <f t="shared" ref="I262:I325" si="87">I261+H262</f>
        <v>3326840.8615491437</v>
      </c>
      <c r="J262" s="15">
        <f t="shared" si="80"/>
        <v>0.74657093861386947</v>
      </c>
      <c r="K262" s="13">
        <f t="shared" ref="K262:K325" si="88">R262-F262</f>
        <v>1449692.7932124468</v>
      </c>
      <c r="L262" s="13">
        <f t="shared" si="79"/>
        <v>99163066.003391951</v>
      </c>
      <c r="M262" s="15">
        <f t="shared" ref="M262:M325" si="89">K262/R262</f>
        <v>0.74657093861386947</v>
      </c>
      <c r="N262" s="13">
        <f t="shared" si="81"/>
        <v>14033.912879821506</v>
      </c>
      <c r="O262" s="13">
        <f t="shared" ref="O262:O325" si="90">Q262-R262</f>
        <v>1877148.0683366943</v>
      </c>
      <c r="P262" s="15">
        <f t="shared" si="82"/>
        <v>0.49153514252279562</v>
      </c>
      <c r="Q262" s="7">
        <f t="shared" ref="Q262:Q325" si="91">Q261+E262+H262</f>
        <v>3818949.8693872918</v>
      </c>
      <c r="R262" s="7">
        <f t="shared" ref="R262:R325" si="92">(R261+E262)*(1+((1+Taxa_2)/(1+Inflação_2)-1))</f>
        <v>1941801.8010505976</v>
      </c>
      <c r="S262" s="13">
        <f>IF('Calc (2)'!$AD$32="Sim",R262,Q262)</f>
        <v>1941801.8010505976</v>
      </c>
      <c r="T262" s="9">
        <f t="shared" ref="T262:T325" si="93">C262</f>
        <v>258</v>
      </c>
      <c r="U262" s="17">
        <f t="shared" ref="U262:U325" ca="1" si="94">DATE(YEAR(U261),MONTH(U261)+1,1)</f>
        <v>53359</v>
      </c>
      <c r="V262" s="22"/>
      <c r="W262" s="22"/>
      <c r="X262" s="22"/>
    </row>
    <row r="263" spans="2:24" x14ac:dyDescent="0.2">
      <c r="B263" s="17">
        <f t="shared" ca="1" si="83"/>
        <v>53359</v>
      </c>
      <c r="C263" s="9">
        <f t="shared" ref="C263:C326" si="95">C262+1</f>
        <v>259</v>
      </c>
      <c r="D263" s="9"/>
      <c r="E263" s="13">
        <f t="shared" si="84"/>
        <v>2866.3928043369601</v>
      </c>
      <c r="F263" s="14">
        <f t="shared" ref="F263:F326" si="96">F262+E263</f>
        <v>494975.40064248774</v>
      </c>
      <c r="G263" s="15">
        <f t="shared" si="85"/>
        <v>0.25218316373566446</v>
      </c>
      <c r="H263" s="13">
        <f t="shared" si="86"/>
        <v>49696.185310536479</v>
      </c>
      <c r="I263" s="13">
        <f t="shared" si="87"/>
        <v>3376537.0468596802</v>
      </c>
      <c r="J263" s="15">
        <f t="shared" si="80"/>
        <v>0.74781683626433559</v>
      </c>
      <c r="K263" s="13">
        <f t="shared" si="88"/>
        <v>1467786.0831547233</v>
      </c>
      <c r="L263" s="13">
        <f t="shared" ref="L263:L326" si="97">L262+K263</f>
        <v>100630852.08654667</v>
      </c>
      <c r="M263" s="15">
        <f t="shared" si="89"/>
        <v>0.74781683626433559</v>
      </c>
      <c r="N263" s="13">
        <f t="shared" si="81"/>
        <v>14227.07033598924</v>
      </c>
      <c r="O263" s="13">
        <f t="shared" si="90"/>
        <v>1908750.9637049541</v>
      </c>
      <c r="P263" s="15">
        <f t="shared" si="82"/>
        <v>0.49302462269918523</v>
      </c>
      <c r="Q263" s="7">
        <f t="shared" si="91"/>
        <v>3871512.4475021651</v>
      </c>
      <c r="R263" s="7">
        <f t="shared" si="92"/>
        <v>1962761.483797211</v>
      </c>
      <c r="S263" s="13">
        <f>IF('Calc (2)'!$AD$32="Sim",R263,Q263)</f>
        <v>1962761.483797211</v>
      </c>
      <c r="T263" s="9">
        <f t="shared" si="93"/>
        <v>259</v>
      </c>
      <c r="U263" s="17">
        <f t="shared" ca="1" si="94"/>
        <v>53387</v>
      </c>
      <c r="V263" s="22"/>
      <c r="W263" s="22"/>
      <c r="X263" s="22"/>
    </row>
    <row r="264" spans="2:24" x14ac:dyDescent="0.2">
      <c r="B264" s="17">
        <f t="shared" ca="1" si="83"/>
        <v>53387</v>
      </c>
      <c r="C264" s="9">
        <f t="shared" si="95"/>
        <v>260</v>
      </c>
      <c r="D264" s="9"/>
      <c r="E264" s="13">
        <f t="shared" si="84"/>
        <v>2878.0708434343878</v>
      </c>
      <c r="F264" s="14">
        <f t="shared" si="96"/>
        <v>497853.47148592211</v>
      </c>
      <c r="G264" s="15">
        <f t="shared" si="85"/>
        <v>0.25094332089070459</v>
      </c>
      <c r="H264" s="13">
        <f t="shared" si="86"/>
        <v>50380.184763720026</v>
      </c>
      <c r="I264" s="13">
        <f t="shared" si="87"/>
        <v>3426917.2316234</v>
      </c>
      <c r="J264" s="15">
        <f t="shared" si="80"/>
        <v>0.74905667910929541</v>
      </c>
      <c r="K264" s="13">
        <f t="shared" si="88"/>
        <v>1486074.4916845197</v>
      </c>
      <c r="L264" s="13">
        <f t="shared" si="97"/>
        <v>102116926.5782312</v>
      </c>
      <c r="M264" s="15">
        <f t="shared" si="89"/>
        <v>0.74905667910929541</v>
      </c>
      <c r="N264" s="13">
        <f t="shared" si="81"/>
        <v>14422.784274345278</v>
      </c>
      <c r="O264" s="13">
        <f t="shared" si="90"/>
        <v>1940842.7399388775</v>
      </c>
      <c r="P264" s="15">
        <f t="shared" si="82"/>
        <v>0.49451111587265073</v>
      </c>
      <c r="Q264" s="7">
        <f t="shared" si="91"/>
        <v>3924770.7031093193</v>
      </c>
      <c r="R264" s="7">
        <f t="shared" si="92"/>
        <v>1983927.9631704418</v>
      </c>
      <c r="S264" s="13">
        <f>IF('Calc (2)'!$AD$32="Sim",R264,Q264)</f>
        <v>1983927.9631704418</v>
      </c>
      <c r="T264" s="9">
        <f t="shared" si="93"/>
        <v>260</v>
      </c>
      <c r="U264" s="17">
        <f t="shared" ca="1" si="94"/>
        <v>53418</v>
      </c>
      <c r="V264" s="22"/>
      <c r="W264" s="22"/>
      <c r="X264" s="22"/>
    </row>
    <row r="265" spans="2:24" x14ac:dyDescent="0.2">
      <c r="B265" s="17">
        <f t="shared" ca="1" si="83"/>
        <v>53418</v>
      </c>
      <c r="C265" s="9">
        <f t="shared" si="95"/>
        <v>261</v>
      </c>
      <c r="D265" s="9"/>
      <c r="E265" s="13">
        <f t="shared" si="84"/>
        <v>2889.7964603086489</v>
      </c>
      <c r="F265" s="14">
        <f t="shared" si="96"/>
        <v>500743.26794623077</v>
      </c>
      <c r="G265" s="15">
        <f t="shared" si="85"/>
        <v>0.24970950285237553</v>
      </c>
      <c r="H265" s="13">
        <f t="shared" si="86"/>
        <v>51073.237102842169</v>
      </c>
      <c r="I265" s="13">
        <f t="shared" si="87"/>
        <v>3477990.468726242</v>
      </c>
      <c r="J265" s="15">
        <f t="shared" si="80"/>
        <v>0.75029049714762452</v>
      </c>
      <c r="K265" s="13">
        <f t="shared" si="88"/>
        <v>1504559.9432906383</v>
      </c>
      <c r="L265" s="13">
        <f t="shared" si="97"/>
        <v>103621486.52152184</v>
      </c>
      <c r="M265" s="15">
        <f t="shared" si="89"/>
        <v>0.75029049714762452</v>
      </c>
      <c r="N265" s="13">
        <f t="shared" si="81"/>
        <v>14621.088137359233</v>
      </c>
      <c r="O265" s="13">
        <f t="shared" si="90"/>
        <v>1973430.5254356009</v>
      </c>
      <c r="P265" s="15">
        <f t="shared" si="82"/>
        <v>0.49599461940522765</v>
      </c>
      <c r="Q265" s="7">
        <f t="shared" si="91"/>
        <v>3978733.7366724699</v>
      </c>
      <c r="R265" s="7">
        <f t="shared" si="92"/>
        <v>2005303.211236869</v>
      </c>
      <c r="S265" s="13">
        <f>IF('Calc (2)'!$AD$32="Sim",R265,Q265)</f>
        <v>2005303.211236869</v>
      </c>
      <c r="T265" s="9">
        <f t="shared" si="93"/>
        <v>261</v>
      </c>
      <c r="U265" s="17">
        <f t="shared" ca="1" si="94"/>
        <v>53448</v>
      </c>
      <c r="V265" s="22"/>
      <c r="W265" s="22"/>
      <c r="X265" s="22"/>
    </row>
    <row r="266" spans="2:24" x14ac:dyDescent="0.2">
      <c r="B266" s="17">
        <f t="shared" ca="1" si="83"/>
        <v>53448</v>
      </c>
      <c r="C266" s="9">
        <f t="shared" si="95"/>
        <v>262</v>
      </c>
      <c r="D266" s="9"/>
      <c r="E266" s="13">
        <f t="shared" si="84"/>
        <v>2901.5698487974951</v>
      </c>
      <c r="F266" s="14">
        <f t="shared" si="96"/>
        <v>503644.83779502829</v>
      </c>
      <c r="G266" s="15">
        <f t="shared" si="85"/>
        <v>0.24848167979362162</v>
      </c>
      <c r="H266" s="13">
        <f t="shared" si="86"/>
        <v>51775.460752691564</v>
      </c>
      <c r="I266" s="13">
        <f t="shared" si="87"/>
        <v>3529765.9294789336</v>
      </c>
      <c r="J266" s="15">
        <f t="shared" si="80"/>
        <v>0.75151832020637843</v>
      </c>
      <c r="K266" s="13">
        <f t="shared" si="88"/>
        <v>1523244.3808118904</v>
      </c>
      <c r="L266" s="13">
        <f t="shared" si="97"/>
        <v>105144730.90233372</v>
      </c>
      <c r="M266" s="15">
        <f t="shared" si="89"/>
        <v>0.75151832020637843</v>
      </c>
      <c r="N266" s="13">
        <f t="shared" si="81"/>
        <v>14822.015803401557</v>
      </c>
      <c r="O266" s="13">
        <f t="shared" si="90"/>
        <v>2006521.5486670402</v>
      </c>
      <c r="P266" s="15">
        <f t="shared" si="82"/>
        <v>0.49747513071255517</v>
      </c>
      <c r="Q266" s="7">
        <f t="shared" si="91"/>
        <v>4033410.7672739588</v>
      </c>
      <c r="R266" s="7">
        <f t="shared" si="92"/>
        <v>2026889.2186069186</v>
      </c>
      <c r="S266" s="13">
        <f>IF('Calc (2)'!$AD$32="Sim",R266,Q266)</f>
        <v>2026889.2186069186</v>
      </c>
      <c r="T266" s="9">
        <f t="shared" si="93"/>
        <v>262</v>
      </c>
      <c r="U266" s="17">
        <f t="shared" ca="1" si="94"/>
        <v>53479</v>
      </c>
      <c r="V266" s="22"/>
      <c r="W266" s="22"/>
      <c r="X266" s="22"/>
    </row>
    <row r="267" spans="2:24" x14ac:dyDescent="0.2">
      <c r="B267" s="17">
        <f t="shared" ca="1" si="83"/>
        <v>53479</v>
      </c>
      <c r="C267" s="9">
        <f t="shared" si="95"/>
        <v>263</v>
      </c>
      <c r="D267" s="9"/>
      <c r="E267" s="13">
        <f t="shared" si="84"/>
        <v>2913.3912035283979</v>
      </c>
      <c r="F267" s="14">
        <f t="shared" si="96"/>
        <v>506558.22899855667</v>
      </c>
      <c r="G267" s="15">
        <f t="shared" si="85"/>
        <v>0.24725982205769431</v>
      </c>
      <c r="H267" s="13">
        <f t="shared" si="86"/>
        <v>52486.975681647004</v>
      </c>
      <c r="I267" s="13">
        <f t="shared" si="87"/>
        <v>3582252.9051605808</v>
      </c>
      <c r="J267" s="15">
        <f t="shared" si="80"/>
        <v>0.75274017794230574</v>
      </c>
      <c r="K267" s="13">
        <f t="shared" si="88"/>
        <v>1542129.7656096374</v>
      </c>
      <c r="L267" s="13">
        <f t="shared" si="97"/>
        <v>106686860.66794336</v>
      </c>
      <c r="M267" s="15">
        <f t="shared" si="89"/>
        <v>0.75274017794230563</v>
      </c>
      <c r="N267" s="13">
        <f t="shared" si="81"/>
        <v>15025.60159241885</v>
      </c>
      <c r="O267" s="13">
        <f t="shared" si="90"/>
        <v>2040123.1395509401</v>
      </c>
      <c r="P267" s="15">
        <f t="shared" si="82"/>
        <v>0.49895264726393196</v>
      </c>
      <c r="Q267" s="7">
        <f t="shared" si="91"/>
        <v>4088811.1341591342</v>
      </c>
      <c r="R267" s="7">
        <f t="shared" si="92"/>
        <v>2048687.9946081941</v>
      </c>
      <c r="S267" s="13">
        <f>IF('Calc (2)'!$AD$32="Sim",R267,Q267)</f>
        <v>2048687.9946081941</v>
      </c>
      <c r="T267" s="9">
        <f t="shared" si="93"/>
        <v>263</v>
      </c>
      <c r="U267" s="17">
        <f t="shared" ca="1" si="94"/>
        <v>53509</v>
      </c>
      <c r="V267" s="22"/>
      <c r="W267" s="22"/>
      <c r="X267" s="22"/>
    </row>
    <row r="268" spans="2:24" x14ac:dyDescent="0.2">
      <c r="B268" s="17">
        <f t="shared" ca="1" si="83"/>
        <v>53509</v>
      </c>
      <c r="C268" s="9">
        <f t="shared" si="95"/>
        <v>264</v>
      </c>
      <c r="D268" s="9">
        <v>22</v>
      </c>
      <c r="E268" s="13">
        <f t="shared" si="84"/>
        <v>2925.260719921765</v>
      </c>
      <c r="F268" s="14">
        <f t="shared" si="96"/>
        <v>509483.48971847846</v>
      </c>
      <c r="G268" s="15">
        <f t="shared" si="85"/>
        <v>0.24604390015666353</v>
      </c>
      <c r="H268" s="13">
        <f t="shared" si="86"/>
        <v>53207.903421774448</v>
      </c>
      <c r="I268" s="13">
        <f t="shared" si="87"/>
        <v>3635460.8085823553</v>
      </c>
      <c r="J268" s="15">
        <f t="shared" si="80"/>
        <v>0.75395609984333645</v>
      </c>
      <c r="K268" s="13">
        <f t="shared" si="88"/>
        <v>1561218.0777419426</v>
      </c>
      <c r="L268" s="13">
        <f t="shared" si="97"/>
        <v>108248078.74568529</v>
      </c>
      <c r="M268" s="15">
        <f t="shared" si="89"/>
        <v>0.75395609984333656</v>
      </c>
      <c r="N268" s="13">
        <f t="shared" si="81"/>
        <v>15231.880271683021</v>
      </c>
      <c r="O268" s="13">
        <f t="shared" si="90"/>
        <v>2074242.7308404096</v>
      </c>
      <c r="P268" s="15">
        <f t="shared" si="82"/>
        <v>0.50042716658236397</v>
      </c>
      <c r="Q268" s="7">
        <f t="shared" si="91"/>
        <v>4144944.2983008306</v>
      </c>
      <c r="R268" s="7">
        <f t="shared" si="92"/>
        <v>2070701.567460421</v>
      </c>
      <c r="S268" s="13">
        <f>IF('Calc (2)'!$AD$32="Sim",R268,Q268)</f>
        <v>2070701.567460421</v>
      </c>
      <c r="T268" s="9">
        <f t="shared" si="93"/>
        <v>264</v>
      </c>
      <c r="U268" s="17">
        <f t="shared" ca="1" si="94"/>
        <v>53540</v>
      </c>
      <c r="V268" s="22"/>
      <c r="W268" s="22"/>
      <c r="X268" s="22"/>
    </row>
    <row r="269" spans="2:24" x14ac:dyDescent="0.2">
      <c r="B269" s="17">
        <f t="shared" ca="1" si="83"/>
        <v>53540</v>
      </c>
      <c r="C269" s="9">
        <f t="shared" si="95"/>
        <v>265</v>
      </c>
      <c r="D269" s="9"/>
      <c r="E269" s="13">
        <f t="shared" si="84"/>
        <v>2937.1785941941707</v>
      </c>
      <c r="F269" s="14">
        <f t="shared" si="96"/>
        <v>512420.66831267264</v>
      </c>
      <c r="G269" s="15">
        <f t="shared" si="85"/>
        <v>0.24483388476995127</v>
      </c>
      <c r="H269" s="13">
        <f t="shared" si="86"/>
        <v>53938.36708918574</v>
      </c>
      <c r="I269" s="13">
        <f t="shared" si="87"/>
        <v>3689399.1756715411</v>
      </c>
      <c r="J269" s="15">
        <f t="shared" si="80"/>
        <v>0.75516611523004873</v>
      </c>
      <c r="K269" s="13">
        <f t="shared" si="88"/>
        <v>1580511.316139353</v>
      </c>
      <c r="L269" s="13">
        <f t="shared" si="97"/>
        <v>109828590.06182465</v>
      </c>
      <c r="M269" s="15">
        <f t="shared" si="89"/>
        <v>0.75516611523004884</v>
      </c>
      <c r="N269" s="13">
        <f t="shared" si="81"/>
        <v>15440.887061615282</v>
      </c>
      <c r="O269" s="13">
        <f t="shared" si="90"/>
        <v>2108887.8595321854</v>
      </c>
      <c r="P269" s="15">
        <f t="shared" si="82"/>
        <v>0.50189868624460476</v>
      </c>
      <c r="Q269" s="7">
        <f t="shared" si="91"/>
        <v>4201819.8439842109</v>
      </c>
      <c r="R269" s="7">
        <f t="shared" si="92"/>
        <v>2092931.9844520255</v>
      </c>
      <c r="S269" s="13">
        <f>IF('Calc (2)'!$AD$32="Sim",R269,Q269)</f>
        <v>2092931.9844520255</v>
      </c>
      <c r="T269" s="9">
        <f t="shared" si="93"/>
        <v>265</v>
      </c>
      <c r="U269" s="17">
        <f t="shared" ca="1" si="94"/>
        <v>53571</v>
      </c>
      <c r="V269" s="22"/>
      <c r="W269" s="22"/>
      <c r="X269" s="22"/>
    </row>
    <row r="270" spans="2:24" x14ac:dyDescent="0.2">
      <c r="B270" s="17">
        <f t="shared" ca="1" si="83"/>
        <v>53571</v>
      </c>
      <c r="C270" s="9">
        <f t="shared" si="95"/>
        <v>266</v>
      </c>
      <c r="D270" s="9"/>
      <c r="E270" s="13">
        <f t="shared" si="84"/>
        <v>2949.1450233616001</v>
      </c>
      <c r="F270" s="14">
        <f t="shared" si="96"/>
        <v>515369.81333603425</v>
      </c>
      <c r="G270" s="15">
        <f t="shared" si="85"/>
        <v>0.24362974674288848</v>
      </c>
      <c r="H270" s="13">
        <f t="shared" si="86"/>
        <v>54678.491404662185</v>
      </c>
      <c r="I270" s="13">
        <f t="shared" si="87"/>
        <v>3744077.6670762035</v>
      </c>
      <c r="J270" s="15">
        <f t="shared" si="80"/>
        <v>0.75637025325711149</v>
      </c>
      <c r="K270" s="13">
        <f t="shared" si="88"/>
        <v>1600011.4987823218</v>
      </c>
      <c r="L270" s="13">
        <f t="shared" si="97"/>
        <v>111428601.56060697</v>
      </c>
      <c r="M270" s="15">
        <f t="shared" si="89"/>
        <v>0.75637025325711149</v>
      </c>
      <c r="N270" s="13">
        <f t="shared" si="81"/>
        <v>15652.657641685941</v>
      </c>
      <c r="O270" s="13">
        <f t="shared" si="90"/>
        <v>2144066.1682938784</v>
      </c>
      <c r="P270" s="15">
        <f t="shared" si="82"/>
        <v>0.50336720388118816</v>
      </c>
      <c r="Q270" s="7">
        <f t="shared" si="91"/>
        <v>4259447.4804122346</v>
      </c>
      <c r="R270" s="7">
        <f t="shared" si="92"/>
        <v>2115381.3121183561</v>
      </c>
      <c r="S270" s="13">
        <f>IF('Calc (2)'!$AD$32="Sim",R270,Q270)</f>
        <v>2115381.3121183561</v>
      </c>
      <c r="T270" s="9">
        <f t="shared" si="93"/>
        <v>266</v>
      </c>
      <c r="U270" s="17">
        <f t="shared" ca="1" si="94"/>
        <v>53601</v>
      </c>
      <c r="V270" s="22"/>
      <c r="W270" s="22"/>
      <c r="X270" s="22"/>
    </row>
    <row r="271" spans="2:24" x14ac:dyDescent="0.2">
      <c r="B271" s="17">
        <f t="shared" ca="1" si="83"/>
        <v>53601</v>
      </c>
      <c r="C271" s="9">
        <f t="shared" si="95"/>
        <v>267</v>
      </c>
      <c r="D271" s="9"/>
      <c r="E271" s="13">
        <f t="shared" si="84"/>
        <v>2961.1602052427056</v>
      </c>
      <c r="F271" s="14">
        <f t="shared" si="96"/>
        <v>518330.97354127694</v>
      </c>
      <c r="G271" s="15">
        <f t="shared" si="85"/>
        <v>0.24243145708529343</v>
      </c>
      <c r="H271" s="13">
        <f t="shared" si="86"/>
        <v>55428.402714546639</v>
      </c>
      <c r="I271" s="13">
        <f t="shared" si="87"/>
        <v>3799506.0697907503</v>
      </c>
      <c r="J271" s="15">
        <f t="shared" si="80"/>
        <v>0.75756854291470654</v>
      </c>
      <c r="K271" s="13">
        <f t="shared" si="88"/>
        <v>1619720.6628802917</v>
      </c>
      <c r="L271" s="13">
        <f t="shared" si="97"/>
        <v>113048322.22348726</v>
      </c>
      <c r="M271" s="15">
        <f t="shared" si="89"/>
        <v>0.75756854291470654</v>
      </c>
      <c r="N271" s="13">
        <f t="shared" si="81"/>
        <v>15867.228156390984</v>
      </c>
      <c r="O271" s="13">
        <f t="shared" si="90"/>
        <v>2179785.4069104558</v>
      </c>
      <c r="P271" s="15">
        <f t="shared" si="82"/>
        <v>0.50483271717645484</v>
      </c>
      <c r="Q271" s="7">
        <f t="shared" si="91"/>
        <v>4317837.0433320245</v>
      </c>
      <c r="R271" s="7">
        <f t="shared" si="92"/>
        <v>2138051.6364215687</v>
      </c>
      <c r="S271" s="13">
        <f>IF('Calc (2)'!$AD$32="Sim",R271,Q271)</f>
        <v>2138051.6364215687</v>
      </c>
      <c r="T271" s="9">
        <f t="shared" si="93"/>
        <v>267</v>
      </c>
      <c r="U271" s="17">
        <f t="shared" ca="1" si="94"/>
        <v>53632</v>
      </c>
      <c r="V271" s="22"/>
      <c r="W271" s="22"/>
      <c r="X271" s="22"/>
    </row>
    <row r="272" spans="2:24" x14ac:dyDescent="0.2">
      <c r="B272" s="17">
        <f t="shared" ca="1" si="83"/>
        <v>53632</v>
      </c>
      <c r="C272" s="9">
        <f t="shared" si="95"/>
        <v>268</v>
      </c>
      <c r="D272" s="9"/>
      <c r="E272" s="13">
        <f t="shared" si="84"/>
        <v>2973.2243384620779</v>
      </c>
      <c r="F272" s="14">
        <f t="shared" si="96"/>
        <v>521304.19787973899</v>
      </c>
      <c r="G272" s="15">
        <f t="shared" si="85"/>
        <v>0.24123898697007179</v>
      </c>
      <c r="H272" s="13">
        <f t="shared" si="86"/>
        <v>56188.229011907453</v>
      </c>
      <c r="I272" s="13">
        <f t="shared" si="87"/>
        <v>3855694.2988026575</v>
      </c>
      <c r="J272" s="15">
        <f t="shared" si="80"/>
        <v>0.75876101302992827</v>
      </c>
      <c r="K272" s="13">
        <f t="shared" si="88"/>
        <v>1639640.8650524486</v>
      </c>
      <c r="L272" s="13">
        <f t="shared" si="97"/>
        <v>114687963.0885397</v>
      </c>
      <c r="M272" s="15">
        <f t="shared" si="89"/>
        <v>0.75876101302992816</v>
      </c>
      <c r="N272" s="13">
        <f t="shared" si="81"/>
        <v>16084.635221306426</v>
      </c>
      <c r="O272" s="13">
        <f t="shared" si="90"/>
        <v>2216053.4337502057</v>
      </c>
      <c r="P272" s="15">
        <f t="shared" si="82"/>
        <v>0.50629522386856973</v>
      </c>
      <c r="Q272" s="7">
        <f t="shared" si="91"/>
        <v>4376998.4966823934</v>
      </c>
      <c r="R272" s="7">
        <f t="shared" si="92"/>
        <v>2160945.0629321877</v>
      </c>
      <c r="S272" s="13">
        <f>IF('Calc (2)'!$AD$32="Sim",R272,Q272)</f>
        <v>2160945.0629321877</v>
      </c>
      <c r="T272" s="9">
        <f t="shared" si="93"/>
        <v>268</v>
      </c>
      <c r="U272" s="17">
        <f t="shared" ca="1" si="94"/>
        <v>53662</v>
      </c>
      <c r="V272" s="22"/>
      <c r="W272" s="22"/>
      <c r="X272" s="22"/>
    </row>
    <row r="273" spans="2:24" x14ac:dyDescent="0.2">
      <c r="B273" s="17">
        <f t="shared" ca="1" si="83"/>
        <v>53662</v>
      </c>
      <c r="C273" s="9">
        <f t="shared" si="95"/>
        <v>269</v>
      </c>
      <c r="D273" s="9"/>
      <c r="E273" s="13">
        <f t="shared" si="84"/>
        <v>2985.3376224535282</v>
      </c>
      <c r="F273" s="14">
        <f t="shared" si="96"/>
        <v>524289.53550219256</v>
      </c>
      <c r="G273" s="15">
        <f t="shared" si="85"/>
        <v>0.24005230773183783</v>
      </c>
      <c r="H273" s="13">
        <f t="shared" si="86"/>
        <v>56958.099957977844</v>
      </c>
      <c r="I273" s="13">
        <f t="shared" si="87"/>
        <v>3912652.3987606354</v>
      </c>
      <c r="J273" s="15">
        <f t="shared" si="80"/>
        <v>0.75994769226816217</v>
      </c>
      <c r="K273" s="13">
        <f t="shared" si="88"/>
        <v>1659774.1815101672</v>
      </c>
      <c r="L273" s="13">
        <f t="shared" si="97"/>
        <v>116347737.27004987</v>
      </c>
      <c r="M273" s="15">
        <f t="shared" si="89"/>
        <v>0.75994769226816217</v>
      </c>
      <c r="N273" s="13">
        <f t="shared" si="81"/>
        <v>16304.915929221494</v>
      </c>
      <c r="O273" s="13">
        <f t="shared" si="90"/>
        <v>2252878.2172504645</v>
      </c>
      <c r="P273" s="15">
        <f t="shared" si="82"/>
        <v>0.50775472174953518</v>
      </c>
      <c r="Q273" s="7">
        <f t="shared" si="91"/>
        <v>4436941.9342628242</v>
      </c>
      <c r="R273" s="7">
        <f t="shared" si="92"/>
        <v>2184063.7170123598</v>
      </c>
      <c r="S273" s="13">
        <f>IF('Calc (2)'!$AD$32="Sim",R273,Q273)</f>
        <v>2184063.7170123598</v>
      </c>
      <c r="T273" s="9">
        <f t="shared" si="93"/>
        <v>269</v>
      </c>
      <c r="U273" s="17">
        <f t="shared" ca="1" si="94"/>
        <v>53693</v>
      </c>
      <c r="V273" s="22"/>
      <c r="W273" s="22"/>
      <c r="X273" s="22"/>
    </row>
    <row r="274" spans="2:24" x14ac:dyDescent="0.2">
      <c r="B274" s="17">
        <f t="shared" ca="1" si="83"/>
        <v>53693</v>
      </c>
      <c r="C274" s="9">
        <f t="shared" si="95"/>
        <v>270</v>
      </c>
      <c r="D274" s="9"/>
      <c r="E274" s="13">
        <f t="shared" si="84"/>
        <v>2997.5002574633863</v>
      </c>
      <c r="F274" s="14">
        <f t="shared" si="96"/>
        <v>527287.03575965599</v>
      </c>
      <c r="G274" s="15">
        <f t="shared" si="85"/>
        <v>0.23887139086555595</v>
      </c>
      <c r="H274" s="13">
        <f t="shared" si="86"/>
        <v>57738.146903874418</v>
      </c>
      <c r="I274" s="13">
        <f t="shared" si="87"/>
        <v>3970390.5456645098</v>
      </c>
      <c r="J274" s="15">
        <f t="shared" si="80"/>
        <v>0.76112860913444402</v>
      </c>
      <c r="K274" s="13">
        <f t="shared" si="88"/>
        <v>1680122.7082411612</v>
      </c>
      <c r="L274" s="13">
        <f t="shared" si="97"/>
        <v>118027859.97829103</v>
      </c>
      <c r="M274" s="15">
        <f t="shared" si="89"/>
        <v>0.76112860913444402</v>
      </c>
      <c r="N274" s="13">
        <f t="shared" si="81"/>
        <v>16528.107856351591</v>
      </c>
      <c r="O274" s="13">
        <f t="shared" si="90"/>
        <v>2290267.8374233446</v>
      </c>
      <c r="P274" s="15">
        <f t="shared" si="82"/>
        <v>0.5092112086651942</v>
      </c>
      <c r="Q274" s="7">
        <f t="shared" si="91"/>
        <v>4497677.5814241618</v>
      </c>
      <c r="R274" s="7">
        <f t="shared" si="92"/>
        <v>2207409.7440008172</v>
      </c>
      <c r="S274" s="13">
        <f>IF('Calc (2)'!$AD$32="Sim",R274,Q274)</f>
        <v>2207409.7440008172</v>
      </c>
      <c r="T274" s="9">
        <f t="shared" si="93"/>
        <v>270</v>
      </c>
      <c r="U274" s="17">
        <f t="shared" ca="1" si="94"/>
        <v>53724</v>
      </c>
      <c r="V274" s="22"/>
      <c r="W274" s="22"/>
      <c r="X274" s="22"/>
    </row>
    <row r="275" spans="2:24" x14ac:dyDescent="0.2">
      <c r="B275" s="17">
        <f t="shared" ca="1" si="83"/>
        <v>53724</v>
      </c>
      <c r="C275" s="9">
        <f t="shared" si="95"/>
        <v>271</v>
      </c>
      <c r="D275" s="9"/>
      <c r="E275" s="13">
        <f t="shared" si="84"/>
        <v>3009.7124445538102</v>
      </c>
      <c r="F275" s="14">
        <f t="shared" si="96"/>
        <v>530296.74820420984</v>
      </c>
      <c r="G275" s="15">
        <f t="shared" si="85"/>
        <v>0.23769620802520275</v>
      </c>
      <c r="H275" s="13">
        <f t="shared" si="86"/>
        <v>58528.502912598211</v>
      </c>
      <c r="I275" s="13">
        <f t="shared" si="87"/>
        <v>4028919.048577108</v>
      </c>
      <c r="J275" s="15">
        <f t="shared" si="80"/>
        <v>0.76230379197479725</v>
      </c>
      <c r="K275" s="13">
        <f t="shared" si="88"/>
        <v>1700688.561195353</v>
      </c>
      <c r="L275" s="13">
        <f t="shared" si="97"/>
        <v>119728548.53948639</v>
      </c>
      <c r="M275" s="15">
        <f t="shared" si="89"/>
        <v>0.76230379197479725</v>
      </c>
      <c r="N275" s="13">
        <f t="shared" si="81"/>
        <v>16754.249068632165</v>
      </c>
      <c r="O275" s="13">
        <f t="shared" si="90"/>
        <v>2328230.4873817516</v>
      </c>
      <c r="P275" s="15">
        <f t="shared" si="82"/>
        <v>0.51066468251523012</v>
      </c>
      <c r="Q275" s="7">
        <f t="shared" si="91"/>
        <v>4559215.7967813145</v>
      </c>
      <c r="R275" s="7">
        <f t="shared" si="92"/>
        <v>2230985.3093995629</v>
      </c>
      <c r="S275" s="13">
        <f>IF('Calc (2)'!$AD$32="Sim",R275,Q275)</f>
        <v>2230985.3093995629</v>
      </c>
      <c r="T275" s="9">
        <f t="shared" si="93"/>
        <v>271</v>
      </c>
      <c r="U275" s="17">
        <f t="shared" ca="1" si="94"/>
        <v>53752</v>
      </c>
      <c r="V275" s="22"/>
      <c r="W275" s="22"/>
      <c r="X275" s="22"/>
    </row>
    <row r="276" spans="2:24" x14ac:dyDescent="0.2">
      <c r="B276" s="17">
        <f t="shared" ca="1" si="83"/>
        <v>53752</v>
      </c>
      <c r="C276" s="9">
        <f t="shared" si="95"/>
        <v>272</v>
      </c>
      <c r="D276" s="9"/>
      <c r="E276" s="13">
        <f t="shared" si="84"/>
        <v>3021.9743856061091</v>
      </c>
      <c r="F276" s="14">
        <f t="shared" si="96"/>
        <v>533318.72258981597</v>
      </c>
      <c r="G276" s="15">
        <f t="shared" si="85"/>
        <v>0.23652673102244848</v>
      </c>
      <c r="H276" s="13">
        <f t="shared" si="86"/>
        <v>59329.302781322178</v>
      </c>
      <c r="I276" s="13">
        <f t="shared" si="87"/>
        <v>4088248.35135843</v>
      </c>
      <c r="J276" s="15">
        <f t="shared" si="80"/>
        <v>0.76347326897755152</v>
      </c>
      <c r="K276" s="13">
        <f t="shared" si="88"/>
        <v>1721473.8764724834</v>
      </c>
      <c r="L276" s="13">
        <f t="shared" si="97"/>
        <v>121450022.41595888</v>
      </c>
      <c r="M276" s="15">
        <f t="shared" si="89"/>
        <v>0.76347326897755152</v>
      </c>
      <c r="N276" s="13">
        <f t="shared" si="81"/>
        <v>16983.378128094435</v>
      </c>
      <c r="O276" s="13">
        <f t="shared" si="90"/>
        <v>2366774.4748859433</v>
      </c>
      <c r="P276" s="15">
        <f t="shared" si="82"/>
        <v>0.51211514125315694</v>
      </c>
      <c r="Q276" s="7">
        <f t="shared" si="91"/>
        <v>4621567.0739482427</v>
      </c>
      <c r="R276" s="7">
        <f t="shared" si="92"/>
        <v>2254792.5990622994</v>
      </c>
      <c r="S276" s="13">
        <f>IF('Calc (2)'!$AD$32="Sim",R276,Q276)</f>
        <v>2254792.5990622994</v>
      </c>
      <c r="T276" s="9">
        <f t="shared" si="93"/>
        <v>272</v>
      </c>
      <c r="U276" s="17">
        <f t="shared" ca="1" si="94"/>
        <v>53783</v>
      </c>
      <c r="V276" s="22"/>
      <c r="W276" s="22"/>
      <c r="X276" s="22"/>
    </row>
    <row r="277" spans="2:24" x14ac:dyDescent="0.2">
      <c r="B277" s="17">
        <f t="shared" ca="1" si="83"/>
        <v>53783</v>
      </c>
      <c r="C277" s="9">
        <f t="shared" si="95"/>
        <v>273</v>
      </c>
      <c r="D277" s="9"/>
      <c r="E277" s="13">
        <f t="shared" si="84"/>
        <v>3034.2862833240829</v>
      </c>
      <c r="F277" s="14">
        <f t="shared" si="96"/>
        <v>536353.00887314009</v>
      </c>
      <c r="G277" s="15">
        <f t="shared" si="85"/>
        <v>0.235362931825358</v>
      </c>
      <c r="H277" s="13">
        <f t="shared" si="86"/>
        <v>60140.683063968681</v>
      </c>
      <c r="I277" s="13">
        <f t="shared" si="87"/>
        <v>4148389.0344223985</v>
      </c>
      <c r="J277" s="15">
        <f t="shared" si="80"/>
        <v>0.76463706817464194</v>
      </c>
      <c r="K277" s="13">
        <f t="shared" si="88"/>
        <v>1742480.8105114698</v>
      </c>
      <c r="L277" s="13">
        <f t="shared" si="97"/>
        <v>123192503.22647035</v>
      </c>
      <c r="M277" s="15">
        <f t="shared" si="89"/>
        <v>0.76463706817464205</v>
      </c>
      <c r="N277" s="13">
        <f t="shared" si="81"/>
        <v>17215.534099324181</v>
      </c>
      <c r="O277" s="13">
        <f t="shared" si="90"/>
        <v>2405908.2239109264</v>
      </c>
      <c r="P277" s="15">
        <f t="shared" si="82"/>
        <v>0.51356258288630596</v>
      </c>
      <c r="Q277" s="7">
        <f t="shared" si="91"/>
        <v>4684742.0432955362</v>
      </c>
      <c r="R277" s="7">
        <f t="shared" si="92"/>
        <v>2278833.8193846098</v>
      </c>
      <c r="S277" s="13">
        <f>IF('Calc (2)'!$AD$32="Sim",R277,Q277)</f>
        <v>2278833.8193846098</v>
      </c>
      <c r="T277" s="9">
        <f t="shared" si="93"/>
        <v>273</v>
      </c>
      <c r="U277" s="17">
        <f t="shared" ca="1" si="94"/>
        <v>53813</v>
      </c>
      <c r="V277" s="22"/>
      <c r="W277" s="22"/>
      <c r="X277" s="22"/>
    </row>
    <row r="278" spans="2:24" x14ac:dyDescent="0.2">
      <c r="B278" s="17">
        <f t="shared" ca="1" si="83"/>
        <v>53813</v>
      </c>
      <c r="C278" s="9">
        <f t="shared" si="95"/>
        <v>274</v>
      </c>
      <c r="D278" s="9"/>
      <c r="E278" s="13">
        <f t="shared" si="84"/>
        <v>3046.6483412373714</v>
      </c>
      <c r="F278" s="14">
        <f t="shared" si="96"/>
        <v>539399.65721437742</v>
      </c>
      <c r="G278" s="15">
        <f t="shared" si="85"/>
        <v>0.23420478255711052</v>
      </c>
      <c r="H278" s="13">
        <f t="shared" si="86"/>
        <v>60962.782094080925</v>
      </c>
      <c r="I278" s="13">
        <f t="shared" si="87"/>
        <v>4209351.8165164795</v>
      </c>
      <c r="J278" s="15">
        <f t="shared" si="80"/>
        <v>0.76579521744288948</v>
      </c>
      <c r="K278" s="13">
        <f t="shared" si="88"/>
        <v>1763711.5402815384</v>
      </c>
      <c r="L278" s="13">
        <f t="shared" si="97"/>
        <v>124956214.76675189</v>
      </c>
      <c r="M278" s="15">
        <f t="shared" si="89"/>
        <v>0.76579521744288948</v>
      </c>
      <c r="N278" s="13">
        <f t="shared" si="81"/>
        <v>17450.756556004497</v>
      </c>
      <c r="O278" s="13">
        <f t="shared" si="90"/>
        <v>2445640.2762349388</v>
      </c>
      <c r="P278" s="15">
        <f t="shared" si="82"/>
        <v>0.51500700547580402</v>
      </c>
      <c r="Q278" s="7">
        <f t="shared" si="91"/>
        <v>4748751.4737308547</v>
      </c>
      <c r="R278" s="7">
        <f t="shared" si="92"/>
        <v>2303111.1974959159</v>
      </c>
      <c r="S278" s="13">
        <f>IF('Calc (2)'!$AD$32="Sim",R278,Q278)</f>
        <v>2303111.1974959159</v>
      </c>
      <c r="T278" s="9">
        <f t="shared" si="93"/>
        <v>274</v>
      </c>
      <c r="U278" s="17">
        <f t="shared" ca="1" si="94"/>
        <v>53844</v>
      </c>
      <c r="V278" s="22"/>
      <c r="W278" s="22"/>
      <c r="X278" s="22"/>
    </row>
    <row r="279" spans="2:24" x14ac:dyDescent="0.2">
      <c r="B279" s="17">
        <f t="shared" ca="1" si="83"/>
        <v>53844</v>
      </c>
      <c r="C279" s="9">
        <f t="shared" si="95"/>
        <v>275</v>
      </c>
      <c r="D279" s="9"/>
      <c r="E279" s="13">
        <f t="shared" si="84"/>
        <v>3059.0607637048192</v>
      </c>
      <c r="F279" s="14">
        <f t="shared" si="96"/>
        <v>542458.71797808225</v>
      </c>
      <c r="G279" s="15">
        <f t="shared" si="85"/>
        <v>0.2330522554947381</v>
      </c>
      <c r="H279" s="13">
        <f t="shared" si="86"/>
        <v>61795.74000799191</v>
      </c>
      <c r="I279" s="13">
        <f t="shared" si="87"/>
        <v>4271147.5565244714</v>
      </c>
      <c r="J279" s="15">
        <f t="shared" si="80"/>
        <v>0.76694774450526193</v>
      </c>
      <c r="K279" s="13">
        <f t="shared" si="88"/>
        <v>1785168.2634751396</v>
      </c>
      <c r="L279" s="13">
        <f t="shared" si="97"/>
        <v>126741383.03022702</v>
      </c>
      <c r="M279" s="15">
        <f t="shared" si="89"/>
        <v>0.76694774450526193</v>
      </c>
      <c r="N279" s="13">
        <f t="shared" si="81"/>
        <v>17689.085587543785</v>
      </c>
      <c r="O279" s="13">
        <f t="shared" si="90"/>
        <v>2485979.2930493294</v>
      </c>
      <c r="P279" s="15">
        <f t="shared" si="82"/>
        <v>0.51644840713654672</v>
      </c>
      <c r="Q279" s="7">
        <f t="shared" si="91"/>
        <v>4813606.2745025512</v>
      </c>
      <c r="R279" s="7">
        <f t="shared" si="92"/>
        <v>2327626.9814532218</v>
      </c>
      <c r="S279" s="13">
        <f>IF('Calc (2)'!$AD$32="Sim",R279,Q279)</f>
        <v>2327626.9814532218</v>
      </c>
      <c r="T279" s="9">
        <f t="shared" si="93"/>
        <v>275</v>
      </c>
      <c r="U279" s="17">
        <f t="shared" ca="1" si="94"/>
        <v>53874</v>
      </c>
      <c r="V279" s="22"/>
      <c r="W279" s="22"/>
      <c r="X279" s="22"/>
    </row>
    <row r="280" spans="2:24" x14ac:dyDescent="0.2">
      <c r="B280" s="17">
        <f t="shared" ca="1" si="83"/>
        <v>53874</v>
      </c>
      <c r="C280" s="9">
        <f t="shared" si="95"/>
        <v>276</v>
      </c>
      <c r="D280" s="9">
        <v>23</v>
      </c>
      <c r="E280" s="13">
        <f t="shared" si="84"/>
        <v>3071.5237559178545</v>
      </c>
      <c r="F280" s="14">
        <f t="shared" si="96"/>
        <v>545530.24173400016</v>
      </c>
      <c r="G280" s="15">
        <f t="shared" si="85"/>
        <v>0.2319053230678815</v>
      </c>
      <c r="H280" s="13">
        <f t="shared" si="86"/>
        <v>62639.698768295108</v>
      </c>
      <c r="I280" s="13">
        <f t="shared" si="87"/>
        <v>4333787.2552927667</v>
      </c>
      <c r="J280" s="15">
        <f t="shared" si="80"/>
        <v>0.76809467693211853</v>
      </c>
      <c r="K280" s="13">
        <f t="shared" si="88"/>
        <v>1806853.1987026681</v>
      </c>
      <c r="L280" s="13">
        <f t="shared" si="97"/>
        <v>128548236.22892968</v>
      </c>
      <c r="M280" s="15">
        <f t="shared" si="89"/>
        <v>0.76809467693211853</v>
      </c>
      <c r="N280" s="13">
        <f t="shared" si="81"/>
        <v>17930.561805789963</v>
      </c>
      <c r="O280" s="13">
        <f t="shared" si="90"/>
        <v>2526934.0565900966</v>
      </c>
      <c r="P280" s="15">
        <f t="shared" si="82"/>
        <v>0.5178867860371652</v>
      </c>
      <c r="Q280" s="7">
        <f t="shared" si="91"/>
        <v>4879317.4970267648</v>
      </c>
      <c r="R280" s="7">
        <f t="shared" si="92"/>
        <v>2352383.4404366682</v>
      </c>
      <c r="S280" s="13">
        <f>IF('Calc (2)'!$AD$32="Sim",R280,Q280)</f>
        <v>2352383.4404366682</v>
      </c>
      <c r="T280" s="9">
        <f t="shared" si="93"/>
        <v>276</v>
      </c>
      <c r="U280" s="17">
        <f t="shared" ca="1" si="94"/>
        <v>53905</v>
      </c>
      <c r="V280" s="22"/>
      <c r="W280" s="22"/>
      <c r="X280" s="22"/>
    </row>
    <row r="281" spans="2:24" x14ac:dyDescent="0.2">
      <c r="B281" s="17">
        <f t="shared" ca="1" si="83"/>
        <v>53905</v>
      </c>
      <c r="C281" s="9">
        <f t="shared" si="95"/>
        <v>277</v>
      </c>
      <c r="D281" s="9"/>
      <c r="E281" s="13">
        <f t="shared" si="84"/>
        <v>3084.0375239038804</v>
      </c>
      <c r="F281" s="14">
        <f t="shared" si="96"/>
        <v>548614.27925790404</v>
      </c>
      <c r="G281" s="15">
        <f t="shared" si="85"/>
        <v>0.23076395785756476</v>
      </c>
      <c r="H281" s="13">
        <f t="shared" si="86"/>
        <v>63494.802187620473</v>
      </c>
      <c r="I281" s="13">
        <f t="shared" si="87"/>
        <v>4397282.0574803874</v>
      </c>
      <c r="J281" s="15">
        <f t="shared" si="80"/>
        <v>0.76923604214243524</v>
      </c>
      <c r="K281" s="13">
        <f t="shared" si="88"/>
        <v>1828768.5856890006</v>
      </c>
      <c r="L281" s="13">
        <f t="shared" si="97"/>
        <v>130377004.81461868</v>
      </c>
      <c r="M281" s="15">
        <f t="shared" si="89"/>
        <v>0.76923604214243524</v>
      </c>
      <c r="N281" s="13">
        <f t="shared" si="81"/>
        <v>18175.226351832054</v>
      </c>
      <c r="O281" s="13">
        <f t="shared" si="90"/>
        <v>2568513.4717913847</v>
      </c>
      <c r="P281" s="15">
        <f t="shared" si="82"/>
        <v>0.51932214039998725</v>
      </c>
      <c r="Q281" s="7">
        <f t="shared" si="91"/>
        <v>4945896.3367382893</v>
      </c>
      <c r="R281" s="7">
        <f t="shared" si="92"/>
        <v>2377382.8649469046</v>
      </c>
      <c r="S281" s="13">
        <f>IF('Calc (2)'!$AD$32="Sim",R281,Q281)</f>
        <v>2377382.8649469046</v>
      </c>
      <c r="T281" s="9">
        <f t="shared" si="93"/>
        <v>277</v>
      </c>
      <c r="U281" s="17">
        <f t="shared" ca="1" si="94"/>
        <v>53936</v>
      </c>
      <c r="V281" s="22"/>
      <c r="W281" s="22"/>
      <c r="X281" s="22"/>
    </row>
    <row r="282" spans="2:24" x14ac:dyDescent="0.2">
      <c r="B282" s="17">
        <f t="shared" ca="1" si="83"/>
        <v>53936</v>
      </c>
      <c r="C282" s="9">
        <f t="shared" si="95"/>
        <v>278</v>
      </c>
      <c r="D282" s="9"/>
      <c r="E282" s="13">
        <f t="shared" si="84"/>
        <v>3096.6022745296809</v>
      </c>
      <c r="F282" s="14">
        <f t="shared" si="96"/>
        <v>551710.88153243368</v>
      </c>
      <c r="G282" s="15">
        <f t="shared" si="85"/>
        <v>0.22962813259498627</v>
      </c>
      <c r="H282" s="13">
        <f t="shared" si="86"/>
        <v>64361.1959527199</v>
      </c>
      <c r="I282" s="13">
        <f t="shared" si="87"/>
        <v>4461643.2534331074</v>
      </c>
      <c r="J282" s="15">
        <f t="shared" si="80"/>
        <v>0.77037186740501373</v>
      </c>
      <c r="K282" s="13">
        <f t="shared" si="88"/>
        <v>1850916.6854718707</v>
      </c>
      <c r="L282" s="13">
        <f t="shared" si="97"/>
        <v>132227921.50009055</v>
      </c>
      <c r="M282" s="15">
        <f t="shared" si="89"/>
        <v>0.77037186740501373</v>
      </c>
      <c r="N282" s="13">
        <f t="shared" si="81"/>
        <v>18423.120902890321</v>
      </c>
      <c r="O282" s="13">
        <f t="shared" si="90"/>
        <v>2610726.5679612346</v>
      </c>
      <c r="P282" s="15">
        <f t="shared" si="82"/>
        <v>0.52075446850099294</v>
      </c>
      <c r="Q282" s="7">
        <f t="shared" si="91"/>
        <v>5013354.134965539</v>
      </c>
      <c r="R282" s="7">
        <f t="shared" si="92"/>
        <v>2402627.5670043044</v>
      </c>
      <c r="S282" s="13">
        <f>IF('Calc (2)'!$AD$32="Sim",R282,Q282)</f>
        <v>2402627.5670043044</v>
      </c>
      <c r="T282" s="9">
        <f t="shared" si="93"/>
        <v>278</v>
      </c>
      <c r="U282" s="17">
        <f t="shared" ca="1" si="94"/>
        <v>53966</v>
      </c>
      <c r="V282" s="22"/>
      <c r="W282" s="22"/>
      <c r="X282" s="22"/>
    </row>
    <row r="283" spans="2:24" x14ac:dyDescent="0.2">
      <c r="B283" s="17">
        <f t="shared" ca="1" si="83"/>
        <v>53966</v>
      </c>
      <c r="C283" s="9">
        <f t="shared" si="95"/>
        <v>279</v>
      </c>
      <c r="D283" s="9"/>
      <c r="E283" s="13">
        <f t="shared" si="84"/>
        <v>3109.2182155048417</v>
      </c>
      <c r="F283" s="14">
        <f t="shared" si="96"/>
        <v>554820.09974793857</v>
      </c>
      <c r="G283" s="15">
        <f t="shared" si="85"/>
        <v>0.22849782016032755</v>
      </c>
      <c r="H283" s="13">
        <f t="shared" si="86"/>
        <v>65239.027648866264</v>
      </c>
      <c r="I283" s="13">
        <f t="shared" si="87"/>
        <v>4526882.2810819736</v>
      </c>
      <c r="J283" s="15">
        <f t="shared" si="80"/>
        <v>0.7715021798396724</v>
      </c>
      <c r="K283" s="13">
        <f t="shared" si="88"/>
        <v>1873299.7806020975</v>
      </c>
      <c r="L283" s="13">
        <f t="shared" si="97"/>
        <v>134101221.28069265</v>
      </c>
      <c r="M283" s="15">
        <f t="shared" si="89"/>
        <v>0.77150217983967251</v>
      </c>
      <c r="N283" s="13">
        <f t="shared" si="81"/>
        <v>18674.287679296081</v>
      </c>
      <c r="O283" s="13">
        <f t="shared" si="90"/>
        <v>2653582.5004798737</v>
      </c>
      <c r="P283" s="15">
        <f t="shared" si="82"/>
        <v>0.52218376866976379</v>
      </c>
      <c r="Q283" s="7">
        <f t="shared" si="91"/>
        <v>5081702.3808299098</v>
      </c>
      <c r="R283" s="7">
        <f t="shared" si="92"/>
        <v>2428119.8803500361</v>
      </c>
      <c r="S283" s="13">
        <f>IF('Calc (2)'!$AD$32="Sim",R283,Q283)</f>
        <v>2428119.8803500361</v>
      </c>
      <c r="T283" s="9">
        <f t="shared" si="93"/>
        <v>279</v>
      </c>
      <c r="U283" s="17">
        <f t="shared" ca="1" si="94"/>
        <v>53997</v>
      </c>
      <c r="V283" s="22"/>
      <c r="W283" s="22"/>
      <c r="X283" s="22"/>
    </row>
    <row r="284" spans="2:24" x14ac:dyDescent="0.2">
      <c r="B284" s="17">
        <f t="shared" ca="1" si="83"/>
        <v>53997</v>
      </c>
      <c r="C284" s="9">
        <f t="shared" si="95"/>
        <v>280</v>
      </c>
      <c r="D284" s="9"/>
      <c r="E284" s="13">
        <f t="shared" si="84"/>
        <v>3121.8855553851827</v>
      </c>
      <c r="F284" s="14">
        <f t="shared" si="96"/>
        <v>557941.98530332372</v>
      </c>
      <c r="G284" s="15">
        <f t="shared" si="85"/>
        <v>0.22737299358157773</v>
      </c>
      <c r="H284" s="13">
        <f t="shared" si="86"/>
        <v>66128.446784569882</v>
      </c>
      <c r="I284" s="13">
        <f t="shared" si="87"/>
        <v>4593010.7278665435</v>
      </c>
      <c r="J284" s="15">
        <f t="shared" si="80"/>
        <v>0.7726270064184223</v>
      </c>
      <c r="K284" s="13">
        <f t="shared" si="88"/>
        <v>1895920.1753456858</v>
      </c>
      <c r="L284" s="13">
        <f t="shared" si="97"/>
        <v>135997141.45603833</v>
      </c>
      <c r="M284" s="15">
        <f t="shared" si="89"/>
        <v>0.7726270064184223</v>
      </c>
      <c r="N284" s="13">
        <f t="shared" si="81"/>
        <v>18928.769451562326</v>
      </c>
      <c r="O284" s="13">
        <f t="shared" si="90"/>
        <v>2697090.5525208558</v>
      </c>
      <c r="P284" s="15">
        <f t="shared" si="82"/>
        <v>0.5236100392894274</v>
      </c>
      <c r="Q284" s="7">
        <f t="shared" si="91"/>
        <v>5150952.7131698653</v>
      </c>
      <c r="R284" s="7">
        <f t="shared" si="92"/>
        <v>2453862.1606490095</v>
      </c>
      <c r="S284" s="13">
        <f>IF('Calc (2)'!$AD$32="Sim",R284,Q284)</f>
        <v>2453862.1606490095</v>
      </c>
      <c r="T284" s="9">
        <f t="shared" si="93"/>
        <v>280</v>
      </c>
      <c r="U284" s="17">
        <f t="shared" ca="1" si="94"/>
        <v>54027</v>
      </c>
      <c r="V284" s="22"/>
      <c r="W284" s="22"/>
      <c r="X284" s="22"/>
    </row>
    <row r="285" spans="2:24" x14ac:dyDescent="0.2">
      <c r="B285" s="17">
        <f t="shared" ca="1" si="83"/>
        <v>54027</v>
      </c>
      <c r="C285" s="9">
        <f t="shared" si="95"/>
        <v>281</v>
      </c>
      <c r="D285" s="9"/>
      <c r="E285" s="13">
        <f t="shared" si="84"/>
        <v>3134.6045035762058</v>
      </c>
      <c r="F285" s="14">
        <f t="shared" si="96"/>
        <v>561076.58980689989</v>
      </c>
      <c r="G285" s="15">
        <f t="shared" si="85"/>
        <v>0.22625362603337557</v>
      </c>
      <c r="H285" s="13">
        <f t="shared" si="86"/>
        <v>67029.604816616731</v>
      </c>
      <c r="I285" s="13">
        <f t="shared" si="87"/>
        <v>4660040.33268316</v>
      </c>
      <c r="J285" s="15">
        <f t="shared" si="80"/>
        <v>0.77374637396662438</v>
      </c>
      <c r="K285" s="13">
        <f t="shared" si="88"/>
        <v>1918780.195887811</v>
      </c>
      <c r="L285" s="13">
        <f t="shared" si="97"/>
        <v>137915921.65192613</v>
      </c>
      <c r="M285" s="15">
        <f t="shared" si="89"/>
        <v>0.77374637396662449</v>
      </c>
      <c r="N285" s="13">
        <f t="shared" si="81"/>
        <v>19186.609547546392</v>
      </c>
      <c r="O285" s="13">
        <f t="shared" si="90"/>
        <v>2741260.1367953476</v>
      </c>
      <c r="P285" s="15">
        <f t="shared" si="82"/>
        <v>0.52503327879659589</v>
      </c>
      <c r="Q285" s="7">
        <f t="shared" si="91"/>
        <v>5221116.9224900585</v>
      </c>
      <c r="R285" s="7">
        <f t="shared" si="92"/>
        <v>2479856.7856947109</v>
      </c>
      <c r="S285" s="13">
        <f>IF('Calc (2)'!$AD$32="Sim",R285,Q285)</f>
        <v>2479856.7856947109</v>
      </c>
      <c r="T285" s="9">
        <f t="shared" si="93"/>
        <v>281</v>
      </c>
      <c r="U285" s="17">
        <f t="shared" ca="1" si="94"/>
        <v>54058</v>
      </c>
      <c r="V285" s="22"/>
      <c r="W285" s="22"/>
      <c r="X285" s="22"/>
    </row>
    <row r="286" spans="2:24" x14ac:dyDescent="0.2">
      <c r="B286" s="17">
        <f t="shared" ca="1" si="83"/>
        <v>54058</v>
      </c>
      <c r="C286" s="9">
        <f t="shared" si="95"/>
        <v>282</v>
      </c>
      <c r="D286" s="9"/>
      <c r="E286" s="13">
        <f t="shared" si="84"/>
        <v>3147.3752703365567</v>
      </c>
      <c r="F286" s="14">
        <f t="shared" si="96"/>
        <v>564223.96507723641</v>
      </c>
      <c r="G286" s="15">
        <f t="shared" si="85"/>
        <v>0.22513969083586621</v>
      </c>
      <c r="H286" s="13">
        <f t="shared" si="86"/>
        <v>67942.655175432534</v>
      </c>
      <c r="I286" s="13">
        <f t="shared" si="87"/>
        <v>4727982.9878585925</v>
      </c>
      <c r="J286" s="15">
        <f t="shared" si="80"/>
        <v>0.77486030916413373</v>
      </c>
      <c r="K286" s="13">
        <f t="shared" si="88"/>
        <v>1941882.1905387146</v>
      </c>
      <c r="L286" s="13">
        <f t="shared" si="97"/>
        <v>139857803.84246483</v>
      </c>
      <c r="M286" s="15">
        <f t="shared" si="89"/>
        <v>0.77486030916413384</v>
      </c>
      <c r="N286" s="13">
        <f t="shared" si="81"/>
        <v>19447.851859705846</v>
      </c>
      <c r="O286" s="13">
        <f t="shared" si="90"/>
        <v>2786100.797319877</v>
      </c>
      <c r="P286" s="15">
        <f t="shared" si="82"/>
        <v>0.52645348568129979</v>
      </c>
      <c r="Q286" s="7">
        <f t="shared" si="91"/>
        <v>5292206.9529358279</v>
      </c>
      <c r="R286" s="7">
        <f t="shared" si="92"/>
        <v>2506106.1556159509</v>
      </c>
      <c r="S286" s="13">
        <f>IF('Calc (2)'!$AD$32="Sim",R286,Q286)</f>
        <v>2506106.1556159509</v>
      </c>
      <c r="T286" s="9">
        <f t="shared" si="93"/>
        <v>282</v>
      </c>
      <c r="U286" s="17">
        <f t="shared" ca="1" si="94"/>
        <v>54089</v>
      </c>
      <c r="V286" s="22"/>
      <c r="W286" s="22"/>
      <c r="X286" s="22"/>
    </row>
    <row r="287" spans="2:24" x14ac:dyDescent="0.2">
      <c r="B287" s="17">
        <f t="shared" ca="1" si="83"/>
        <v>54089</v>
      </c>
      <c r="C287" s="9">
        <f t="shared" si="95"/>
        <v>283</v>
      </c>
      <c r="D287" s="9"/>
      <c r="E287" s="13">
        <f t="shared" si="84"/>
        <v>3160.1980667815014</v>
      </c>
      <c r="F287" s="14">
        <f t="shared" si="96"/>
        <v>567384.16314401792</v>
      </c>
      <c r="G287" s="15">
        <f t="shared" si="85"/>
        <v>0.22403116145357424</v>
      </c>
      <c r="H287" s="13">
        <f t="shared" si="86"/>
        <v>68867.753290776862</v>
      </c>
      <c r="I287" s="13">
        <f t="shared" si="87"/>
        <v>4796850.7411493696</v>
      </c>
      <c r="J287" s="15">
        <f t="shared" si="80"/>
        <v>0.77596883854642573</v>
      </c>
      <c r="K287" s="13">
        <f t="shared" si="88"/>
        <v>1965228.5299415211</v>
      </c>
      <c r="L287" s="13">
        <f t="shared" si="97"/>
        <v>141823032.37240636</v>
      </c>
      <c r="M287" s="15">
        <f t="shared" si="89"/>
        <v>0.77596883854642573</v>
      </c>
      <c r="N287" s="13">
        <f t="shared" si="81"/>
        <v>19712.540852448808</v>
      </c>
      <c r="O287" s="13">
        <f t="shared" si="90"/>
        <v>2831622.2112078471</v>
      </c>
      <c r="P287" s="15">
        <f t="shared" si="82"/>
        <v>0.52787065848691572</v>
      </c>
      <c r="Q287" s="7">
        <f t="shared" si="91"/>
        <v>5364234.9042933863</v>
      </c>
      <c r="R287" s="7">
        <f t="shared" si="92"/>
        <v>2532612.6930855392</v>
      </c>
      <c r="S287" s="13">
        <f>IF('Calc (2)'!$AD$32="Sim",R287,Q287)</f>
        <v>2532612.6930855392</v>
      </c>
      <c r="T287" s="9">
        <f t="shared" si="93"/>
        <v>283</v>
      </c>
      <c r="U287" s="17">
        <f t="shared" ca="1" si="94"/>
        <v>54118</v>
      </c>
      <c r="V287" s="22"/>
      <c r="W287" s="22"/>
      <c r="X287" s="22"/>
    </row>
    <row r="288" spans="2:24" x14ac:dyDescent="0.2">
      <c r="B288" s="17">
        <f t="shared" ca="1" si="83"/>
        <v>54118</v>
      </c>
      <c r="C288" s="9">
        <f t="shared" si="95"/>
        <v>284</v>
      </c>
      <c r="D288" s="9"/>
      <c r="E288" s="13">
        <f t="shared" si="84"/>
        <v>3173.0731048864154</v>
      </c>
      <c r="F288" s="14">
        <f t="shared" si="96"/>
        <v>570557.23624890437</v>
      </c>
      <c r="G288" s="15">
        <f t="shared" si="85"/>
        <v>0.22292801149429203</v>
      </c>
      <c r="H288" s="13">
        <f t="shared" si="86"/>
        <v>69805.05661777177</v>
      </c>
      <c r="I288" s="13">
        <f t="shared" si="87"/>
        <v>4866655.7977671418</v>
      </c>
      <c r="J288" s="15">
        <f t="shared" si="80"/>
        <v>0.77707198850570802</v>
      </c>
      <c r="K288" s="13">
        <f t="shared" si="88"/>
        <v>1988821.6072819959</v>
      </c>
      <c r="L288" s="13">
        <f t="shared" si="97"/>
        <v>143811853.97968835</v>
      </c>
      <c r="M288" s="15">
        <f t="shared" si="89"/>
        <v>0.77707198850570802</v>
      </c>
      <c r="N288" s="13">
        <f t="shared" si="81"/>
        <v>19980.721569579935</v>
      </c>
      <c r="O288" s="13">
        <f t="shared" si="90"/>
        <v>2877834.1904851445</v>
      </c>
      <c r="P288" s="15">
        <f t="shared" si="82"/>
        <v>0.52928479581009047</v>
      </c>
      <c r="Q288" s="7">
        <f t="shared" si="91"/>
        <v>5437213.0340160448</v>
      </c>
      <c r="R288" s="7">
        <f t="shared" si="92"/>
        <v>2559378.8435309003</v>
      </c>
      <c r="S288" s="13">
        <f>IF('Calc (2)'!$AD$32="Sim",R288,Q288)</f>
        <v>2559378.8435309003</v>
      </c>
      <c r="T288" s="9">
        <f t="shared" si="93"/>
        <v>284</v>
      </c>
      <c r="U288" s="17">
        <f t="shared" ca="1" si="94"/>
        <v>54149</v>
      </c>
      <c r="V288" s="22"/>
      <c r="W288" s="22"/>
      <c r="X288" s="22"/>
    </row>
    <row r="289" spans="2:24" x14ac:dyDescent="0.2">
      <c r="B289" s="17">
        <f t="shared" ca="1" si="83"/>
        <v>54149</v>
      </c>
      <c r="C289" s="9">
        <f t="shared" si="95"/>
        <v>285</v>
      </c>
      <c r="D289" s="9"/>
      <c r="E289" s="13">
        <f t="shared" si="84"/>
        <v>3186.0005974902879</v>
      </c>
      <c r="F289" s="14">
        <f t="shared" si="96"/>
        <v>573743.2368463946</v>
      </c>
      <c r="G289" s="15">
        <f t="shared" si="85"/>
        <v>0.22183021470798264</v>
      </c>
      <c r="H289" s="13">
        <f t="shared" si="86"/>
        <v>70754.724663269182</v>
      </c>
      <c r="I289" s="13">
        <f t="shared" si="87"/>
        <v>4937410.5224304106</v>
      </c>
      <c r="J289" s="15">
        <f t="shared" si="80"/>
        <v>0.7781697852920173</v>
      </c>
      <c r="K289" s="13">
        <f t="shared" si="88"/>
        <v>2012663.8385002634</v>
      </c>
      <c r="L289" s="13">
        <f t="shared" si="97"/>
        <v>145824517.81818861</v>
      </c>
      <c r="M289" s="15">
        <f t="shared" si="89"/>
        <v>0.7781697852920173</v>
      </c>
      <c r="N289" s="13">
        <f t="shared" si="81"/>
        <v>20252.439641843292</v>
      </c>
      <c r="O289" s="13">
        <f t="shared" si="90"/>
        <v>2924746.6839301456</v>
      </c>
      <c r="P289" s="15">
        <f t="shared" si="82"/>
        <v>0.53069589630065828</v>
      </c>
      <c r="Q289" s="7">
        <f t="shared" si="91"/>
        <v>5511153.7592768036</v>
      </c>
      <c r="R289" s="7">
        <f t="shared" si="92"/>
        <v>2586407.075346658</v>
      </c>
      <c r="S289" s="13">
        <f>IF('Calc (2)'!$AD$32="Sim",R289,Q289)</f>
        <v>2586407.075346658</v>
      </c>
      <c r="T289" s="9">
        <f t="shared" si="93"/>
        <v>285</v>
      </c>
      <c r="U289" s="17">
        <f t="shared" ca="1" si="94"/>
        <v>54179</v>
      </c>
      <c r="V289" s="22"/>
      <c r="W289" s="22"/>
      <c r="X289" s="22"/>
    </row>
    <row r="290" spans="2:24" x14ac:dyDescent="0.2">
      <c r="B290" s="17">
        <f t="shared" ca="1" si="83"/>
        <v>54179</v>
      </c>
      <c r="C290" s="9">
        <f t="shared" si="95"/>
        <v>286</v>
      </c>
      <c r="D290" s="9"/>
      <c r="E290" s="13">
        <f t="shared" si="84"/>
        <v>3198.9807582992407</v>
      </c>
      <c r="F290" s="14">
        <f t="shared" si="96"/>
        <v>576942.21760469384</v>
      </c>
      <c r="G290" s="15">
        <f t="shared" si="85"/>
        <v>0.22073774498569826</v>
      </c>
      <c r="H290" s="13">
        <f t="shared" si="86"/>
        <v>71716.919012561251</v>
      </c>
      <c r="I290" s="13">
        <f t="shared" si="87"/>
        <v>5009127.441442972</v>
      </c>
      <c r="J290" s="15">
        <f t="shared" si="80"/>
        <v>0.7792622550143018</v>
      </c>
      <c r="K290" s="13">
        <f t="shared" si="88"/>
        <v>2036757.6625045021</v>
      </c>
      <c r="L290" s="13">
        <f t="shared" si="97"/>
        <v>147861275.4806931</v>
      </c>
      <c r="M290" s="15">
        <f t="shared" si="89"/>
        <v>0.77926225501430169</v>
      </c>
      <c r="N290" s="13">
        <f t="shared" si="81"/>
        <v>20527.741294563435</v>
      </c>
      <c r="O290" s="13">
        <f t="shared" si="90"/>
        <v>2972369.7789384681</v>
      </c>
      <c r="P290" s="15">
        <f t="shared" si="82"/>
        <v>0.53210395866155558</v>
      </c>
      <c r="Q290" s="7">
        <f t="shared" si="91"/>
        <v>5586069.6590476641</v>
      </c>
      <c r="R290" s="7">
        <f t="shared" si="92"/>
        <v>2613699.8801091961</v>
      </c>
      <c r="S290" s="13">
        <f>IF('Calc (2)'!$AD$32="Sim",R290,Q290)</f>
        <v>2613699.8801091961</v>
      </c>
      <c r="T290" s="9">
        <f t="shared" si="93"/>
        <v>286</v>
      </c>
      <c r="U290" s="17">
        <f t="shared" ca="1" si="94"/>
        <v>54210</v>
      </c>
      <c r="V290" s="22"/>
      <c r="W290" s="22"/>
      <c r="X290" s="22"/>
    </row>
    <row r="291" spans="2:24" x14ac:dyDescent="0.2">
      <c r="B291" s="17">
        <f t="shared" ca="1" si="83"/>
        <v>54210</v>
      </c>
      <c r="C291" s="9">
        <f t="shared" si="95"/>
        <v>287</v>
      </c>
      <c r="D291" s="9"/>
      <c r="E291" s="13">
        <f t="shared" si="84"/>
        <v>3212.0138018900611</v>
      </c>
      <c r="F291" s="14">
        <f t="shared" si="96"/>
        <v>580154.23140658392</v>
      </c>
      <c r="G291" s="15">
        <f t="shared" si="85"/>
        <v>0.21965057635851196</v>
      </c>
      <c r="H291" s="13">
        <f t="shared" si="86"/>
        <v>72691.803356438642</v>
      </c>
      <c r="I291" s="13">
        <f t="shared" si="87"/>
        <v>5081819.2447994109</v>
      </c>
      <c r="J291" s="15">
        <f t="shared" si="80"/>
        <v>0.78034942364148807</v>
      </c>
      <c r="K291" s="13">
        <f t="shared" si="88"/>
        <v>2061105.5413866397</v>
      </c>
      <c r="L291" s="13">
        <f t="shared" si="97"/>
        <v>149922381.02207974</v>
      </c>
      <c r="M291" s="15">
        <f t="shared" si="89"/>
        <v>0.78034942364148807</v>
      </c>
      <c r="N291" s="13">
        <f t="shared" si="81"/>
        <v>20806.673355385901</v>
      </c>
      <c r="O291" s="13">
        <f t="shared" si="90"/>
        <v>3020713.7034127698</v>
      </c>
      <c r="P291" s="15">
        <f t="shared" si="82"/>
        <v>0.53350898164872829</v>
      </c>
      <c r="Q291" s="7">
        <f t="shared" si="91"/>
        <v>5661973.4762059934</v>
      </c>
      <c r="R291" s="7">
        <f t="shared" si="92"/>
        <v>2641259.7727932236</v>
      </c>
      <c r="S291" s="13">
        <f>IF('Calc (2)'!$AD$32="Sim",R291,Q291)</f>
        <v>2641259.7727932236</v>
      </c>
      <c r="T291" s="9">
        <f t="shared" si="93"/>
        <v>287</v>
      </c>
      <c r="U291" s="17">
        <f t="shared" ca="1" si="94"/>
        <v>54240</v>
      </c>
      <c r="V291" s="22"/>
      <c r="W291" s="22"/>
      <c r="X291" s="22"/>
    </row>
    <row r="292" spans="2:24" x14ac:dyDescent="0.2">
      <c r="B292" s="17">
        <f t="shared" ca="1" si="83"/>
        <v>54240</v>
      </c>
      <c r="C292" s="9">
        <f t="shared" si="95"/>
        <v>288</v>
      </c>
      <c r="D292" s="9">
        <v>24</v>
      </c>
      <c r="E292" s="13">
        <f t="shared" si="84"/>
        <v>3225.0999437137484</v>
      </c>
      <c r="F292" s="14">
        <f t="shared" si="96"/>
        <v>583379.33135029767</v>
      </c>
      <c r="G292" s="15">
        <f t="shared" si="85"/>
        <v>0.21856868299646445</v>
      </c>
      <c r="H292" s="13">
        <f t="shared" si="86"/>
        <v>73679.543518600709</v>
      </c>
      <c r="I292" s="13">
        <f t="shared" si="87"/>
        <v>5155498.7883180119</v>
      </c>
      <c r="J292" s="15">
        <f t="shared" si="80"/>
        <v>0.78143131700353552</v>
      </c>
      <c r="K292" s="13">
        <f t="shared" si="88"/>
        <v>2085709.9606400575</v>
      </c>
      <c r="L292" s="13">
        <f t="shared" si="97"/>
        <v>152008090.98271978</v>
      </c>
      <c r="M292" s="15">
        <f t="shared" si="89"/>
        <v>0.78143131700353552</v>
      </c>
      <c r="N292" s="13">
        <f t="shared" si="81"/>
        <v>21089.283262118461</v>
      </c>
      <c r="O292" s="13">
        <f t="shared" si="90"/>
        <v>3069788.8276779526</v>
      </c>
      <c r="P292" s="15">
        <f t="shared" si="82"/>
        <v>0.53491096407103667</v>
      </c>
      <c r="Q292" s="7">
        <f t="shared" si="91"/>
        <v>5738878.1196683077</v>
      </c>
      <c r="R292" s="7">
        <f t="shared" si="92"/>
        <v>2669089.2919903551</v>
      </c>
      <c r="S292" s="13">
        <f>IF('Calc (2)'!$AD$32="Sim",R292,Q292)</f>
        <v>2669089.2919903551</v>
      </c>
      <c r="T292" s="9">
        <f t="shared" si="93"/>
        <v>288</v>
      </c>
      <c r="U292" s="17">
        <f t="shared" ca="1" si="94"/>
        <v>54271</v>
      </c>
      <c r="V292" s="22"/>
      <c r="W292" s="22"/>
      <c r="X292" s="22"/>
    </row>
    <row r="293" spans="2:24" x14ac:dyDescent="0.2">
      <c r="B293" s="17">
        <f t="shared" ca="1" si="83"/>
        <v>54271</v>
      </c>
      <c r="C293" s="9">
        <f t="shared" si="95"/>
        <v>289</v>
      </c>
      <c r="D293" s="9"/>
      <c r="E293" s="13">
        <f t="shared" si="84"/>
        <v>3238.2394000990757</v>
      </c>
      <c r="F293" s="14">
        <f t="shared" si="96"/>
        <v>586617.5707503967</v>
      </c>
      <c r="G293" s="15">
        <f t="shared" si="85"/>
        <v>0.21749203920752425</v>
      </c>
      <c r="H293" s="13">
        <f t="shared" si="86"/>
        <v>74680.307483422555</v>
      </c>
      <c r="I293" s="13">
        <f t="shared" si="87"/>
        <v>5230179.0958014345</v>
      </c>
      <c r="J293" s="15">
        <f t="shared" si="80"/>
        <v>0.78250796079247575</v>
      </c>
      <c r="K293" s="13">
        <f t="shared" si="88"/>
        <v>2110573.4293793328</v>
      </c>
      <c r="L293" s="13">
        <f t="shared" si="97"/>
        <v>154118664.41209912</v>
      </c>
      <c r="M293" s="15">
        <f t="shared" si="89"/>
        <v>0.78250796079247575</v>
      </c>
      <c r="N293" s="13">
        <f t="shared" si="81"/>
        <v>21375.619070674406</v>
      </c>
      <c r="O293" s="13">
        <f t="shared" si="90"/>
        <v>3119605.6664220998</v>
      </c>
      <c r="P293" s="15">
        <f t="shared" si="82"/>
        <v>0.5363099047901545</v>
      </c>
      <c r="Q293" s="7">
        <f t="shared" si="91"/>
        <v>5816796.6665518293</v>
      </c>
      <c r="R293" s="7">
        <f t="shared" si="92"/>
        <v>2697191.0001297295</v>
      </c>
      <c r="S293" s="13">
        <f>IF('Calc (2)'!$AD$32="Sim",R293,Q293)</f>
        <v>2697191.0001297295</v>
      </c>
      <c r="T293" s="9">
        <f t="shared" si="93"/>
        <v>289</v>
      </c>
      <c r="U293" s="17">
        <f t="shared" ca="1" si="94"/>
        <v>54302</v>
      </c>
      <c r="V293" s="22"/>
      <c r="W293" s="22"/>
      <c r="X293" s="22"/>
    </row>
    <row r="294" spans="2:24" x14ac:dyDescent="0.2">
      <c r="B294" s="17">
        <f t="shared" ca="1" si="83"/>
        <v>54302</v>
      </c>
      <c r="C294" s="9">
        <f t="shared" si="95"/>
        <v>290</v>
      </c>
      <c r="D294" s="9"/>
      <c r="E294" s="13">
        <f t="shared" si="84"/>
        <v>3251.4323882561666</v>
      </c>
      <c r="F294" s="14">
        <f t="shared" si="96"/>
        <v>589869.00313865289</v>
      </c>
      <c r="G294" s="15">
        <f t="shared" si="85"/>
        <v>0.21642061943656155</v>
      </c>
      <c r="H294" s="13">
        <f t="shared" si="86"/>
        <v>75694.265424083467</v>
      </c>
      <c r="I294" s="13">
        <f t="shared" si="87"/>
        <v>5305873.3612255184</v>
      </c>
      <c r="J294" s="15">
        <f t="shared" si="80"/>
        <v>0.78357938056343845</v>
      </c>
      <c r="K294" s="13">
        <f t="shared" si="88"/>
        <v>2135698.4805620331</v>
      </c>
      <c r="L294" s="13">
        <f t="shared" si="97"/>
        <v>156254362.89266115</v>
      </c>
      <c r="M294" s="15">
        <f t="shared" si="89"/>
        <v>0.78357938056343845</v>
      </c>
      <c r="N294" s="13">
        <f t="shared" si="81"/>
        <v>21665.729463119238</v>
      </c>
      <c r="O294" s="13">
        <f t="shared" si="90"/>
        <v>3170174.8806634834</v>
      </c>
      <c r="P294" s="15">
        <f t="shared" si="82"/>
        <v>0.5377058027204642</v>
      </c>
      <c r="Q294" s="7">
        <f t="shared" si="91"/>
        <v>5895742.3643641695</v>
      </c>
      <c r="R294" s="7">
        <f t="shared" si="92"/>
        <v>2725567.4837006861</v>
      </c>
      <c r="S294" s="13">
        <f>IF('Calc (2)'!$AD$32="Sim",R294,Q294)</f>
        <v>2725567.4837006861</v>
      </c>
      <c r="T294" s="9">
        <f t="shared" si="93"/>
        <v>290</v>
      </c>
      <c r="U294" s="17">
        <f t="shared" ca="1" si="94"/>
        <v>54332</v>
      </c>
      <c r="V294" s="22"/>
      <c r="W294" s="22"/>
      <c r="X294" s="22"/>
    </row>
    <row r="295" spans="2:24" x14ac:dyDescent="0.2">
      <c r="B295" s="17">
        <f t="shared" ca="1" si="83"/>
        <v>54332</v>
      </c>
      <c r="C295" s="9">
        <f t="shared" si="95"/>
        <v>291</v>
      </c>
      <c r="D295" s="9"/>
      <c r="E295" s="13">
        <f t="shared" si="84"/>
        <v>3264.6791262800857</v>
      </c>
      <c r="F295" s="14">
        <f t="shared" si="96"/>
        <v>593133.68226493301</v>
      </c>
      <c r="G295" s="15">
        <f t="shared" si="85"/>
        <v>0.21535439826433533</v>
      </c>
      <c r="H295" s="13">
        <f t="shared" si="86"/>
        <v>76721.58973106138</v>
      </c>
      <c r="I295" s="13">
        <f t="shared" si="87"/>
        <v>5382594.9509565802</v>
      </c>
      <c r="J295" s="15">
        <f t="shared" si="80"/>
        <v>0.78464560173566467</v>
      </c>
      <c r="K295" s="13">
        <f t="shared" si="88"/>
        <v>2161087.6712125801</v>
      </c>
      <c r="L295" s="13">
        <f t="shared" si="97"/>
        <v>158415450.56387374</v>
      </c>
      <c r="M295" s="15">
        <f t="shared" si="89"/>
        <v>0.78464560173566467</v>
      </c>
      <c r="N295" s="13">
        <f t="shared" si="81"/>
        <v>21959.663755822068</v>
      </c>
      <c r="O295" s="13">
        <f t="shared" si="90"/>
        <v>3221507.2797439988</v>
      </c>
      <c r="P295" s="15">
        <f t="shared" si="82"/>
        <v>0.53909865682894742</v>
      </c>
      <c r="Q295" s="7">
        <f t="shared" si="91"/>
        <v>5975728.6332215117</v>
      </c>
      <c r="R295" s="7">
        <f t="shared" si="92"/>
        <v>2754221.353477513</v>
      </c>
      <c r="S295" s="13">
        <f>IF('Calc (2)'!$AD$32="Sim",R295,Q295)</f>
        <v>2754221.353477513</v>
      </c>
      <c r="T295" s="9">
        <f t="shared" si="93"/>
        <v>291</v>
      </c>
      <c r="U295" s="17">
        <f t="shared" ca="1" si="94"/>
        <v>54363</v>
      </c>
      <c r="V295" s="22"/>
      <c r="W295" s="22"/>
      <c r="X295" s="22"/>
    </row>
    <row r="296" spans="2:24" x14ac:dyDescent="0.2">
      <c r="B296" s="17">
        <f t="shared" ca="1" si="83"/>
        <v>54363</v>
      </c>
      <c r="C296" s="9">
        <f t="shared" si="95"/>
        <v>292</v>
      </c>
      <c r="D296" s="9"/>
      <c r="E296" s="13">
        <f t="shared" si="84"/>
        <v>3277.9798331544439</v>
      </c>
      <c r="F296" s="14">
        <f t="shared" si="96"/>
        <v>596411.66209808749</v>
      </c>
      <c r="G296" s="15">
        <f t="shared" si="85"/>
        <v>0.21429335040649333</v>
      </c>
      <c r="H296" s="13">
        <f t="shared" si="86"/>
        <v>77762.455040998175</v>
      </c>
      <c r="I296" s="13">
        <f t="shared" si="87"/>
        <v>5460357.4059975781</v>
      </c>
      <c r="J296" s="15">
        <f t="shared" si="80"/>
        <v>0.78570664959350667</v>
      </c>
      <c r="K296" s="13">
        <f t="shared" si="88"/>
        <v>2186743.5826482074</v>
      </c>
      <c r="L296" s="13">
        <f t="shared" si="97"/>
        <v>160602194.14652196</v>
      </c>
      <c r="M296" s="15">
        <f t="shared" si="89"/>
        <v>0.78570664959350667</v>
      </c>
      <c r="N296" s="13">
        <f t="shared" si="81"/>
        <v>22257.471907713094</v>
      </c>
      <c r="O296" s="13">
        <f t="shared" si="90"/>
        <v>3273613.8233493688</v>
      </c>
      <c r="P296" s="15">
        <f t="shared" si="82"/>
        <v>0.54048846613507107</v>
      </c>
      <c r="Q296" s="7">
        <f t="shared" si="91"/>
        <v>6056769.0680956636</v>
      </c>
      <c r="R296" s="7">
        <f t="shared" si="92"/>
        <v>2783155.2447462948</v>
      </c>
      <c r="S296" s="13">
        <f>IF('Calc (2)'!$AD$32="Sim",R296,Q296)</f>
        <v>2783155.2447462948</v>
      </c>
      <c r="T296" s="9">
        <f t="shared" si="93"/>
        <v>292</v>
      </c>
      <c r="U296" s="17">
        <f t="shared" ca="1" si="94"/>
        <v>54393</v>
      </c>
      <c r="V296" s="22"/>
      <c r="W296" s="22"/>
      <c r="X296" s="22"/>
    </row>
    <row r="297" spans="2:24" x14ac:dyDescent="0.2">
      <c r="B297" s="17">
        <f t="shared" ca="1" si="83"/>
        <v>54393</v>
      </c>
      <c r="C297" s="9">
        <f t="shared" si="95"/>
        <v>293</v>
      </c>
      <c r="D297" s="9"/>
      <c r="E297" s="13">
        <f t="shared" si="84"/>
        <v>3291.3347287550182</v>
      </c>
      <c r="F297" s="14">
        <f t="shared" si="96"/>
        <v>599702.99682684254</v>
      </c>
      <c r="G297" s="15">
        <f t="shared" si="85"/>
        <v>0.21323745071258524</v>
      </c>
      <c r="H297" s="13">
        <f t="shared" si="86"/>
        <v>78817.038265940704</v>
      </c>
      <c r="I297" s="13">
        <f t="shared" si="87"/>
        <v>5539174.4442635188</v>
      </c>
      <c r="J297" s="15">
        <f t="shared" si="80"/>
        <v>0.78676254928741474</v>
      </c>
      <c r="K297" s="13">
        <f t="shared" si="88"/>
        <v>2212668.8207070283</v>
      </c>
      <c r="L297" s="13">
        <f t="shared" si="97"/>
        <v>162814862.96722898</v>
      </c>
      <c r="M297" s="15">
        <f t="shared" si="89"/>
        <v>0.78676254928741485</v>
      </c>
      <c r="N297" s="13">
        <f t="shared" si="81"/>
        <v>22559.204528648577</v>
      </c>
      <c r="O297" s="13">
        <f t="shared" si="90"/>
        <v>3326505.6235564887</v>
      </c>
      <c r="P297" s="15">
        <f t="shared" si="82"/>
        <v>0.54187522971067004</v>
      </c>
      <c r="Q297" s="7">
        <f t="shared" si="91"/>
        <v>6138877.4410903594</v>
      </c>
      <c r="R297" s="7">
        <f t="shared" si="92"/>
        <v>2812371.8175338707</v>
      </c>
      <c r="S297" s="13">
        <f>IF('Calc (2)'!$AD$32="Sim",R297,Q297)</f>
        <v>2812371.8175338707</v>
      </c>
      <c r="T297" s="9">
        <f t="shared" si="93"/>
        <v>293</v>
      </c>
      <c r="U297" s="17">
        <f t="shared" ca="1" si="94"/>
        <v>54424</v>
      </c>
      <c r="V297" s="22"/>
      <c r="W297" s="22"/>
      <c r="X297" s="22"/>
    </row>
    <row r="298" spans="2:24" x14ac:dyDescent="0.2">
      <c r="B298" s="17">
        <f t="shared" ca="1" si="83"/>
        <v>54424</v>
      </c>
      <c r="C298" s="9">
        <f t="shared" si="95"/>
        <v>294</v>
      </c>
      <c r="D298" s="9"/>
      <c r="E298" s="13">
        <f t="shared" si="84"/>
        <v>3304.744033853387</v>
      </c>
      <c r="F298" s="14">
        <f t="shared" si="96"/>
        <v>603007.74086069595</v>
      </c>
      <c r="G298" s="15">
        <f t="shared" si="85"/>
        <v>0.21218667416508794</v>
      </c>
      <c r="H298" s="13">
        <f t="shared" si="86"/>
        <v>79885.518622962438</v>
      </c>
      <c r="I298" s="13">
        <f t="shared" si="87"/>
        <v>5619059.9628864815</v>
      </c>
      <c r="J298" s="15">
        <f t="shared" si="80"/>
        <v>0.78781332583491204</v>
      </c>
      <c r="K298" s="13">
        <f t="shared" si="88"/>
        <v>2238866.015978232</v>
      </c>
      <c r="L298" s="13">
        <f t="shared" si="97"/>
        <v>165053728.98320723</v>
      </c>
      <c r="M298" s="15">
        <f t="shared" si="89"/>
        <v>0.78781332583491204</v>
      </c>
      <c r="N298" s="13">
        <f t="shared" si="81"/>
        <v>22864.912887884657</v>
      </c>
      <c r="O298" s="13">
        <f t="shared" si="90"/>
        <v>3380193.9469082477</v>
      </c>
      <c r="P298" s="15">
        <f t="shared" si="82"/>
        <v>0.54325894667982488</v>
      </c>
      <c r="Q298" s="7">
        <f t="shared" si="91"/>
        <v>6222067.7037471756</v>
      </c>
      <c r="R298" s="7">
        <f t="shared" si="92"/>
        <v>2841873.756838928</v>
      </c>
      <c r="S298" s="13">
        <f>IF('Calc (2)'!$AD$32="Sim",R298,Q298)</f>
        <v>2841873.756838928</v>
      </c>
      <c r="T298" s="9">
        <f t="shared" si="93"/>
        <v>294</v>
      </c>
      <c r="U298" s="17">
        <f t="shared" ca="1" si="94"/>
        <v>54455</v>
      </c>
      <c r="V298" s="22"/>
      <c r="W298" s="22"/>
      <c r="X298" s="22"/>
    </row>
    <row r="299" spans="2:24" x14ac:dyDescent="0.2">
      <c r="B299" s="17">
        <f t="shared" ca="1" si="83"/>
        <v>54455</v>
      </c>
      <c r="C299" s="9">
        <f t="shared" si="95"/>
        <v>295</v>
      </c>
      <c r="D299" s="9"/>
      <c r="E299" s="13">
        <f t="shared" si="84"/>
        <v>3318.2079701205789</v>
      </c>
      <c r="F299" s="14">
        <f t="shared" si="96"/>
        <v>606325.94883081655</v>
      </c>
      <c r="G299" s="15">
        <f t="shared" si="85"/>
        <v>0.21114099587844334</v>
      </c>
      <c r="H299" s="13">
        <f t="shared" si="86"/>
        <v>80968.077664170443</v>
      </c>
      <c r="I299" s="13">
        <f t="shared" si="87"/>
        <v>5700028.040550652</v>
      </c>
      <c r="J299" s="15">
        <f t="shared" si="80"/>
        <v>0.78885900412155663</v>
      </c>
      <c r="K299" s="13">
        <f t="shared" si="88"/>
        <v>2265337.8240344324</v>
      </c>
      <c r="L299" s="13">
        <f t="shared" si="97"/>
        <v>167319066.80724165</v>
      </c>
      <c r="M299" s="15">
        <f t="shared" si="89"/>
        <v>0.78885900412155674</v>
      </c>
      <c r="N299" s="13">
        <f t="shared" si="81"/>
        <v>23174.648922661454</v>
      </c>
      <c r="O299" s="13">
        <f t="shared" si="90"/>
        <v>3434690.2165162181</v>
      </c>
      <c r="P299" s="15">
        <f t="shared" si="82"/>
        <v>0.54463961621873624</v>
      </c>
      <c r="Q299" s="7">
        <f t="shared" si="91"/>
        <v>6306353.989381467</v>
      </c>
      <c r="R299" s="7">
        <f t="shared" si="92"/>
        <v>2871663.7728652488</v>
      </c>
      <c r="S299" s="13">
        <f>IF('Calc (2)'!$AD$32="Sim",R299,Q299)</f>
        <v>2871663.7728652488</v>
      </c>
      <c r="T299" s="9">
        <f t="shared" si="93"/>
        <v>295</v>
      </c>
      <c r="U299" s="17">
        <f t="shared" ca="1" si="94"/>
        <v>54483</v>
      </c>
      <c r="V299" s="22"/>
      <c r="W299" s="22"/>
      <c r="X299" s="22"/>
    </row>
    <row r="300" spans="2:24" x14ac:dyDescent="0.2">
      <c r="B300" s="17">
        <f t="shared" ca="1" si="83"/>
        <v>54483</v>
      </c>
      <c r="C300" s="9">
        <f t="shared" si="95"/>
        <v>296</v>
      </c>
      <c r="D300" s="9"/>
      <c r="E300" s="13">
        <f t="shared" si="84"/>
        <v>3331.7267601307385</v>
      </c>
      <c r="F300" s="14">
        <f t="shared" si="96"/>
        <v>609657.67559094727</v>
      </c>
      <c r="G300" s="15">
        <f t="shared" si="85"/>
        <v>0.21010039109810813</v>
      </c>
      <c r="H300" s="13">
        <f t="shared" si="86"/>
        <v>82064.899307103027</v>
      </c>
      <c r="I300" s="13">
        <f t="shared" si="87"/>
        <v>5782092.9398577549</v>
      </c>
      <c r="J300" s="15">
        <f t="shared" si="80"/>
        <v>0.78989960890189193</v>
      </c>
      <c r="K300" s="13">
        <f t="shared" si="88"/>
        <v>2292086.9256661846</v>
      </c>
      <c r="L300" s="13">
        <f t="shared" si="97"/>
        <v>169611153.73290783</v>
      </c>
      <c r="M300" s="15">
        <f t="shared" si="89"/>
        <v>0.78989960890189181</v>
      </c>
      <c r="N300" s="13">
        <f t="shared" si="81"/>
        <v>23488.465246898915</v>
      </c>
      <c r="O300" s="13">
        <f t="shared" si="90"/>
        <v>3490006.0141915684</v>
      </c>
      <c r="P300" s="15">
        <f t="shared" si="82"/>
        <v>0.54601723755559417</v>
      </c>
      <c r="Q300" s="7">
        <f t="shared" si="91"/>
        <v>6391750.6154487003</v>
      </c>
      <c r="R300" s="7">
        <f t="shared" si="92"/>
        <v>2901744.6012571319</v>
      </c>
      <c r="S300" s="13">
        <f>IF('Calc (2)'!$AD$32="Sim",R300,Q300)</f>
        <v>2901744.6012571319</v>
      </c>
      <c r="T300" s="9">
        <f t="shared" si="93"/>
        <v>296</v>
      </c>
      <c r="U300" s="17">
        <f t="shared" ca="1" si="94"/>
        <v>54514</v>
      </c>
      <c r="V300" s="22"/>
      <c r="W300" s="22"/>
      <c r="X300" s="22"/>
    </row>
    <row r="301" spans="2:24" x14ac:dyDescent="0.2">
      <c r="B301" s="17">
        <f t="shared" ca="1" si="83"/>
        <v>54514</v>
      </c>
      <c r="C301" s="9">
        <f t="shared" si="95"/>
        <v>297</v>
      </c>
      <c r="D301" s="9"/>
      <c r="E301" s="13">
        <f t="shared" si="84"/>
        <v>3345.3006273648048</v>
      </c>
      <c r="F301" s="14">
        <f t="shared" si="96"/>
        <v>613002.97621831205</v>
      </c>
      <c r="G301" s="15">
        <f t="shared" si="85"/>
        <v>0.20906483519961541</v>
      </c>
      <c r="H301" s="13">
        <f t="shared" si="86"/>
        <v>83176.169865522985</v>
      </c>
      <c r="I301" s="13">
        <f t="shared" si="87"/>
        <v>5865269.1097232774</v>
      </c>
      <c r="J301" s="15">
        <f t="shared" si="80"/>
        <v>0.79093516480038462</v>
      </c>
      <c r="K301" s="13">
        <f t="shared" si="88"/>
        <v>2319116.0271186954</v>
      </c>
      <c r="L301" s="13">
        <f t="shared" si="97"/>
        <v>171930269.76002651</v>
      </c>
      <c r="M301" s="15">
        <f t="shared" si="89"/>
        <v>0.79093516480038462</v>
      </c>
      <c r="N301" s="13">
        <f t="shared" si="81"/>
        <v>23806.415160005796</v>
      </c>
      <c r="O301" s="13">
        <f t="shared" si="90"/>
        <v>3546153.0826045801</v>
      </c>
      <c r="P301" s="15">
        <f t="shared" si="82"/>
        <v>0.54739180997044568</v>
      </c>
      <c r="Q301" s="7">
        <f t="shared" si="91"/>
        <v>6478272.0859415876</v>
      </c>
      <c r="R301" s="7">
        <f t="shared" si="92"/>
        <v>2932119.0033370075</v>
      </c>
      <c r="S301" s="13">
        <f>IF('Calc (2)'!$AD$32="Sim",R301,Q301)</f>
        <v>2932119.0033370075</v>
      </c>
      <c r="T301" s="9">
        <f t="shared" si="93"/>
        <v>297</v>
      </c>
      <c r="U301" s="17">
        <f t="shared" ca="1" si="94"/>
        <v>54544</v>
      </c>
      <c r="V301" s="22"/>
      <c r="W301" s="22"/>
      <c r="X301" s="22"/>
    </row>
    <row r="302" spans="2:24" x14ac:dyDescent="0.2">
      <c r="B302" s="17">
        <f t="shared" ca="1" si="83"/>
        <v>54544</v>
      </c>
      <c r="C302" s="9">
        <f t="shared" si="95"/>
        <v>298</v>
      </c>
      <c r="D302" s="9"/>
      <c r="E302" s="13">
        <f t="shared" si="84"/>
        <v>3358.9297962142055</v>
      </c>
      <c r="F302" s="14">
        <f t="shared" si="96"/>
        <v>616361.90601452626</v>
      </c>
      <c r="G302" s="15">
        <f t="shared" si="85"/>
        <v>0.20803430368764783</v>
      </c>
      <c r="H302" s="13">
        <f t="shared" si="86"/>
        <v>84302.078080611565</v>
      </c>
      <c r="I302" s="13">
        <f t="shared" si="87"/>
        <v>5949571.1878038887</v>
      </c>
      <c r="J302" s="15">
        <f t="shared" si="80"/>
        <v>0.79196569631235214</v>
      </c>
      <c r="K302" s="13">
        <f t="shared" si="88"/>
        <v>2346427.86033074</v>
      </c>
      <c r="L302" s="13">
        <f t="shared" si="97"/>
        <v>174276697.62035725</v>
      </c>
      <c r="M302" s="15">
        <f t="shared" si="89"/>
        <v>0.79196569631235214</v>
      </c>
      <c r="N302" s="13">
        <f t="shared" si="81"/>
        <v>24128.552655803323</v>
      </c>
      <c r="O302" s="13">
        <f t="shared" si="90"/>
        <v>3603143.3274731468</v>
      </c>
      <c r="P302" s="15">
        <f t="shared" si="82"/>
        <v>0.54876333279505618</v>
      </c>
      <c r="Q302" s="7">
        <f t="shared" si="91"/>
        <v>6565933.0938184131</v>
      </c>
      <c r="R302" s="7">
        <f t="shared" si="92"/>
        <v>2962789.7663452663</v>
      </c>
      <c r="S302" s="13">
        <f>IF('Calc (2)'!$AD$32="Sim",R302,Q302)</f>
        <v>2962789.7663452663</v>
      </c>
      <c r="T302" s="9">
        <f t="shared" si="93"/>
        <v>298</v>
      </c>
      <c r="U302" s="17">
        <f t="shared" ca="1" si="94"/>
        <v>54575</v>
      </c>
      <c r="V302" s="22"/>
      <c r="W302" s="22"/>
      <c r="X302" s="22"/>
    </row>
    <row r="303" spans="2:24" x14ac:dyDescent="0.2">
      <c r="B303" s="17">
        <f t="shared" ca="1" si="83"/>
        <v>54575</v>
      </c>
      <c r="C303" s="9">
        <f t="shared" si="95"/>
        <v>299</v>
      </c>
      <c r="D303" s="9"/>
      <c r="E303" s="13">
        <f t="shared" si="84"/>
        <v>3372.6144919845669</v>
      </c>
      <c r="F303" s="14">
        <f t="shared" si="96"/>
        <v>619734.52050651086</v>
      </c>
      <c r="G303" s="15">
        <f t="shared" si="85"/>
        <v>0.20700877219512218</v>
      </c>
      <c r="H303" s="13">
        <f t="shared" si="86"/>
        <v>85442.815152568495</v>
      </c>
      <c r="I303" s="13">
        <f t="shared" si="87"/>
        <v>6035014.0029564574</v>
      </c>
      <c r="J303" s="15">
        <f t="shared" si="80"/>
        <v>0.79299122780487785</v>
      </c>
      <c r="K303" s="13">
        <f t="shared" si="88"/>
        <v>2374025.1831758139</v>
      </c>
      <c r="L303" s="13">
        <f t="shared" si="97"/>
        <v>176650722.80353305</v>
      </c>
      <c r="M303" s="15">
        <f t="shared" si="89"/>
        <v>0.79299122780487774</v>
      </c>
      <c r="N303" s="13">
        <f t="shared" si="81"/>
        <v>24454.932431564965</v>
      </c>
      <c r="O303" s="13">
        <f t="shared" si="90"/>
        <v>3660988.8197806412</v>
      </c>
      <c r="P303" s="15">
        <f t="shared" si="82"/>
        <v>0.55013180541276918</v>
      </c>
      <c r="Q303" s="7">
        <f t="shared" si="91"/>
        <v>6654748.5234629661</v>
      </c>
      <c r="R303" s="7">
        <f t="shared" si="92"/>
        <v>2993759.7036823248</v>
      </c>
      <c r="S303" s="13">
        <f>IF('Calc (2)'!$AD$32="Sim",R303,Q303)</f>
        <v>2993759.7036823248</v>
      </c>
      <c r="T303" s="9">
        <f t="shared" si="93"/>
        <v>299</v>
      </c>
      <c r="U303" s="17">
        <f t="shared" ca="1" si="94"/>
        <v>54605</v>
      </c>
      <c r="V303" s="22"/>
      <c r="W303" s="22"/>
      <c r="X303" s="22"/>
    </row>
    <row r="304" spans="2:24" x14ac:dyDescent="0.2">
      <c r="B304" s="17">
        <f t="shared" ca="1" si="83"/>
        <v>54605</v>
      </c>
      <c r="C304" s="9">
        <f t="shared" si="95"/>
        <v>300</v>
      </c>
      <c r="D304" s="9">
        <v>25</v>
      </c>
      <c r="E304" s="13">
        <f t="shared" si="84"/>
        <v>3386.3549408994386</v>
      </c>
      <c r="F304" s="14">
        <f t="shared" si="96"/>
        <v>623120.87544741028</v>
      </c>
      <c r="G304" s="15">
        <f t="shared" si="85"/>
        <v>0.2059882164822851</v>
      </c>
      <c r="H304" s="13">
        <f t="shared" si="86"/>
        <v>86598.574772623091</v>
      </c>
      <c r="I304" s="13">
        <f t="shared" si="87"/>
        <v>6121612.5777290808</v>
      </c>
      <c r="J304" s="15">
        <f t="shared" si="80"/>
        <v>0.79401178351771495</v>
      </c>
      <c r="K304" s="13">
        <f t="shared" si="88"/>
        <v>2401910.7797055361</v>
      </c>
      <c r="L304" s="13">
        <f t="shared" si="97"/>
        <v>179052633.58323857</v>
      </c>
      <c r="M304" s="15">
        <f t="shared" si="89"/>
        <v>0.79401178351771495</v>
      </c>
      <c r="N304" s="13">
        <f t="shared" si="81"/>
        <v>24785.609897173868</v>
      </c>
      <c r="O304" s="13">
        <f t="shared" si="90"/>
        <v>3719701.7980235429</v>
      </c>
      <c r="P304" s="15">
        <f t="shared" si="82"/>
        <v>0.55149722725836081</v>
      </c>
      <c r="Q304" s="7">
        <f t="shared" si="91"/>
        <v>6744733.4531764891</v>
      </c>
      <c r="R304" s="7">
        <f t="shared" si="92"/>
        <v>3025031.6551529462</v>
      </c>
      <c r="S304" s="13">
        <f>IF('Calc (2)'!$AD$32="Sim",R304,Q304)</f>
        <v>3025031.6551529462</v>
      </c>
      <c r="T304" s="9">
        <f t="shared" si="93"/>
        <v>300</v>
      </c>
      <c r="U304" s="17">
        <f t="shared" ca="1" si="94"/>
        <v>54636</v>
      </c>
      <c r="V304" s="22"/>
      <c r="W304" s="22"/>
      <c r="X304" s="22"/>
    </row>
    <row r="305" spans="2:24" x14ac:dyDescent="0.2">
      <c r="B305" s="17">
        <f t="shared" ca="1" si="83"/>
        <v>54636</v>
      </c>
      <c r="C305" s="9">
        <f t="shared" si="95"/>
        <v>301</v>
      </c>
      <c r="D305" s="9"/>
      <c r="E305" s="13">
        <f t="shared" si="84"/>
        <v>3400.1513701040321</v>
      </c>
      <c r="F305" s="14">
        <f t="shared" si="96"/>
        <v>626521.02681751433</v>
      </c>
      <c r="G305" s="15">
        <f t="shared" si="85"/>
        <v>0.20497261243581985</v>
      </c>
      <c r="H305" s="13">
        <f t="shared" si="86"/>
        <v>87769.553155462214</v>
      </c>
      <c r="I305" s="13">
        <f t="shared" si="87"/>
        <v>6209382.1308845431</v>
      </c>
      <c r="J305" s="15">
        <f t="shared" si="80"/>
        <v>0.79502738756418012</v>
      </c>
      <c r="K305" s="13">
        <f t="shared" si="88"/>
        <v>2430087.4603953222</v>
      </c>
      <c r="L305" s="13">
        <f t="shared" si="97"/>
        <v>181482721.04363391</v>
      </c>
      <c r="M305" s="15">
        <f t="shared" si="89"/>
        <v>0.79502738756418023</v>
      </c>
      <c r="N305" s="13">
        <f t="shared" si="81"/>
        <v>25120.641184399472</v>
      </c>
      <c r="O305" s="13">
        <f t="shared" si="90"/>
        <v>3779294.6704892195</v>
      </c>
      <c r="P305" s="15">
        <f t="shared" si="82"/>
        <v>0.5528595978178924</v>
      </c>
      <c r="Q305" s="7">
        <f t="shared" si="91"/>
        <v>6835903.1577020558</v>
      </c>
      <c r="R305" s="7">
        <f t="shared" si="92"/>
        <v>3056608.4872128363</v>
      </c>
      <c r="S305" s="13">
        <f>IF('Calc (2)'!$AD$32="Sim",R305,Q305)</f>
        <v>3056608.4872128363</v>
      </c>
      <c r="T305" s="9">
        <f t="shared" si="93"/>
        <v>301</v>
      </c>
      <c r="U305" s="17">
        <f t="shared" ca="1" si="94"/>
        <v>54667</v>
      </c>
      <c r="V305" s="22"/>
      <c r="W305" s="22"/>
      <c r="X305" s="22"/>
    </row>
    <row r="306" spans="2:24" x14ac:dyDescent="0.2">
      <c r="B306" s="17">
        <f t="shared" ca="1" si="83"/>
        <v>54667</v>
      </c>
      <c r="C306" s="9">
        <f t="shared" si="95"/>
        <v>302</v>
      </c>
      <c r="D306" s="9"/>
      <c r="E306" s="13">
        <f t="shared" si="84"/>
        <v>3414.0040076689775</v>
      </c>
      <c r="F306" s="14">
        <f t="shared" si="96"/>
        <v>629935.03082518326</v>
      </c>
      <c r="G306" s="15">
        <f t="shared" si="85"/>
        <v>0.20396193606796353</v>
      </c>
      <c r="H306" s="13">
        <f t="shared" si="86"/>
        <v>88955.949072080082</v>
      </c>
      <c r="I306" s="13">
        <f t="shared" si="87"/>
        <v>6298338.0799566228</v>
      </c>
      <c r="J306" s="15">
        <f t="shared" si="80"/>
        <v>0.79603806393203647</v>
      </c>
      <c r="K306" s="13">
        <f t="shared" si="88"/>
        <v>2458558.0623923587</v>
      </c>
      <c r="L306" s="13">
        <f t="shared" si="97"/>
        <v>183941279.10602626</v>
      </c>
      <c r="M306" s="15">
        <f t="shared" si="89"/>
        <v>0.79603806393203647</v>
      </c>
      <c r="N306" s="13">
        <f t="shared" si="81"/>
        <v>25460.083156294844</v>
      </c>
      <c r="O306" s="13">
        <f t="shared" si="90"/>
        <v>3839780.0175642627</v>
      </c>
      <c r="P306" s="15">
        <f t="shared" si="82"/>
        <v>0.55421891662855827</v>
      </c>
      <c r="Q306" s="7">
        <f t="shared" si="91"/>
        <v>6928273.1107818047</v>
      </c>
      <c r="R306" s="7">
        <f t="shared" si="92"/>
        <v>3088493.0932175419</v>
      </c>
      <c r="S306" s="13">
        <f>IF('Calc (2)'!$AD$32="Sim",R306,Q306)</f>
        <v>3088493.0932175419</v>
      </c>
      <c r="T306" s="9">
        <f t="shared" si="93"/>
        <v>302</v>
      </c>
      <c r="U306" s="17">
        <f t="shared" ca="1" si="94"/>
        <v>54697</v>
      </c>
      <c r="V306" s="22"/>
      <c r="W306" s="22"/>
      <c r="X306" s="22"/>
    </row>
    <row r="307" spans="2:24" x14ac:dyDescent="0.2">
      <c r="B307" s="17">
        <f t="shared" ca="1" si="83"/>
        <v>54697</v>
      </c>
      <c r="C307" s="9">
        <f t="shared" si="95"/>
        <v>303</v>
      </c>
      <c r="D307" s="9"/>
      <c r="E307" s="13">
        <f t="shared" si="84"/>
        <v>3427.9130825940924</v>
      </c>
      <c r="F307" s="14">
        <f t="shared" si="96"/>
        <v>633362.94390777731</v>
      </c>
      <c r="G307" s="15">
        <f t="shared" si="85"/>
        <v>0.20295616351563528</v>
      </c>
      <c r="H307" s="13">
        <f t="shared" si="86"/>
        <v>90157.963883055665</v>
      </c>
      <c r="I307" s="13">
        <f t="shared" si="87"/>
        <v>6388496.0438396782</v>
      </c>
      <c r="J307" s="15">
        <f t="shared" si="80"/>
        <v>0.79704383648436472</v>
      </c>
      <c r="K307" s="13">
        <f t="shared" si="88"/>
        <v>2487325.4497658866</v>
      </c>
      <c r="L307" s="13">
        <f t="shared" si="97"/>
        <v>186428604.55579215</v>
      </c>
      <c r="M307" s="15">
        <f t="shared" si="89"/>
        <v>0.79704383648436472</v>
      </c>
      <c r="N307" s="13">
        <f t="shared" si="81"/>
        <v>25803.993416716337</v>
      </c>
      <c r="O307" s="13">
        <f t="shared" si="90"/>
        <v>3901170.5940737901</v>
      </c>
      <c r="P307" s="15">
        <f t="shared" si="82"/>
        <v>0.55557518327853073</v>
      </c>
      <c r="Q307" s="7">
        <f t="shared" si="91"/>
        <v>7021858.9877474541</v>
      </c>
      <c r="R307" s="7">
        <f t="shared" si="92"/>
        <v>3120688.393673664</v>
      </c>
      <c r="S307" s="13">
        <f>IF('Calc (2)'!$AD$32="Sim",R307,Q307)</f>
        <v>3120688.393673664</v>
      </c>
      <c r="T307" s="9">
        <f t="shared" si="93"/>
        <v>303</v>
      </c>
      <c r="U307" s="17">
        <f t="shared" ca="1" si="94"/>
        <v>54728</v>
      </c>
      <c r="V307" s="22"/>
      <c r="W307" s="22"/>
      <c r="X307" s="22"/>
    </row>
    <row r="308" spans="2:24" x14ac:dyDescent="0.2">
      <c r="B308" s="17">
        <f t="shared" ca="1" si="83"/>
        <v>54728</v>
      </c>
      <c r="C308" s="9">
        <f t="shared" si="95"/>
        <v>304</v>
      </c>
      <c r="D308" s="9"/>
      <c r="E308" s="13">
        <f t="shared" si="84"/>
        <v>3441.8788248121682</v>
      </c>
      <c r="F308" s="14">
        <f t="shared" si="96"/>
        <v>636804.82273258944</v>
      </c>
      <c r="G308" s="15">
        <f t="shared" si="85"/>
        <v>0.20195527103957434</v>
      </c>
      <c r="H308" s="13">
        <f t="shared" si="86"/>
        <v>91375.801572263183</v>
      </c>
      <c r="I308" s="13">
        <f t="shared" si="87"/>
        <v>6479871.8454119414</v>
      </c>
      <c r="J308" s="15">
        <f t="shared" si="80"/>
        <v>0.79804472896042566</v>
      </c>
      <c r="K308" s="13">
        <f t="shared" si="88"/>
        <v>2516392.5137598254</v>
      </c>
      <c r="L308" s="13">
        <f t="shared" si="97"/>
        <v>188944997.06955197</v>
      </c>
      <c r="M308" s="15">
        <f t="shared" si="89"/>
        <v>0.79804472896042578</v>
      </c>
      <c r="N308" s="13">
        <f t="shared" si="81"/>
        <v>26152.43031996713</v>
      </c>
      <c r="O308" s="13">
        <f t="shared" si="90"/>
        <v>3963479.3316521151</v>
      </c>
      <c r="P308" s="15">
        <f t="shared" si="82"/>
        <v>0.55692839740680244</v>
      </c>
      <c r="Q308" s="7">
        <f t="shared" si="91"/>
        <v>7116676.6681445297</v>
      </c>
      <c r="R308" s="7">
        <f t="shared" si="92"/>
        <v>3153197.3364924146</v>
      </c>
      <c r="S308" s="13">
        <f>IF('Calc (2)'!$AD$32="Sim",R308,Q308)</f>
        <v>3153197.3364924146</v>
      </c>
      <c r="T308" s="9">
        <f t="shared" si="93"/>
        <v>304</v>
      </c>
      <c r="U308" s="17">
        <f t="shared" ca="1" si="94"/>
        <v>54758</v>
      </c>
      <c r="V308" s="22"/>
      <c r="W308" s="22"/>
      <c r="X308" s="22"/>
    </row>
    <row r="309" spans="2:24" x14ac:dyDescent="0.2">
      <c r="B309" s="17">
        <f t="shared" ca="1" si="83"/>
        <v>54758</v>
      </c>
      <c r="C309" s="9">
        <f t="shared" si="95"/>
        <v>305</v>
      </c>
      <c r="D309" s="9"/>
      <c r="E309" s="13">
        <f t="shared" si="84"/>
        <v>3455.901465192771</v>
      </c>
      <c r="F309" s="14">
        <f t="shared" si="96"/>
        <v>640260.72419778223</v>
      </c>
      <c r="G309" s="15">
        <f t="shared" si="85"/>
        <v>0.2009592350234887</v>
      </c>
      <c r="H309" s="13">
        <f t="shared" si="86"/>
        <v>92609.668781021363</v>
      </c>
      <c r="I309" s="13">
        <f t="shared" si="87"/>
        <v>6572481.514192963</v>
      </c>
      <c r="J309" s="15">
        <f t="shared" si="80"/>
        <v>0.79904076497651133</v>
      </c>
      <c r="K309" s="13">
        <f t="shared" si="88"/>
        <v>2545762.1730477549</v>
      </c>
      <c r="L309" s="13">
        <f t="shared" si="97"/>
        <v>191490759.24259973</v>
      </c>
      <c r="M309" s="15">
        <f t="shared" si="89"/>
        <v>0.79904076497651133</v>
      </c>
      <c r="N309" s="13">
        <f t="shared" si="81"/>
        <v>26505.452980566242</v>
      </c>
      <c r="O309" s="13">
        <f t="shared" si="90"/>
        <v>4026719.3411452067</v>
      </c>
      <c r="P309" s="15">
        <f t="shared" si="82"/>
        <v>0.5582785587030239</v>
      </c>
      <c r="Q309" s="7">
        <f t="shared" si="91"/>
        <v>7212742.2383907437</v>
      </c>
      <c r="R309" s="7">
        <f t="shared" si="92"/>
        <v>3186022.897245537</v>
      </c>
      <c r="S309" s="13">
        <f>IF('Calc (2)'!$AD$32="Sim",R309,Q309)</f>
        <v>3186022.897245537</v>
      </c>
      <c r="T309" s="9">
        <f t="shared" si="93"/>
        <v>305</v>
      </c>
      <c r="U309" s="17">
        <f t="shared" ca="1" si="94"/>
        <v>54789</v>
      </c>
      <c r="V309" s="22"/>
      <c r="W309" s="22"/>
      <c r="X309" s="22"/>
    </row>
    <row r="310" spans="2:24" x14ac:dyDescent="0.2">
      <c r="B310" s="17">
        <f t="shared" ca="1" si="83"/>
        <v>54789</v>
      </c>
      <c r="C310" s="9">
        <f t="shared" si="95"/>
        <v>306</v>
      </c>
      <c r="D310" s="9"/>
      <c r="E310" s="13">
        <f t="shared" si="84"/>
        <v>3469.9812355460581</v>
      </c>
      <c r="F310" s="14">
        <f t="shared" si="96"/>
        <v>643730.70543332829</v>
      </c>
      <c r="G310" s="15">
        <f t="shared" si="85"/>
        <v>0.19996803197321342</v>
      </c>
      <c r="H310" s="13">
        <f t="shared" si="86"/>
        <v>93859.77484268698</v>
      </c>
      <c r="I310" s="13">
        <f t="shared" si="87"/>
        <v>6666341.28903565</v>
      </c>
      <c r="J310" s="15">
        <f t="shared" si="80"/>
        <v>0.80003196802678656</v>
      </c>
      <c r="K310" s="13">
        <f t="shared" si="88"/>
        <v>2575437.373990281</v>
      </c>
      <c r="L310" s="13">
        <f t="shared" si="97"/>
        <v>194066196.61658999</v>
      </c>
      <c r="M310" s="15">
        <f t="shared" si="89"/>
        <v>0.80003196802678667</v>
      </c>
      <c r="N310" s="13">
        <f t="shared" si="81"/>
        <v>26863.121283144759</v>
      </c>
      <c r="O310" s="13">
        <f t="shared" si="90"/>
        <v>4090903.9150453676</v>
      </c>
      <c r="P310" s="15">
        <f t="shared" si="82"/>
        <v>0.55962566690733961</v>
      </c>
      <c r="Q310" s="7">
        <f t="shared" si="91"/>
        <v>7310071.9944689767</v>
      </c>
      <c r="R310" s="7">
        <f t="shared" si="92"/>
        <v>3219168.0794236092</v>
      </c>
      <c r="S310" s="13">
        <f>IF('Calc (2)'!$AD$32="Sim",R310,Q310)</f>
        <v>3219168.0794236092</v>
      </c>
      <c r="T310" s="9">
        <f t="shared" si="93"/>
        <v>306</v>
      </c>
      <c r="U310" s="17">
        <f t="shared" ca="1" si="94"/>
        <v>54820</v>
      </c>
      <c r="V310" s="22"/>
      <c r="W310" s="22"/>
      <c r="X310" s="22"/>
    </row>
    <row r="311" spans="2:24" x14ac:dyDescent="0.2">
      <c r="B311" s="17">
        <f t="shared" ca="1" si="83"/>
        <v>54820</v>
      </c>
      <c r="C311" s="9">
        <f t="shared" si="95"/>
        <v>307</v>
      </c>
      <c r="D311" s="9"/>
      <c r="E311" s="13">
        <f t="shared" si="84"/>
        <v>3484.1183686266099</v>
      </c>
      <c r="F311" s="14">
        <f t="shared" si="96"/>
        <v>647214.82380195486</v>
      </c>
      <c r="G311" s="15">
        <f t="shared" si="85"/>
        <v>0.19898163851587888</v>
      </c>
      <c r="H311" s="13">
        <f t="shared" si="86"/>
        <v>95126.331817698869</v>
      </c>
      <c r="I311" s="13">
        <f t="shared" si="87"/>
        <v>6761467.6208533486</v>
      </c>
      <c r="J311" s="15">
        <f t="shared" si="80"/>
        <v>0.80101836148412109</v>
      </c>
      <c r="K311" s="13">
        <f t="shared" si="88"/>
        <v>2605421.0908948006</v>
      </c>
      <c r="L311" s="13">
        <f t="shared" si="97"/>
        <v>196671617.70748478</v>
      </c>
      <c r="M311" s="15">
        <f t="shared" si="89"/>
        <v>0.8010183614841212</v>
      </c>
      <c r="N311" s="13">
        <f t="shared" si="81"/>
        <v>27225.495892470779</v>
      </c>
      <c r="O311" s="13">
        <f t="shared" si="90"/>
        <v>4156046.5299585466</v>
      </c>
      <c r="P311" s="15">
        <f t="shared" si="82"/>
        <v>0.5609697218102202</v>
      </c>
      <c r="Q311" s="7">
        <f t="shared" si="91"/>
        <v>7408682.444655302</v>
      </c>
      <c r="R311" s="7">
        <f t="shared" si="92"/>
        <v>3252635.9146967554</v>
      </c>
      <c r="S311" s="13">
        <f>IF('Calc (2)'!$AD$32="Sim",R311,Q311)</f>
        <v>3252635.9146967554</v>
      </c>
      <c r="T311" s="9">
        <f t="shared" si="93"/>
        <v>307</v>
      </c>
      <c r="U311" s="17">
        <f t="shared" ca="1" si="94"/>
        <v>54848</v>
      </c>
      <c r="V311" s="22"/>
      <c r="W311" s="22"/>
      <c r="X311" s="22"/>
    </row>
    <row r="312" spans="2:24" x14ac:dyDescent="0.2">
      <c r="B312" s="17">
        <f t="shared" ca="1" si="83"/>
        <v>54848</v>
      </c>
      <c r="C312" s="9">
        <f t="shared" si="95"/>
        <v>308</v>
      </c>
      <c r="D312" s="9"/>
      <c r="E312" s="13">
        <f t="shared" si="84"/>
        <v>3498.3130981372778</v>
      </c>
      <c r="F312" s="14">
        <f t="shared" si="96"/>
        <v>650713.13690009213</v>
      </c>
      <c r="G312" s="15">
        <f t="shared" si="85"/>
        <v>0.19800003139908873</v>
      </c>
      <c r="H312" s="13">
        <f t="shared" si="86"/>
        <v>96409.554529077708</v>
      </c>
      <c r="I312" s="13">
        <f t="shared" si="87"/>
        <v>6857877.175382426</v>
      </c>
      <c r="J312" s="15">
        <f t="shared" si="80"/>
        <v>0.80199996860091127</v>
      </c>
      <c r="K312" s="13">
        <f t="shared" si="88"/>
        <v>2635716.3262776951</v>
      </c>
      <c r="L312" s="13">
        <f t="shared" si="97"/>
        <v>199307334.03376248</v>
      </c>
      <c r="M312" s="15">
        <f t="shared" si="89"/>
        <v>0.80199996860091127</v>
      </c>
      <c r="N312" s="13">
        <f t="shared" si="81"/>
        <v>27592.638263604866</v>
      </c>
      <c r="O312" s="13">
        <f t="shared" si="90"/>
        <v>4222160.8491047295</v>
      </c>
      <c r="P312" s="15">
        <f t="shared" si="82"/>
        <v>0.56231072325229126</v>
      </c>
      <c r="Q312" s="7">
        <f t="shared" si="91"/>
        <v>7508590.3122825166</v>
      </c>
      <c r="R312" s="7">
        <f t="shared" si="92"/>
        <v>3286429.4631777871</v>
      </c>
      <c r="S312" s="13">
        <f>IF('Calc (2)'!$AD$32="Sim",R312,Q312)</f>
        <v>3286429.4631777871</v>
      </c>
      <c r="T312" s="9">
        <f t="shared" si="93"/>
        <v>308</v>
      </c>
      <c r="U312" s="17">
        <f t="shared" ca="1" si="94"/>
        <v>54879</v>
      </c>
      <c r="V312" s="22"/>
      <c r="W312" s="22"/>
      <c r="X312" s="22"/>
    </row>
    <row r="313" spans="2:24" x14ac:dyDescent="0.2">
      <c r="B313" s="17">
        <f t="shared" ca="1" si="83"/>
        <v>54879</v>
      </c>
      <c r="C313" s="9">
        <f t="shared" si="95"/>
        <v>309</v>
      </c>
      <c r="D313" s="9"/>
      <c r="E313" s="13">
        <f t="shared" si="84"/>
        <v>3512.5656587330477</v>
      </c>
      <c r="F313" s="14">
        <f t="shared" si="96"/>
        <v>654225.70255882514</v>
      </c>
      <c r="G313" s="15">
        <f t="shared" si="85"/>
        <v>0.19702318749010683</v>
      </c>
      <c r="H313" s="13">
        <f t="shared" si="86"/>
        <v>97709.660598388116</v>
      </c>
      <c r="I313" s="13">
        <f t="shared" si="87"/>
        <v>6955586.835980814</v>
      </c>
      <c r="J313" s="15">
        <f t="shared" si="80"/>
        <v>0.80297681250989317</v>
      </c>
      <c r="K313" s="13">
        <f t="shared" si="88"/>
        <v>2666326.1111289719</v>
      </c>
      <c r="L313" s="13">
        <f t="shared" si="97"/>
        <v>201973660.14489147</v>
      </c>
      <c r="M313" s="15">
        <f t="shared" si="89"/>
        <v>0.80297681250989317</v>
      </c>
      <c r="N313" s="13">
        <f t="shared" si="81"/>
        <v>27964.610652187683</v>
      </c>
      <c r="O313" s="13">
        <f t="shared" si="90"/>
        <v>4289260.7248518411</v>
      </c>
      <c r="P313" s="15">
        <f t="shared" si="82"/>
        <v>0.56364867112416051</v>
      </c>
      <c r="Q313" s="7">
        <f t="shared" si="91"/>
        <v>7609812.5385396378</v>
      </c>
      <c r="R313" s="7">
        <f t="shared" si="92"/>
        <v>3320551.8136877972</v>
      </c>
      <c r="S313" s="13">
        <f>IF('Calc (2)'!$AD$32="Sim",R313,Q313)</f>
        <v>3320551.8136877972</v>
      </c>
      <c r="T313" s="9">
        <f t="shared" si="93"/>
        <v>309</v>
      </c>
      <c r="U313" s="17">
        <f t="shared" ca="1" si="94"/>
        <v>54909</v>
      </c>
      <c r="V313" s="22"/>
      <c r="W313" s="22"/>
      <c r="X313" s="22"/>
    </row>
    <row r="314" spans="2:24" x14ac:dyDescent="0.2">
      <c r="B314" s="17">
        <f t="shared" ca="1" si="83"/>
        <v>54909</v>
      </c>
      <c r="C314" s="9">
        <f t="shared" si="95"/>
        <v>310</v>
      </c>
      <c r="D314" s="9"/>
      <c r="E314" s="13">
        <f t="shared" si="84"/>
        <v>3526.8762860249185</v>
      </c>
      <c r="F314" s="14">
        <f t="shared" si="96"/>
        <v>657752.57884485007</v>
      </c>
      <c r="G314" s="15">
        <f t="shared" si="85"/>
        <v>0.1960510837750542</v>
      </c>
      <c r="H314" s="13">
        <f t="shared" si="86"/>
        <v>99026.870482168553</v>
      </c>
      <c r="I314" s="13">
        <f t="shared" si="87"/>
        <v>7054613.7064629821</v>
      </c>
      <c r="J314" s="15">
        <f t="shared" si="80"/>
        <v>0.8039489162249458</v>
      </c>
      <c r="K314" s="13">
        <f t="shared" si="88"/>
        <v>2697253.5051793759</v>
      </c>
      <c r="L314" s="13">
        <f t="shared" si="97"/>
        <v>204670913.65007085</v>
      </c>
      <c r="M314" s="15">
        <f t="shared" si="89"/>
        <v>0.8039489162249458</v>
      </c>
      <c r="N314" s="13">
        <f t="shared" si="81"/>
        <v>28341.47612486146</v>
      </c>
      <c r="O314" s="13">
        <f t="shared" si="90"/>
        <v>4357360.2012836058</v>
      </c>
      <c r="P314" s="15">
        <f t="shared" si="82"/>
        <v>0.56498356536624039</v>
      </c>
      <c r="Q314" s="7">
        <f t="shared" si="91"/>
        <v>7712366.2853078311</v>
      </c>
      <c r="R314" s="7">
        <f t="shared" si="92"/>
        <v>3355006.0840242258</v>
      </c>
      <c r="S314" s="13">
        <f>IF('Calc (2)'!$AD$32="Sim",R314,Q314)</f>
        <v>3355006.0840242258</v>
      </c>
      <c r="T314" s="9">
        <f t="shared" si="93"/>
        <v>310</v>
      </c>
      <c r="U314" s="17">
        <f t="shared" ca="1" si="94"/>
        <v>54940</v>
      </c>
      <c r="V314" s="22"/>
      <c r="W314" s="22"/>
      <c r="X314" s="22"/>
    </row>
    <row r="315" spans="2:24" x14ac:dyDescent="0.2">
      <c r="B315" s="17">
        <f t="shared" ca="1" si="83"/>
        <v>54940</v>
      </c>
      <c r="C315" s="9">
        <f t="shared" si="95"/>
        <v>311</v>
      </c>
      <c r="D315" s="9"/>
      <c r="E315" s="13">
        <f t="shared" si="84"/>
        <v>3541.2452165837981</v>
      </c>
      <c r="F315" s="14">
        <f t="shared" si="96"/>
        <v>661293.8240614339</v>
      </c>
      <c r="G315" s="15">
        <f t="shared" si="85"/>
        <v>0.19508369735811432</v>
      </c>
      <c r="H315" s="13">
        <f t="shared" si="86"/>
        <v>100361.40750883543</v>
      </c>
      <c r="I315" s="13">
        <f t="shared" si="87"/>
        <v>7154975.1139718173</v>
      </c>
      <c r="J315" s="15">
        <f t="shared" si="80"/>
        <v>0.80491630264188574</v>
      </c>
      <c r="K315" s="13">
        <f t="shared" si="88"/>
        <v>2728501.5971699962</v>
      </c>
      <c r="L315" s="13">
        <f t="shared" si="97"/>
        <v>207399415.24724084</v>
      </c>
      <c r="M315" s="15">
        <f t="shared" si="89"/>
        <v>0.80491630264188574</v>
      </c>
      <c r="N315" s="13">
        <f t="shared" si="81"/>
        <v>28723.298569827155</v>
      </c>
      <c r="O315" s="13">
        <f t="shared" si="90"/>
        <v>4426473.5168018201</v>
      </c>
      <c r="P315" s="15">
        <f t="shared" si="82"/>
        <v>0.56631540596856955</v>
      </c>
      <c r="Q315" s="7">
        <f t="shared" si="91"/>
        <v>7816268.9380332502</v>
      </c>
      <c r="R315" s="7">
        <f t="shared" si="92"/>
        <v>3389795.42123143</v>
      </c>
      <c r="S315" s="13">
        <f>IF('Calc (2)'!$AD$32="Sim",R315,Q315)</f>
        <v>3389795.42123143</v>
      </c>
      <c r="T315" s="9">
        <f t="shared" si="93"/>
        <v>311</v>
      </c>
      <c r="U315" s="17">
        <f t="shared" ca="1" si="94"/>
        <v>54970</v>
      </c>
      <c r="V315" s="22"/>
      <c r="W315" s="22"/>
      <c r="X315" s="22"/>
    </row>
    <row r="316" spans="2:24" x14ac:dyDescent="0.2">
      <c r="B316" s="17">
        <f t="shared" ca="1" si="83"/>
        <v>54970</v>
      </c>
      <c r="C316" s="9">
        <f t="shared" si="95"/>
        <v>312</v>
      </c>
      <c r="D316" s="9">
        <v>26</v>
      </c>
      <c r="E316" s="13">
        <f t="shared" si="84"/>
        <v>3555.6726879444132</v>
      </c>
      <c r="F316" s="14">
        <f t="shared" si="96"/>
        <v>664849.49674937828</v>
      </c>
      <c r="G316" s="15">
        <f t="shared" si="85"/>
        <v>0.19412100546074776</v>
      </c>
      <c r="H316" s="13">
        <f t="shared" si="86"/>
        <v>101713.4979160675</v>
      </c>
      <c r="I316" s="13">
        <f t="shared" si="87"/>
        <v>7256688.6118878853</v>
      </c>
      <c r="J316" s="15">
        <f t="shared" si="80"/>
        <v>0.80587899453925227</v>
      </c>
      <c r="K316" s="13">
        <f t="shared" si="88"/>
        <v>2760073.5051243897</v>
      </c>
      <c r="L316" s="13">
        <f t="shared" si="97"/>
        <v>210159488.75236523</v>
      </c>
      <c r="M316" s="15">
        <f t="shared" si="89"/>
        <v>0.80587899453925227</v>
      </c>
      <c r="N316" s="13">
        <f t="shared" si="81"/>
        <v>29110.142707538969</v>
      </c>
      <c r="O316" s="13">
        <f t="shared" si="90"/>
        <v>4496615.1067634942</v>
      </c>
      <c r="P316" s="15">
        <f t="shared" si="82"/>
        <v>0.56764419297063062</v>
      </c>
      <c r="Q316" s="7">
        <f t="shared" si="91"/>
        <v>7921538.1086372621</v>
      </c>
      <c r="R316" s="7">
        <f t="shared" si="92"/>
        <v>3424923.0018737679</v>
      </c>
      <c r="S316" s="13">
        <f>IF('Calc (2)'!$AD$32="Sim",R316,Q316)</f>
        <v>3424923.0018737679</v>
      </c>
      <c r="T316" s="9">
        <f t="shared" si="93"/>
        <v>312</v>
      </c>
      <c r="U316" s="17">
        <f t="shared" ca="1" si="94"/>
        <v>55001</v>
      </c>
      <c r="V316" s="22"/>
      <c r="W316" s="22"/>
      <c r="X316" s="22"/>
    </row>
    <row r="317" spans="2:24" x14ac:dyDescent="0.2">
      <c r="B317" s="17">
        <f t="shared" ca="1" si="83"/>
        <v>55001</v>
      </c>
      <c r="C317" s="9">
        <f t="shared" si="95"/>
        <v>313</v>
      </c>
      <c r="D317" s="9"/>
      <c r="E317" s="13">
        <f t="shared" si="84"/>
        <v>3570.1589386092364</v>
      </c>
      <c r="F317" s="14">
        <f t="shared" si="96"/>
        <v>668419.65568798746</v>
      </c>
      <c r="G317" s="15">
        <f t="shared" si="85"/>
        <v>0.19316298542091567</v>
      </c>
      <c r="H317" s="13">
        <f t="shared" si="86"/>
        <v>103083.3708886768</v>
      </c>
      <c r="I317" s="13">
        <f t="shared" si="87"/>
        <v>7359771.9827765618</v>
      </c>
      <c r="J317" s="15">
        <f t="shared" si="80"/>
        <v>0.8068370145790843</v>
      </c>
      <c r="K317" s="13">
        <f t="shared" si="88"/>
        <v>2791972.3766232454</v>
      </c>
      <c r="L317" s="13">
        <f t="shared" si="97"/>
        <v>212951461.12898847</v>
      </c>
      <c r="M317" s="15">
        <f t="shared" si="89"/>
        <v>0.8068370145790843</v>
      </c>
      <c r="N317" s="13">
        <f t="shared" si="81"/>
        <v>29502.074101538048</v>
      </c>
      <c r="O317" s="13">
        <f t="shared" si="90"/>
        <v>4567799.6061533149</v>
      </c>
      <c r="P317" s="15">
        <f t="shared" si="82"/>
        <v>0.56896992646116518</v>
      </c>
      <c r="Q317" s="7">
        <f t="shared" si="91"/>
        <v>8028191.6384645477</v>
      </c>
      <c r="R317" s="7">
        <f t="shared" si="92"/>
        <v>3460392.0323112328</v>
      </c>
      <c r="S317" s="13">
        <f>IF('Calc (2)'!$AD$32="Sim",R317,Q317)</f>
        <v>3460392.0323112328</v>
      </c>
      <c r="T317" s="9">
        <f t="shared" si="93"/>
        <v>313</v>
      </c>
      <c r="U317" s="17">
        <f t="shared" ca="1" si="94"/>
        <v>55032</v>
      </c>
      <c r="V317" s="22"/>
      <c r="W317" s="22"/>
      <c r="X317" s="22"/>
    </row>
    <row r="318" spans="2:24" x14ac:dyDescent="0.2">
      <c r="B318" s="17">
        <f t="shared" ca="1" si="83"/>
        <v>55032</v>
      </c>
      <c r="C318" s="9">
        <f t="shared" si="95"/>
        <v>314</v>
      </c>
      <c r="D318" s="9"/>
      <c r="E318" s="13">
        <f t="shared" si="84"/>
        <v>3584.7042080524293</v>
      </c>
      <c r="F318" s="14">
        <f t="shared" si="96"/>
        <v>672004.35989603994</v>
      </c>
      <c r="G318" s="15">
        <f t="shared" si="85"/>
        <v>0.19220961469231174</v>
      </c>
      <c r="H318" s="13">
        <f t="shared" si="86"/>
        <v>104471.25859697237</v>
      </c>
      <c r="I318" s="13">
        <f t="shared" si="87"/>
        <v>7464243.2413735343</v>
      </c>
      <c r="J318" s="15">
        <f t="shared" si="80"/>
        <v>0.80779038530768821</v>
      </c>
      <c r="K318" s="13">
        <f t="shared" si="88"/>
        <v>2824201.3890816136</v>
      </c>
      <c r="L318" s="13">
        <f t="shared" si="97"/>
        <v>215775662.5180701</v>
      </c>
      <c r="M318" s="15">
        <f t="shared" si="89"/>
        <v>0.80779038530768821</v>
      </c>
      <c r="N318" s="13">
        <f t="shared" si="81"/>
        <v>29899.15916942721</v>
      </c>
      <c r="O318" s="13">
        <f t="shared" si="90"/>
        <v>4640041.8522919193</v>
      </c>
      <c r="P318" s="15">
        <f t="shared" si="82"/>
        <v>0.57029260657798708</v>
      </c>
      <c r="Q318" s="7">
        <f t="shared" si="91"/>
        <v>8136247.601269573</v>
      </c>
      <c r="R318" s="7">
        <f t="shared" si="92"/>
        <v>3496205.7489776537</v>
      </c>
      <c r="S318" s="13">
        <f>IF('Calc (2)'!$AD$32="Sim",R318,Q318)</f>
        <v>3496205.7489776537</v>
      </c>
      <c r="T318" s="9">
        <f t="shared" si="93"/>
        <v>314</v>
      </c>
      <c r="U318" s="17">
        <f t="shared" ca="1" si="94"/>
        <v>55062</v>
      </c>
      <c r="V318" s="22"/>
      <c r="W318" s="22"/>
      <c r="X318" s="22"/>
    </row>
    <row r="319" spans="2:24" x14ac:dyDescent="0.2">
      <c r="B319" s="17">
        <f t="shared" ca="1" si="83"/>
        <v>55062</v>
      </c>
      <c r="C319" s="9">
        <f t="shared" si="95"/>
        <v>315</v>
      </c>
      <c r="D319" s="9"/>
      <c r="E319" s="13">
        <f t="shared" si="84"/>
        <v>3599.3087367237999</v>
      </c>
      <c r="F319" s="14">
        <f t="shared" si="96"/>
        <v>675603.66863276379</v>
      </c>
      <c r="G319" s="15">
        <f t="shared" si="85"/>
        <v>0.19126087084360227</v>
      </c>
      <c r="H319" s="13">
        <f t="shared" si="86"/>
        <v>105877.39623562343</v>
      </c>
      <c r="I319" s="13">
        <f t="shared" si="87"/>
        <v>7570120.6376091577</v>
      </c>
      <c r="J319" s="15">
        <f t="shared" si="80"/>
        <v>0.80873912915639767</v>
      </c>
      <c r="K319" s="13">
        <f t="shared" si="88"/>
        <v>2856763.7500287252</v>
      </c>
      <c r="L319" s="13">
        <f t="shared" si="97"/>
        <v>218632426.26809883</v>
      </c>
      <c r="M319" s="15">
        <f t="shared" si="89"/>
        <v>0.80873912915639767</v>
      </c>
      <c r="N319" s="13">
        <f t="shared" si="81"/>
        <v>30301.465193988442</v>
      </c>
      <c r="O319" s="13">
        <f t="shared" si="90"/>
        <v>4713356.8875804311</v>
      </c>
      <c r="P319" s="15">
        <f t="shared" si="82"/>
        <v>0.57161223350779178</v>
      </c>
      <c r="Q319" s="7">
        <f t="shared" si="91"/>
        <v>8245724.3062419202</v>
      </c>
      <c r="R319" s="7">
        <f t="shared" si="92"/>
        <v>3532367.4186614892</v>
      </c>
      <c r="S319" s="13">
        <f>IF('Calc (2)'!$AD$32="Sim",R319,Q319)</f>
        <v>3532367.4186614892</v>
      </c>
      <c r="T319" s="9">
        <f t="shared" si="93"/>
        <v>315</v>
      </c>
      <c r="U319" s="17">
        <f t="shared" ca="1" si="94"/>
        <v>55093</v>
      </c>
      <c r="V319" s="22"/>
      <c r="W319" s="22"/>
      <c r="X319" s="22"/>
    </row>
    <row r="320" spans="2:24" x14ac:dyDescent="0.2">
      <c r="B320" s="17">
        <f t="shared" ca="1" si="83"/>
        <v>55093</v>
      </c>
      <c r="C320" s="9">
        <f t="shared" si="95"/>
        <v>316</v>
      </c>
      <c r="D320" s="9"/>
      <c r="E320" s="13">
        <f t="shared" si="84"/>
        <v>3613.9727660527797</v>
      </c>
      <c r="F320" s="14">
        <f t="shared" si="96"/>
        <v>679217.6413988166</v>
      </c>
      <c r="G320" s="15">
        <f t="shared" si="85"/>
        <v>0.19031673155767542</v>
      </c>
      <c r="H320" s="13">
        <f t="shared" si="86"/>
        <v>107302.02206302805</v>
      </c>
      <c r="I320" s="13">
        <f t="shared" si="87"/>
        <v>7677422.6596721858</v>
      </c>
      <c r="J320" s="15">
        <f t="shared" si="80"/>
        <v>0.80968326844232452</v>
      </c>
      <c r="K320" s="13">
        <f t="shared" si="88"/>
        <v>2889662.6973904185</v>
      </c>
      <c r="L320" s="13">
        <f t="shared" si="97"/>
        <v>221522088.96548924</v>
      </c>
      <c r="M320" s="15">
        <f t="shared" si="89"/>
        <v>0.80968326844232452</v>
      </c>
      <c r="N320" s="13">
        <f t="shared" si="81"/>
        <v>30709.060334445156</v>
      </c>
      <c r="O320" s="13">
        <f t="shared" si="90"/>
        <v>4787759.9622817654</v>
      </c>
      <c r="P320" s="15">
        <f t="shared" si="82"/>
        <v>0.57292880748596509</v>
      </c>
      <c r="Q320" s="7">
        <f t="shared" si="91"/>
        <v>8356640.3010710012</v>
      </c>
      <c r="R320" s="7">
        <f t="shared" si="92"/>
        <v>3568880.3387892353</v>
      </c>
      <c r="S320" s="13">
        <f>IF('Calc (2)'!$AD$32="Sim",R320,Q320)</f>
        <v>3568880.3387892353</v>
      </c>
      <c r="T320" s="9">
        <f t="shared" si="93"/>
        <v>316</v>
      </c>
      <c r="U320" s="17">
        <f t="shared" ca="1" si="94"/>
        <v>55123</v>
      </c>
      <c r="V320" s="22"/>
      <c r="W320" s="22"/>
      <c r="X320" s="22"/>
    </row>
    <row r="321" spans="2:24" x14ac:dyDescent="0.2">
      <c r="B321" s="17">
        <f t="shared" ca="1" si="83"/>
        <v>55123</v>
      </c>
      <c r="C321" s="9">
        <f t="shared" si="95"/>
        <v>317</v>
      </c>
      <c r="D321" s="9"/>
      <c r="E321" s="13">
        <f t="shared" si="84"/>
        <v>3628.6965384524128</v>
      </c>
      <c r="F321" s="14">
        <f t="shared" si="96"/>
        <v>682846.33793726901</v>
      </c>
      <c r="G321" s="15">
        <f t="shared" si="85"/>
        <v>0.18937717463089787</v>
      </c>
      <c r="H321" s="13">
        <f t="shared" si="86"/>
        <v>108745.37744119459</v>
      </c>
      <c r="I321" s="13">
        <f t="shared" si="87"/>
        <v>7786168.0371133806</v>
      </c>
      <c r="J321" s="15">
        <f t="shared" si="80"/>
        <v>0.81062282536910213</v>
      </c>
      <c r="K321" s="13">
        <f t="shared" si="88"/>
        <v>2922901.4997742092</v>
      </c>
      <c r="L321" s="13">
        <f t="shared" si="97"/>
        <v>224444990.46526346</v>
      </c>
      <c r="M321" s="15">
        <f t="shared" si="89"/>
        <v>0.81062282536910213</v>
      </c>
      <c r="N321" s="13">
        <f t="shared" si="81"/>
        <v>31122.013637870947</v>
      </c>
      <c r="O321" s="13">
        <f t="shared" si="90"/>
        <v>4863266.5373391695</v>
      </c>
      <c r="P321" s="15">
        <f t="shared" si="82"/>
        <v>0.57424232879638792</v>
      </c>
      <c r="Q321" s="7">
        <f t="shared" si="91"/>
        <v>8469014.3750506472</v>
      </c>
      <c r="R321" s="7">
        <f t="shared" si="92"/>
        <v>3605747.8377114781</v>
      </c>
      <c r="S321" s="13">
        <f>IF('Calc (2)'!$AD$32="Sim",R321,Q321)</f>
        <v>3605747.8377114781</v>
      </c>
      <c r="T321" s="9">
        <f t="shared" si="93"/>
        <v>317</v>
      </c>
      <c r="U321" s="17">
        <f t="shared" ca="1" si="94"/>
        <v>55154</v>
      </c>
      <c r="V321" s="22"/>
      <c r="W321" s="22"/>
      <c r="X321" s="22"/>
    </row>
    <row r="322" spans="2:24" x14ac:dyDescent="0.2">
      <c r="B322" s="17">
        <f t="shared" ca="1" si="83"/>
        <v>55154</v>
      </c>
      <c r="C322" s="9">
        <f t="shared" si="95"/>
        <v>318</v>
      </c>
      <c r="D322" s="9"/>
      <c r="E322" s="13">
        <f t="shared" si="84"/>
        <v>3643.4802973233641</v>
      </c>
      <c r="F322" s="14">
        <f t="shared" si="96"/>
        <v>686489.81823459233</v>
      </c>
      <c r="G322" s="15">
        <f t="shared" si="85"/>
        <v>0.18844217797237992</v>
      </c>
      <c r="H322" s="13">
        <f t="shared" si="86"/>
        <v>110207.70687614169</v>
      </c>
      <c r="I322" s="13">
        <f t="shared" si="87"/>
        <v>7896375.7439895226</v>
      </c>
      <c r="J322" s="15">
        <f t="shared" si="80"/>
        <v>0.81155782202762006</v>
      </c>
      <c r="K322" s="13">
        <f t="shared" si="88"/>
        <v>2956483.456757016</v>
      </c>
      <c r="L322" s="13">
        <f t="shared" si="97"/>
        <v>227401473.92202047</v>
      </c>
      <c r="M322" s="15">
        <f t="shared" si="89"/>
        <v>0.81155782202762017</v>
      </c>
      <c r="N322" s="13">
        <f t="shared" si="81"/>
        <v>31540.395050746891</v>
      </c>
      <c r="O322" s="13">
        <f t="shared" si="90"/>
        <v>4939892.2872325042</v>
      </c>
      <c r="P322" s="15">
        <f t="shared" si="82"/>
        <v>0.5755527977712388</v>
      </c>
      <c r="Q322" s="7">
        <f t="shared" si="91"/>
        <v>8582865.5622241125</v>
      </c>
      <c r="R322" s="7">
        <f t="shared" si="92"/>
        <v>3642973.2749916082</v>
      </c>
      <c r="S322" s="13">
        <f>IF('Calc (2)'!$AD$32="Sim",R322,Q322)</f>
        <v>3642973.2749916082</v>
      </c>
      <c r="T322" s="9">
        <f t="shared" si="93"/>
        <v>318</v>
      </c>
      <c r="U322" s="17">
        <f t="shared" ca="1" si="94"/>
        <v>55185</v>
      </c>
      <c r="V322" s="22"/>
      <c r="W322" s="22"/>
      <c r="X322" s="22"/>
    </row>
    <row r="323" spans="2:24" x14ac:dyDescent="0.2">
      <c r="B323" s="17">
        <f t="shared" ca="1" si="83"/>
        <v>55185</v>
      </c>
      <c r="C323" s="9">
        <f t="shared" si="95"/>
        <v>319</v>
      </c>
      <c r="D323" s="9"/>
      <c r="E323" s="13">
        <f t="shared" si="84"/>
        <v>3658.3242870579434</v>
      </c>
      <c r="F323" s="14">
        <f t="shared" si="96"/>
        <v>690148.1425216503</v>
      </c>
      <c r="G323" s="15">
        <f t="shared" si="85"/>
        <v>0.18751171960324822</v>
      </c>
      <c r="H323" s="13">
        <f t="shared" si="86"/>
        <v>111689.2580588245</v>
      </c>
      <c r="I323" s="13">
        <f t="shared" si="87"/>
        <v>8008065.0020483471</v>
      </c>
      <c r="J323" s="15">
        <f t="shared" si="80"/>
        <v>0.81248828039675181</v>
      </c>
      <c r="K323" s="13">
        <f t="shared" si="88"/>
        <v>2990411.8991755778</v>
      </c>
      <c r="L323" s="13">
        <f t="shared" si="97"/>
        <v>230391885.82119605</v>
      </c>
      <c r="M323" s="15">
        <f t="shared" si="89"/>
        <v>0.81248828039675169</v>
      </c>
      <c r="N323" s="13">
        <f t="shared" si="81"/>
        <v>31964.275430669204</v>
      </c>
      <c r="O323" s="13">
        <f t="shared" si="90"/>
        <v>5017653.1028727666</v>
      </c>
      <c r="P323" s="15">
        <f t="shared" si="82"/>
        <v>0.5768602147907953</v>
      </c>
      <c r="Q323" s="7">
        <f t="shared" si="91"/>
        <v>8698213.1445699949</v>
      </c>
      <c r="R323" s="7">
        <f t="shared" si="92"/>
        <v>3680560.0416972283</v>
      </c>
      <c r="S323" s="13">
        <f>IF('Calc (2)'!$AD$32="Sim",R323,Q323)</f>
        <v>3680560.0416972283</v>
      </c>
      <c r="T323" s="9">
        <f t="shared" si="93"/>
        <v>319</v>
      </c>
      <c r="U323" s="17">
        <f t="shared" ca="1" si="94"/>
        <v>55213</v>
      </c>
      <c r="V323" s="22"/>
      <c r="W323" s="22"/>
      <c r="X323" s="22"/>
    </row>
    <row r="324" spans="2:24" x14ac:dyDescent="0.2">
      <c r="B324" s="17">
        <f t="shared" ca="1" si="83"/>
        <v>55213</v>
      </c>
      <c r="C324" s="9">
        <f t="shared" si="95"/>
        <v>320</v>
      </c>
      <c r="D324" s="9"/>
      <c r="E324" s="13">
        <f t="shared" si="84"/>
        <v>3673.2287530441445</v>
      </c>
      <c r="F324" s="14">
        <f t="shared" si="96"/>
        <v>693821.37127469445</v>
      </c>
      <c r="G324" s="15">
        <f t="shared" si="85"/>
        <v>0.18658577765592657</v>
      </c>
      <c r="H324" s="13">
        <f t="shared" si="86"/>
        <v>113190.28190659315</v>
      </c>
      <c r="I324" s="13">
        <f t="shared" si="87"/>
        <v>8121255.2839549407</v>
      </c>
      <c r="J324" s="15">
        <f t="shared" si="80"/>
        <v>0.81341422234407346</v>
      </c>
      <c r="K324" s="13">
        <f t="shared" si="88"/>
        <v>3024690.1894195802</v>
      </c>
      <c r="L324" s="13">
        <f t="shared" si="97"/>
        <v>233416576.01061562</v>
      </c>
      <c r="M324" s="15">
        <f t="shared" si="89"/>
        <v>0.81341422234407346</v>
      </c>
      <c r="N324" s="13">
        <f t="shared" si="81"/>
        <v>32393.726558209288</v>
      </c>
      <c r="O324" s="13">
        <f t="shared" si="90"/>
        <v>5096565.0945353573</v>
      </c>
      <c r="P324" s="15">
        <f t="shared" si="82"/>
        <v>0.57816458028323203</v>
      </c>
      <c r="Q324" s="7">
        <f t="shared" si="91"/>
        <v>8815076.6552296318</v>
      </c>
      <c r="R324" s="7">
        <f t="shared" si="92"/>
        <v>3718511.5606942745</v>
      </c>
      <c r="S324" s="13">
        <f>IF('Calc (2)'!$AD$32="Sim",R324,Q324)</f>
        <v>3718511.5606942745</v>
      </c>
      <c r="T324" s="9">
        <f t="shared" si="93"/>
        <v>320</v>
      </c>
      <c r="U324" s="17">
        <f t="shared" ca="1" si="94"/>
        <v>55244</v>
      </c>
      <c r="V324" s="22"/>
      <c r="W324" s="22"/>
      <c r="X324" s="22"/>
    </row>
    <row r="325" spans="2:24" x14ac:dyDescent="0.2">
      <c r="B325" s="17">
        <f t="shared" ca="1" si="83"/>
        <v>55244</v>
      </c>
      <c r="C325" s="9">
        <f t="shared" si="95"/>
        <v>321</v>
      </c>
      <c r="D325" s="9"/>
      <c r="E325" s="13">
        <f t="shared" si="84"/>
        <v>3688.1939416697028</v>
      </c>
      <c r="F325" s="14">
        <f t="shared" si="96"/>
        <v>697509.56521636411</v>
      </c>
      <c r="G325" s="15">
        <f t="shared" si="85"/>
        <v>0.18566433037342409</v>
      </c>
      <c r="H325" s="13">
        <f t="shared" si="86"/>
        <v>114711.03260519108</v>
      </c>
      <c r="I325" s="13">
        <f t="shared" si="87"/>
        <v>8235966.3165601315</v>
      </c>
      <c r="J325" s="15">
        <f t="shared" ref="J325:J388" si="98">1-G325</f>
        <v>0.81433566962657589</v>
      </c>
      <c r="K325" s="13">
        <f t="shared" si="88"/>
        <v>3059321.7217275137</v>
      </c>
      <c r="L325" s="13">
        <f t="shared" si="97"/>
        <v>236475897.73234314</v>
      </c>
      <c r="M325" s="15">
        <f t="shared" si="89"/>
        <v>0.81433566962657589</v>
      </c>
      <c r="N325" s="13">
        <f t="shared" ref="N325:N364" si="99">Q325*Inflação_2</f>
        <v>32828.821148928146</v>
      </c>
      <c r="O325" s="13">
        <f t="shared" si="90"/>
        <v>5176644.594832615</v>
      </c>
      <c r="P325" s="15">
        <f t="shared" ref="P325:P388" si="100">O325/Q325</f>
        <v>0.5794658947244169</v>
      </c>
      <c r="Q325" s="7">
        <f t="shared" si="91"/>
        <v>8933475.881776493</v>
      </c>
      <c r="R325" s="7">
        <f t="shared" si="92"/>
        <v>3756831.286943878</v>
      </c>
      <c r="S325" s="13">
        <f>IF('Calc (2)'!$AD$32="Sim",R325,Q325)</f>
        <v>3756831.286943878</v>
      </c>
      <c r="T325" s="9">
        <f t="shared" si="93"/>
        <v>321</v>
      </c>
      <c r="U325" s="17">
        <f t="shared" ca="1" si="94"/>
        <v>55274</v>
      </c>
      <c r="V325" s="22"/>
      <c r="W325" s="22"/>
      <c r="X325" s="22"/>
    </row>
    <row r="326" spans="2:24" x14ac:dyDescent="0.2">
      <c r="B326" s="17">
        <f t="shared" ref="B326:B389" ca="1" si="101">DATE(YEAR(B325),MONTH(B325)+1,1)</f>
        <v>55274</v>
      </c>
      <c r="C326" s="9">
        <f t="shared" si="95"/>
        <v>322</v>
      </c>
      <c r="D326" s="9"/>
      <c r="E326" s="13">
        <f t="shared" ref="E326:E389" si="102">IF($AE$33,IF($AE$34,$E325*(1+Inflação_2)*(1+Crescimento_Salário_2),$E325*(1+Inflação_2)),IF($AE$34,$E325*(1+Crescimento_Salário_2),$E325))</f>
        <v>3703.2201003261671</v>
      </c>
      <c r="F326" s="14">
        <f t="shared" si="96"/>
        <v>701212.78531669022</v>
      </c>
      <c r="G326" s="15">
        <f t="shared" ref="G326:G389" si="103">IF(F326&lt;=0,0,F326/S326)</f>
        <v>0.18474735610863091</v>
      </c>
      <c r="H326" s="13">
        <f t="shared" ref="H326:H364" si="104">Q325*Taxa_2</f>
        <v>116251.76765129973</v>
      </c>
      <c r="I326" s="13">
        <f t="shared" ref="I326:I389" si="105">I325+H326</f>
        <v>8352218.0842114314</v>
      </c>
      <c r="J326" s="15">
        <f t="shared" si="98"/>
        <v>0.81525264389136909</v>
      </c>
      <c r="K326" s="13">
        <f t="shared" ref="K326:K389" si="106">R326-F326</f>
        <v>3094309.9224853045</v>
      </c>
      <c r="L326" s="13">
        <f t="shared" si="97"/>
        <v>239570207.65482843</v>
      </c>
      <c r="M326" s="15">
        <f t="shared" ref="M326:M389" si="107">K326/R326</f>
        <v>0.81525264389136909</v>
      </c>
      <c r="N326" s="13">
        <f t="shared" si="99"/>
        <v>33269.632865547108</v>
      </c>
      <c r="O326" s="13">
        <f t="shared" ref="O326:O389" si="108">Q326-R326</f>
        <v>5257908.1617261237</v>
      </c>
      <c r="P326" s="15">
        <f t="shared" si="100"/>
        <v>0.58076415863770503</v>
      </c>
      <c r="Q326" s="7">
        <f t="shared" ref="Q326:Q389" si="109">Q325+E326+H326</f>
        <v>9053430.8695281185</v>
      </c>
      <c r="R326" s="7">
        <f t="shared" ref="R326:R364" si="110">(R325+E326)*(1+((1+Taxa_2)/(1+Inflação_2)-1))</f>
        <v>3795522.7078019949</v>
      </c>
      <c r="S326" s="13">
        <f>IF('Calc (2)'!$AD$32="Sim",R326,Q326)</f>
        <v>3795522.7078019949</v>
      </c>
      <c r="T326" s="9">
        <f t="shared" ref="T326:T389" si="111">C326</f>
        <v>322</v>
      </c>
      <c r="U326" s="17">
        <f t="shared" ref="U326:U389" ca="1" si="112">DATE(YEAR(U325),MONTH(U325)+1,1)</f>
        <v>55305</v>
      </c>
      <c r="V326" s="22"/>
      <c r="W326" s="22"/>
      <c r="X326" s="22"/>
    </row>
    <row r="327" spans="2:24" x14ac:dyDescent="0.2">
      <c r="B327" s="17">
        <f t="shared" ca="1" si="101"/>
        <v>55305</v>
      </c>
      <c r="C327" s="9">
        <f t="shared" ref="C327:C390" si="113">C326+1</f>
        <v>323</v>
      </c>
      <c r="D327" s="9"/>
      <c r="E327" s="13">
        <f t="shared" si="102"/>
        <v>3718.3074774129905</v>
      </c>
      <c r="F327" s="14">
        <f t="shared" ref="F327:F390" si="114">F326+E327</f>
        <v>704931.0927941032</v>
      </c>
      <c r="G327" s="15">
        <f t="shared" si="103"/>
        <v>0.18383483332362155</v>
      </c>
      <c r="H327" s="13">
        <f t="shared" si="104"/>
        <v>117812.74789563697</v>
      </c>
      <c r="I327" s="13">
        <f t="shared" si="105"/>
        <v>8470030.832107069</v>
      </c>
      <c r="J327" s="15">
        <f t="shared" si="98"/>
        <v>0.81616516667637851</v>
      </c>
      <c r="K327" s="13">
        <f t="shared" si="106"/>
        <v>3129658.2505277223</v>
      </c>
      <c r="L327" s="13">
        <f t="shared" ref="L327:L390" si="115">L326+K327</f>
        <v>242699865.90535614</v>
      </c>
      <c r="M327" s="15">
        <f t="shared" si="107"/>
        <v>0.81616516667637851</v>
      </c>
      <c r="N327" s="13">
        <f t="shared" si="99"/>
        <v>33716.236330277003</v>
      </c>
      <c r="O327" s="13">
        <f t="shared" si="108"/>
        <v>5340372.5815793434</v>
      </c>
      <c r="P327" s="15">
        <f t="shared" si="100"/>
        <v>0.58205937259373086</v>
      </c>
      <c r="Q327" s="7">
        <f t="shared" si="109"/>
        <v>9174961.9249011688</v>
      </c>
      <c r="R327" s="7">
        <f t="shared" si="110"/>
        <v>3834589.3433218254</v>
      </c>
      <c r="S327" s="13">
        <f>IF('Calc (2)'!$AD$32="Sim",R327,Q327)</f>
        <v>3834589.3433218254</v>
      </c>
      <c r="T327" s="9">
        <f t="shared" si="111"/>
        <v>323</v>
      </c>
      <c r="U327" s="17">
        <f t="shared" ca="1" si="112"/>
        <v>55335</v>
      </c>
      <c r="V327" s="22"/>
      <c r="W327" s="22"/>
      <c r="X327" s="22"/>
    </row>
    <row r="328" spans="2:24" x14ac:dyDescent="0.2">
      <c r="B328" s="17">
        <f t="shared" ca="1" si="101"/>
        <v>55335</v>
      </c>
      <c r="C328" s="9">
        <f t="shared" si="113"/>
        <v>324</v>
      </c>
      <c r="D328" s="9">
        <v>27</v>
      </c>
      <c r="E328" s="13">
        <f t="shared" si="102"/>
        <v>3733.4563223416362</v>
      </c>
      <c r="F328" s="14">
        <f t="shared" si="114"/>
        <v>708664.54911644489</v>
      </c>
      <c r="G328" s="15">
        <f t="shared" si="103"/>
        <v>0.1829267405889651</v>
      </c>
      <c r="H328" s="13">
        <f t="shared" si="104"/>
        <v>119394.23758661665</v>
      </c>
      <c r="I328" s="13">
        <f t="shared" si="105"/>
        <v>8589425.0696936864</v>
      </c>
      <c r="J328" s="15">
        <f t="shared" si="98"/>
        <v>0.81707325941103492</v>
      </c>
      <c r="K328" s="13">
        <f t="shared" si="106"/>
        <v>3165370.197442607</v>
      </c>
      <c r="L328" s="13">
        <f t="shared" si="115"/>
        <v>245865236.10279876</v>
      </c>
      <c r="M328" s="15">
        <f t="shared" si="107"/>
        <v>0.81707325941103492</v>
      </c>
      <c r="N328" s="13">
        <f t="shared" si="99"/>
        <v>34168.707137307763</v>
      </c>
      <c r="O328" s="13">
        <f t="shared" si="108"/>
        <v>5424054.8722510766</v>
      </c>
      <c r="P328" s="15">
        <f t="shared" si="100"/>
        <v>0.5833515372101985</v>
      </c>
      <c r="Q328" s="7">
        <f t="shared" si="109"/>
        <v>9298089.6188101284</v>
      </c>
      <c r="R328" s="7">
        <f t="shared" si="110"/>
        <v>3874034.7465590518</v>
      </c>
      <c r="S328" s="13">
        <f>IF('Calc (2)'!$AD$32="Sim",R328,Q328)</f>
        <v>3874034.7465590518</v>
      </c>
      <c r="T328" s="9">
        <f t="shared" si="111"/>
        <v>324</v>
      </c>
      <c r="U328" s="17">
        <f t="shared" ca="1" si="112"/>
        <v>55366</v>
      </c>
      <c r="V328" s="22"/>
      <c r="W328" s="22"/>
      <c r="X328" s="22"/>
    </row>
    <row r="329" spans="2:24" x14ac:dyDescent="0.2">
      <c r="B329" s="17">
        <f t="shared" ca="1" si="101"/>
        <v>55366</v>
      </c>
      <c r="C329" s="9">
        <f t="shared" si="113"/>
        <v>325</v>
      </c>
      <c r="D329" s="9"/>
      <c r="E329" s="13">
        <f t="shared" si="102"/>
        <v>3748.6668855397006</v>
      </c>
      <c r="F329" s="14">
        <f t="shared" si="114"/>
        <v>712413.21600198455</v>
      </c>
      <c r="G329" s="15">
        <f t="shared" si="103"/>
        <v>0.18202305658304277</v>
      </c>
      <c r="H329" s="13">
        <f t="shared" si="104"/>
        <v>120996.50441457593</v>
      </c>
      <c r="I329" s="13">
        <f t="shared" si="105"/>
        <v>8710421.5741082616</v>
      </c>
      <c r="J329" s="15">
        <f t="shared" si="98"/>
        <v>0.81797694341695726</v>
      </c>
      <c r="K329" s="13">
        <f t="shared" si="106"/>
        <v>3201449.2878779378</v>
      </c>
      <c r="L329" s="13">
        <f t="shared" si="115"/>
        <v>249066685.39067671</v>
      </c>
      <c r="M329" s="15">
        <f t="shared" si="107"/>
        <v>0.81797694341695726</v>
      </c>
      <c r="N329" s="13">
        <f t="shared" si="99"/>
        <v>34627.121865460525</v>
      </c>
      <c r="O329" s="13">
        <f t="shared" si="108"/>
        <v>5508972.286230321</v>
      </c>
      <c r="P329" s="15">
        <f t="shared" si="100"/>
        <v>0.5846406531516688</v>
      </c>
      <c r="Q329" s="7">
        <f t="shared" si="109"/>
        <v>9422834.7901102435</v>
      </c>
      <c r="R329" s="7">
        <f t="shared" si="110"/>
        <v>3913862.5038799224</v>
      </c>
      <c r="S329" s="13">
        <f>IF('Calc (2)'!$AD$32="Sim",R329,Q329)</f>
        <v>3913862.5038799224</v>
      </c>
      <c r="T329" s="9">
        <f t="shared" si="111"/>
        <v>325</v>
      </c>
      <c r="U329" s="17">
        <f t="shared" ca="1" si="112"/>
        <v>55397</v>
      </c>
      <c r="V329" s="22"/>
      <c r="W329" s="22"/>
      <c r="X329" s="22"/>
    </row>
    <row r="330" spans="2:24" x14ac:dyDescent="0.2">
      <c r="B330" s="17">
        <f t="shared" ca="1" si="101"/>
        <v>55397</v>
      </c>
      <c r="C330" s="9">
        <f t="shared" si="113"/>
        <v>326</v>
      </c>
      <c r="D330" s="9"/>
      <c r="E330" s="13">
        <f t="shared" si="102"/>
        <v>3763.9394184550529</v>
      </c>
      <c r="F330" s="14">
        <f t="shared" si="114"/>
        <v>716177.15542043955</v>
      </c>
      <c r="G330" s="15">
        <f t="shared" si="103"/>
        <v>0.18112376009137243</v>
      </c>
      <c r="H330" s="13">
        <f t="shared" si="104"/>
        <v>122619.8195565785</v>
      </c>
      <c r="I330" s="13">
        <f t="shared" si="105"/>
        <v>8833041.3936648406</v>
      </c>
      <c r="J330" s="15">
        <f t="shared" si="98"/>
        <v>0.81887623990862757</v>
      </c>
      <c r="K330" s="13">
        <f t="shared" si="106"/>
        <v>3237899.0798517633</v>
      </c>
      <c r="L330" s="13">
        <f t="shared" si="115"/>
        <v>252304584.47052848</v>
      </c>
      <c r="M330" s="15">
        <f t="shared" si="107"/>
        <v>0.81887623990862757</v>
      </c>
      <c r="N330" s="13">
        <f t="shared" si="99"/>
        <v>35091.558091004532</v>
      </c>
      <c r="O330" s="13">
        <f t="shared" si="108"/>
        <v>5595142.3138130754</v>
      </c>
      <c r="P330" s="15">
        <f t="shared" si="100"/>
        <v>0.58592672112934685</v>
      </c>
      <c r="Q330" s="7">
        <f t="shared" si="109"/>
        <v>9549218.5490852781</v>
      </c>
      <c r="R330" s="7">
        <f t="shared" si="110"/>
        <v>3954076.2352722026</v>
      </c>
      <c r="S330" s="13">
        <f>IF('Calc (2)'!$AD$32="Sim",R330,Q330)</f>
        <v>3954076.2352722026</v>
      </c>
      <c r="T330" s="9">
        <f t="shared" si="111"/>
        <v>326</v>
      </c>
      <c r="U330" s="17">
        <f t="shared" ca="1" si="112"/>
        <v>55427</v>
      </c>
      <c r="V330" s="22"/>
      <c r="W330" s="22"/>
      <c r="X330" s="22"/>
    </row>
    <row r="331" spans="2:24" x14ac:dyDescent="0.2">
      <c r="B331" s="17">
        <f t="shared" ca="1" si="101"/>
        <v>55427</v>
      </c>
      <c r="C331" s="9">
        <f t="shared" si="113"/>
        <v>327</v>
      </c>
      <c r="D331" s="9"/>
      <c r="E331" s="13">
        <f t="shared" si="102"/>
        <v>3779.2741735599921</v>
      </c>
      <c r="F331" s="14">
        <f t="shared" si="114"/>
        <v>719956.42959399952</v>
      </c>
      <c r="G331" s="15">
        <f t="shared" si="103"/>
        <v>0.18022883000594012</v>
      </c>
      <c r="H331" s="13">
        <f t="shared" si="104"/>
        <v>124264.45772180092</v>
      </c>
      <c r="I331" s="13">
        <f t="shared" si="105"/>
        <v>8957305.8513866421</v>
      </c>
      <c r="J331" s="15">
        <f t="shared" si="98"/>
        <v>0.81977116999405986</v>
      </c>
      <c r="K331" s="13">
        <f t="shared" si="106"/>
        <v>3274723.1650650273</v>
      </c>
      <c r="L331" s="13">
        <f t="shared" si="115"/>
        <v>255579307.6355935</v>
      </c>
      <c r="M331" s="15">
        <f t="shared" si="107"/>
        <v>0.81977116999405986</v>
      </c>
      <c r="N331" s="13">
        <f t="shared" si="99"/>
        <v>35562.094400640621</v>
      </c>
      <c r="O331" s="13">
        <f t="shared" si="108"/>
        <v>5682582.6863216124</v>
      </c>
      <c r="P331" s="15">
        <f t="shared" si="100"/>
        <v>0.5872097419008645</v>
      </c>
      <c r="Q331" s="7">
        <f t="shared" si="109"/>
        <v>9677262.2809806392</v>
      </c>
      <c r="R331" s="7">
        <f t="shared" si="110"/>
        <v>3994679.5946590267</v>
      </c>
      <c r="S331" s="13">
        <f>IF('Calc (2)'!$AD$32="Sim",R331,Q331)</f>
        <v>3994679.5946590267</v>
      </c>
      <c r="T331" s="9">
        <f t="shared" si="111"/>
        <v>327</v>
      </c>
      <c r="U331" s="17">
        <f t="shared" ca="1" si="112"/>
        <v>55458</v>
      </c>
      <c r="V331" s="22"/>
      <c r="W331" s="22"/>
      <c r="X331" s="22"/>
    </row>
    <row r="332" spans="2:24" x14ac:dyDescent="0.2">
      <c r="B332" s="17">
        <f t="shared" ca="1" si="101"/>
        <v>55458</v>
      </c>
      <c r="C332" s="9">
        <f t="shared" si="113"/>
        <v>328</v>
      </c>
      <c r="D332" s="9"/>
      <c r="E332" s="13">
        <f t="shared" si="102"/>
        <v>3794.6714043554207</v>
      </c>
      <c r="F332" s="14">
        <f t="shared" si="114"/>
        <v>723751.10099835496</v>
      </c>
      <c r="G332" s="15">
        <f t="shared" si="103"/>
        <v>0.1793382453245381</v>
      </c>
      <c r="H332" s="13">
        <f t="shared" si="104"/>
        <v>125930.6971975093</v>
      </c>
      <c r="I332" s="13">
        <f t="shared" si="105"/>
        <v>9083236.548584152</v>
      </c>
      <c r="J332" s="15">
        <f t="shared" si="98"/>
        <v>0.82066175467546187</v>
      </c>
      <c r="K332" s="13">
        <f t="shared" si="106"/>
        <v>3311925.169217316</v>
      </c>
      <c r="L332" s="13">
        <f t="shared" si="115"/>
        <v>258891232.80481082</v>
      </c>
      <c r="M332" s="15">
        <f t="shared" si="107"/>
        <v>0.82066175467546187</v>
      </c>
      <c r="N332" s="13">
        <f t="shared" si="99"/>
        <v>36038.810404653894</v>
      </c>
      <c r="O332" s="13">
        <f t="shared" si="108"/>
        <v>5771311.3793668337</v>
      </c>
      <c r="P332" s="15">
        <f t="shared" si="100"/>
        <v>0.5884897162700643</v>
      </c>
      <c r="Q332" s="7">
        <f t="shared" si="109"/>
        <v>9806987.6495825052</v>
      </c>
      <c r="R332" s="7">
        <f t="shared" si="110"/>
        <v>4035676.270215671</v>
      </c>
      <c r="S332" s="13">
        <f>IF('Calc (2)'!$AD$32="Sim",R332,Q332)</f>
        <v>4035676.270215671</v>
      </c>
      <c r="T332" s="9">
        <f t="shared" si="111"/>
        <v>328</v>
      </c>
      <c r="U332" s="17">
        <f t="shared" ca="1" si="112"/>
        <v>55488</v>
      </c>
      <c r="V332" s="22"/>
      <c r="W332" s="22"/>
      <c r="X332" s="22"/>
    </row>
    <row r="333" spans="2:24" x14ac:dyDescent="0.2">
      <c r="B333" s="17">
        <f t="shared" ca="1" si="101"/>
        <v>55488</v>
      </c>
      <c r="C333" s="9">
        <f t="shared" si="113"/>
        <v>329</v>
      </c>
      <c r="D333" s="9"/>
      <c r="E333" s="13">
        <f t="shared" si="102"/>
        <v>3810.1313653750353</v>
      </c>
      <c r="F333" s="14">
        <f t="shared" si="114"/>
        <v>727561.23236372997</v>
      </c>
      <c r="G333" s="15">
        <f t="shared" si="103"/>
        <v>0.17845198515010977</v>
      </c>
      <c r="H333" s="13">
        <f t="shared" si="104"/>
        <v>127618.81989563478</v>
      </c>
      <c r="I333" s="13">
        <f t="shared" si="105"/>
        <v>9210855.3684797864</v>
      </c>
      <c r="J333" s="15">
        <f t="shared" si="98"/>
        <v>0.82154801484989026</v>
      </c>
      <c r="K333" s="13">
        <f t="shared" si="106"/>
        <v>3349508.7523255516</v>
      </c>
      <c r="L333" s="13">
        <f t="shared" si="115"/>
        <v>262240741.55713639</v>
      </c>
      <c r="M333" s="15">
        <f t="shared" si="107"/>
        <v>0.82154801484989015</v>
      </c>
      <c r="N333" s="13">
        <f t="shared" si="99"/>
        <v>36521.786750237407</v>
      </c>
      <c r="O333" s="13">
        <f t="shared" si="108"/>
        <v>5861346.616154233</v>
      </c>
      <c r="P333" s="15">
        <f t="shared" si="100"/>
        <v>0.58976664508677934</v>
      </c>
      <c r="Q333" s="7">
        <f t="shared" si="109"/>
        <v>9938416.6008435152</v>
      </c>
      <c r="R333" s="7">
        <f t="shared" si="110"/>
        <v>4077069.9846892818</v>
      </c>
      <c r="S333" s="13">
        <f>IF('Calc (2)'!$AD$32="Sim",R333,Q333)</f>
        <v>4077069.9846892818</v>
      </c>
      <c r="T333" s="9">
        <f t="shared" si="111"/>
        <v>329</v>
      </c>
      <c r="U333" s="17">
        <f t="shared" ca="1" si="112"/>
        <v>55519</v>
      </c>
      <c r="V333" s="22"/>
      <c r="W333" s="22"/>
      <c r="X333" s="22"/>
    </row>
    <row r="334" spans="2:24" x14ac:dyDescent="0.2">
      <c r="B334" s="17">
        <f t="shared" ca="1" si="101"/>
        <v>55519</v>
      </c>
      <c r="C334" s="9">
        <f t="shared" si="113"/>
        <v>330</v>
      </c>
      <c r="D334" s="9"/>
      <c r="E334" s="13">
        <f t="shared" si="102"/>
        <v>3825.6543121895343</v>
      </c>
      <c r="F334" s="14">
        <f t="shared" si="114"/>
        <v>731386.88667591952</v>
      </c>
      <c r="G334" s="15">
        <f t="shared" si="103"/>
        <v>0.17757002869010116</v>
      </c>
      <c r="H334" s="13">
        <f t="shared" si="104"/>
        <v>129329.11139995467</v>
      </c>
      <c r="I334" s="13">
        <f t="shared" si="105"/>
        <v>9340184.4798797406</v>
      </c>
      <c r="J334" s="15">
        <f t="shared" si="98"/>
        <v>0.82242997130989881</v>
      </c>
      <c r="K334" s="13">
        <f t="shared" si="106"/>
        <v>3387477.6090456578</v>
      </c>
      <c r="L334" s="13">
        <f t="shared" si="115"/>
        <v>265628219.16618204</v>
      </c>
      <c r="M334" s="15">
        <f t="shared" si="107"/>
        <v>0.82242997130989881</v>
      </c>
      <c r="N334" s="13">
        <f t="shared" si="99"/>
        <v>37011.105134989361</v>
      </c>
      <c r="O334" s="13">
        <f t="shared" si="108"/>
        <v>5952706.8708340824</v>
      </c>
      <c r="P334" s="15">
        <f t="shared" si="100"/>
        <v>0.59104052924661221</v>
      </c>
      <c r="Q334" s="7">
        <f t="shared" si="109"/>
        <v>10071571.366555659</v>
      </c>
      <c r="R334" s="7">
        <f t="shared" si="110"/>
        <v>4118864.4957215772</v>
      </c>
      <c r="S334" s="13">
        <f>IF('Calc (2)'!$AD$32="Sim",R334,Q334)</f>
        <v>4118864.4957215772</v>
      </c>
      <c r="T334" s="9">
        <f t="shared" si="111"/>
        <v>330</v>
      </c>
      <c r="U334" s="17">
        <f t="shared" ca="1" si="112"/>
        <v>55550</v>
      </c>
      <c r="V334" s="22"/>
      <c r="W334" s="22"/>
      <c r="X334" s="22"/>
    </row>
    <row r="335" spans="2:24" x14ac:dyDescent="0.2">
      <c r="B335" s="17">
        <f t="shared" ca="1" si="101"/>
        <v>55550</v>
      </c>
      <c r="C335" s="9">
        <f t="shared" si="113"/>
        <v>331</v>
      </c>
      <c r="D335" s="9"/>
      <c r="E335" s="13">
        <f t="shared" si="102"/>
        <v>3841.2405014108426</v>
      </c>
      <c r="F335" s="14">
        <f t="shared" si="114"/>
        <v>735228.12717733032</v>
      </c>
      <c r="G335" s="15">
        <f t="shared" si="103"/>
        <v>0.17669235525581869</v>
      </c>
      <c r="H335" s="13">
        <f t="shared" si="104"/>
        <v>131061.86101388805</v>
      </c>
      <c r="I335" s="13">
        <f t="shared" si="105"/>
        <v>9471246.3408936281</v>
      </c>
      <c r="J335" s="15">
        <f t="shared" si="98"/>
        <v>0.82330764474418128</v>
      </c>
      <c r="K335" s="13">
        <f t="shared" si="106"/>
        <v>3425835.4689972322</v>
      </c>
      <c r="L335" s="13">
        <f t="shared" si="115"/>
        <v>269054054.63517928</v>
      </c>
      <c r="M335" s="15">
        <f t="shared" si="107"/>
        <v>0.82330764474418128</v>
      </c>
      <c r="N335" s="13">
        <f t="shared" si="99"/>
        <v>37506.848320585872</v>
      </c>
      <c r="O335" s="13">
        <f t="shared" si="108"/>
        <v>6045410.8718963955</v>
      </c>
      <c r="P335" s="15">
        <f t="shared" si="100"/>
        <v>0.59231136969071252</v>
      </c>
      <c r="Q335" s="7">
        <f t="shared" si="109"/>
        <v>10206474.468070958</v>
      </c>
      <c r="R335" s="7">
        <f t="shared" si="110"/>
        <v>4161063.5961745623</v>
      </c>
      <c r="S335" s="13">
        <f>IF('Calc (2)'!$AD$32="Sim",R335,Q335)</f>
        <v>4161063.5961745623</v>
      </c>
      <c r="T335" s="9">
        <f t="shared" si="111"/>
        <v>331</v>
      </c>
      <c r="U335" s="17">
        <f t="shared" ca="1" si="112"/>
        <v>55579</v>
      </c>
      <c r="V335" s="22"/>
      <c r="W335" s="22"/>
      <c r="X335" s="22"/>
    </row>
    <row r="336" spans="2:24" x14ac:dyDescent="0.2">
      <c r="B336" s="17">
        <f t="shared" ca="1" si="101"/>
        <v>55579</v>
      </c>
      <c r="C336" s="9">
        <f t="shared" si="113"/>
        <v>332</v>
      </c>
      <c r="D336" s="9"/>
      <c r="E336" s="13">
        <f t="shared" si="102"/>
        <v>3856.8901906963538</v>
      </c>
      <c r="F336" s="14">
        <f t="shared" si="114"/>
        <v>739085.01736802666</v>
      </c>
      <c r="G336" s="15">
        <f t="shared" si="103"/>
        <v>0.17581894426179354</v>
      </c>
      <c r="H336" s="13">
        <f t="shared" si="104"/>
        <v>132817.36180891315</v>
      </c>
      <c r="I336" s="13">
        <f t="shared" si="105"/>
        <v>9604063.7027025409</v>
      </c>
      <c r="J336" s="15">
        <f t="shared" si="98"/>
        <v>0.82418105573820644</v>
      </c>
      <c r="K336" s="13">
        <f t="shared" si="106"/>
        <v>3464586.0970912478</v>
      </c>
      <c r="L336" s="13">
        <f t="shared" si="115"/>
        <v>272518640.73227054</v>
      </c>
      <c r="M336" s="15">
        <f t="shared" si="107"/>
        <v>0.82418105573820655</v>
      </c>
      <c r="N336" s="13">
        <f t="shared" si="99"/>
        <v>38009.10014663171</v>
      </c>
      <c r="O336" s="13">
        <f t="shared" si="108"/>
        <v>6139477.6056112926</v>
      </c>
      <c r="P336" s="15">
        <f t="shared" si="100"/>
        <v>0.5935791674055525</v>
      </c>
      <c r="Q336" s="7">
        <f t="shared" si="109"/>
        <v>10343148.720070567</v>
      </c>
      <c r="R336" s="7">
        <f t="shared" si="110"/>
        <v>4203671.1144592743</v>
      </c>
      <c r="S336" s="13">
        <f>IF('Calc (2)'!$AD$32="Sim",R336,Q336)</f>
        <v>4203671.1144592743</v>
      </c>
      <c r="T336" s="9">
        <f t="shared" si="111"/>
        <v>332</v>
      </c>
      <c r="U336" s="17">
        <f t="shared" ca="1" si="112"/>
        <v>55610</v>
      </c>
      <c r="V336" s="22"/>
      <c r="W336" s="22"/>
      <c r="X336" s="22"/>
    </row>
    <row r="337" spans="2:24" x14ac:dyDescent="0.2">
      <c r="B337" s="17">
        <f t="shared" ca="1" si="101"/>
        <v>55610</v>
      </c>
      <c r="C337" s="9">
        <f t="shared" si="113"/>
        <v>333</v>
      </c>
      <c r="D337" s="9"/>
      <c r="E337" s="13">
        <f t="shared" si="102"/>
        <v>3872.6036387531899</v>
      </c>
      <c r="F337" s="14">
        <f t="shared" si="114"/>
        <v>742957.62100677984</v>
      </c>
      <c r="G337" s="15">
        <f t="shared" si="103"/>
        <v>0.17494977522515193</v>
      </c>
      <c r="H337" s="13">
        <f t="shared" si="104"/>
        <v>134595.91067361485</v>
      </c>
      <c r="I337" s="13">
        <f t="shared" si="105"/>
        <v>9738659.6133761555</v>
      </c>
      <c r="J337" s="15">
        <f t="shared" si="98"/>
        <v>0.82505022477484813</v>
      </c>
      <c r="K337" s="13">
        <f t="shared" si="106"/>
        <v>3503733.2938608113</v>
      </c>
      <c r="L337" s="13">
        <f t="shared" si="115"/>
        <v>276022374.02613133</v>
      </c>
      <c r="M337" s="15">
        <f t="shared" si="107"/>
        <v>0.82505022477484813</v>
      </c>
      <c r="N337" s="13">
        <f t="shared" si="99"/>
        <v>38517.94554469132</v>
      </c>
      <c r="O337" s="13">
        <f t="shared" si="108"/>
        <v>6234926.3195153438</v>
      </c>
      <c r="P337" s="15">
        <f t="shared" si="100"/>
        <v>0.59484392342270087</v>
      </c>
      <c r="Q337" s="7">
        <f t="shared" si="109"/>
        <v>10481617.234382935</v>
      </c>
      <c r="R337" s="7">
        <f t="shared" si="110"/>
        <v>4246690.9148675911</v>
      </c>
      <c r="S337" s="13">
        <f>IF('Calc (2)'!$AD$32="Sim",R337,Q337)</f>
        <v>4246690.9148675911</v>
      </c>
      <c r="T337" s="9">
        <f t="shared" si="111"/>
        <v>333</v>
      </c>
      <c r="U337" s="17">
        <f t="shared" ca="1" si="112"/>
        <v>55640</v>
      </c>
      <c r="V337" s="22"/>
      <c r="W337" s="22"/>
      <c r="X337" s="22"/>
    </row>
    <row r="338" spans="2:24" x14ac:dyDescent="0.2">
      <c r="B338" s="17">
        <f t="shared" ca="1" si="101"/>
        <v>55640</v>
      </c>
      <c r="C338" s="9">
        <f t="shared" si="113"/>
        <v>334</v>
      </c>
      <c r="D338" s="9"/>
      <c r="E338" s="13">
        <f t="shared" si="102"/>
        <v>3888.3811053424774</v>
      </c>
      <c r="F338" s="14">
        <f t="shared" si="114"/>
        <v>746846.00211212237</v>
      </c>
      <c r="G338" s="15">
        <f t="shared" si="103"/>
        <v>0.17408482776499187</v>
      </c>
      <c r="H338" s="13">
        <f t="shared" si="104"/>
        <v>136397.80836337066</v>
      </c>
      <c r="I338" s="13">
        <f t="shared" si="105"/>
        <v>9875057.4217395261</v>
      </c>
      <c r="J338" s="15">
        <f t="shared" si="98"/>
        <v>0.8259151722350081</v>
      </c>
      <c r="K338" s="13">
        <f t="shared" si="106"/>
        <v>3543280.8957950119</v>
      </c>
      <c r="L338" s="13">
        <f t="shared" si="115"/>
        <v>279565654.92192632</v>
      </c>
      <c r="M338" s="15">
        <f t="shared" si="107"/>
        <v>0.8259151722350081</v>
      </c>
      <c r="N338" s="13">
        <f t="shared" si="99"/>
        <v>39033.470552502418</v>
      </c>
      <c r="O338" s="13">
        <f t="shared" si="108"/>
        <v>6331776.5259445142</v>
      </c>
      <c r="P338" s="15">
        <f t="shared" si="100"/>
        <v>0.59610563881859557</v>
      </c>
      <c r="Q338" s="7">
        <f t="shared" si="109"/>
        <v>10621903.423851648</v>
      </c>
      <c r="R338" s="7">
        <f t="shared" si="110"/>
        <v>4290126.8979071341</v>
      </c>
      <c r="S338" s="13">
        <f>IF('Calc (2)'!$AD$32="Sim",R338,Q338)</f>
        <v>4290126.8979071341</v>
      </c>
      <c r="T338" s="9">
        <f t="shared" si="111"/>
        <v>334</v>
      </c>
      <c r="U338" s="17">
        <f t="shared" ca="1" si="112"/>
        <v>55671</v>
      </c>
      <c r="V338" s="22"/>
      <c r="W338" s="22"/>
      <c r="X338" s="22"/>
    </row>
    <row r="339" spans="2:24" x14ac:dyDescent="0.2">
      <c r="B339" s="17">
        <f t="shared" ca="1" si="101"/>
        <v>55671</v>
      </c>
      <c r="C339" s="9">
        <f t="shared" si="113"/>
        <v>335</v>
      </c>
      <c r="D339" s="9"/>
      <c r="E339" s="13">
        <f t="shared" si="102"/>
        <v>3904.2228512836423</v>
      </c>
      <c r="F339" s="14">
        <f t="shared" si="114"/>
        <v>750750.22496340598</v>
      </c>
      <c r="G339" s="15">
        <f t="shared" si="103"/>
        <v>0.17322408160176583</v>
      </c>
      <c r="H339" s="13">
        <f t="shared" si="104"/>
        <v>138223.35955068297</v>
      </c>
      <c r="I339" s="13">
        <f t="shared" si="105"/>
        <v>10013280.781290209</v>
      </c>
      <c r="J339" s="15">
        <f t="shared" si="98"/>
        <v>0.82677591839823417</v>
      </c>
      <c r="K339" s="13">
        <f t="shared" si="106"/>
        <v>3583232.7756758817</v>
      </c>
      <c r="L339" s="13">
        <f t="shared" si="115"/>
        <v>283148887.69760221</v>
      </c>
      <c r="M339" s="15">
        <f t="shared" si="107"/>
        <v>0.82677591839823417</v>
      </c>
      <c r="N339" s="13">
        <f t="shared" si="99"/>
        <v>39555.762328374527</v>
      </c>
      <c r="O339" s="13">
        <f t="shared" si="108"/>
        <v>6430048.0056143273</v>
      </c>
      <c r="P339" s="15">
        <f t="shared" si="100"/>
        <v>0.59736431471431484</v>
      </c>
      <c r="Q339" s="7">
        <f t="shared" si="109"/>
        <v>10764031.006253615</v>
      </c>
      <c r="R339" s="7">
        <f t="shared" si="110"/>
        <v>4333983.0006392878</v>
      </c>
      <c r="S339" s="13">
        <f>IF('Calc (2)'!$AD$32="Sim",R339,Q339)</f>
        <v>4333983.0006392878</v>
      </c>
      <c r="T339" s="9">
        <f t="shared" si="111"/>
        <v>335</v>
      </c>
      <c r="U339" s="17">
        <f t="shared" ca="1" si="112"/>
        <v>55701</v>
      </c>
      <c r="V339" s="22"/>
      <c r="W339" s="22"/>
      <c r="X339" s="22"/>
    </row>
    <row r="340" spans="2:24" x14ac:dyDescent="0.2">
      <c r="B340" s="17">
        <f t="shared" ca="1" si="101"/>
        <v>55701</v>
      </c>
      <c r="C340" s="9">
        <f t="shared" si="113"/>
        <v>336</v>
      </c>
      <c r="D340" s="9">
        <v>28</v>
      </c>
      <c r="E340" s="13">
        <f t="shared" si="102"/>
        <v>3920.1291384587203</v>
      </c>
      <c r="F340" s="14">
        <f t="shared" si="114"/>
        <v>754670.35410186474</v>
      </c>
      <c r="G340" s="15">
        <f t="shared" si="103"/>
        <v>0.17236751655666935</v>
      </c>
      <c r="H340" s="13">
        <f t="shared" si="104"/>
        <v>140072.87287616683</v>
      </c>
      <c r="I340" s="13">
        <f t="shared" si="105"/>
        <v>10153353.654166376</v>
      </c>
      <c r="J340" s="15">
        <f t="shared" si="98"/>
        <v>0.82763248344333062</v>
      </c>
      <c r="K340" s="13">
        <f t="shared" si="106"/>
        <v>3623592.8429185059</v>
      </c>
      <c r="L340" s="13">
        <f t="shared" si="115"/>
        <v>286772480.54052073</v>
      </c>
      <c r="M340" s="15">
        <f t="shared" si="107"/>
        <v>0.82763248344333074</v>
      </c>
      <c r="N340" s="13">
        <f t="shared" si="99"/>
        <v>40084.909165774996</v>
      </c>
      <c r="O340" s="13">
        <f t="shared" si="108"/>
        <v>6529760.8112478703</v>
      </c>
      <c r="P340" s="15">
        <f t="shared" si="100"/>
        <v>0.5986199522753467</v>
      </c>
      <c r="Q340" s="7">
        <f t="shared" si="109"/>
        <v>10908024.008268241</v>
      </c>
      <c r="R340" s="7">
        <f t="shared" si="110"/>
        <v>4378263.1970203705</v>
      </c>
      <c r="S340" s="13">
        <f>IF('Calc (2)'!$AD$32="Sim",R340,Q340)</f>
        <v>4378263.1970203705</v>
      </c>
      <c r="T340" s="9">
        <f t="shared" si="111"/>
        <v>336</v>
      </c>
      <c r="U340" s="17">
        <f t="shared" ca="1" si="112"/>
        <v>55732</v>
      </c>
      <c r="V340" s="22"/>
      <c r="W340" s="22"/>
      <c r="X340" s="22"/>
    </row>
    <row r="341" spans="2:24" x14ac:dyDescent="0.2">
      <c r="B341" s="17">
        <f t="shared" ca="1" si="101"/>
        <v>55732</v>
      </c>
      <c r="C341" s="9">
        <f t="shared" si="113"/>
        <v>337</v>
      </c>
      <c r="D341" s="9"/>
      <c r="E341" s="13">
        <f t="shared" si="102"/>
        <v>3936.1002298166877</v>
      </c>
      <c r="F341" s="14">
        <f t="shared" si="114"/>
        <v>758606.45433168148</v>
      </c>
      <c r="G341" s="15">
        <f t="shared" si="103"/>
        <v>0.17151511255103535</v>
      </c>
      <c r="H341" s="13">
        <f t="shared" si="104"/>
        <v>141946.6610002009</v>
      </c>
      <c r="I341" s="13">
        <f t="shared" si="105"/>
        <v>10295300.315166578</v>
      </c>
      <c r="J341" s="15">
        <f t="shared" si="98"/>
        <v>0.82848488744896465</v>
      </c>
      <c r="K341" s="13">
        <f t="shared" si="106"/>
        <v>3664365.0439143027</v>
      </c>
      <c r="L341" s="13">
        <f t="shared" si="115"/>
        <v>290436845.58443505</v>
      </c>
      <c r="M341" s="15">
        <f t="shared" si="107"/>
        <v>0.82848488744896465</v>
      </c>
      <c r="N341" s="13">
        <f t="shared" si="99"/>
        <v>40621.000508104749</v>
      </c>
      <c r="O341" s="13">
        <f t="shared" si="108"/>
        <v>6630935.2712522745</v>
      </c>
      <c r="P341" s="15">
        <f t="shared" si="100"/>
        <v>0.59987255271135742</v>
      </c>
      <c r="Q341" s="7">
        <f t="shared" si="109"/>
        <v>11053906.769498259</v>
      </c>
      <c r="R341" s="7">
        <f t="shared" si="110"/>
        <v>4422971.4982459843</v>
      </c>
      <c r="S341" s="13">
        <f>IF('Calc (2)'!$AD$32="Sim",R341,Q341)</f>
        <v>4422971.4982459843</v>
      </c>
      <c r="T341" s="9">
        <f t="shared" si="111"/>
        <v>337</v>
      </c>
      <c r="U341" s="17">
        <f t="shared" ca="1" si="112"/>
        <v>55763</v>
      </c>
      <c r="V341" s="22"/>
      <c r="W341" s="22"/>
      <c r="X341" s="22"/>
    </row>
    <row r="342" spans="2:24" x14ac:dyDescent="0.2">
      <c r="B342" s="17">
        <f t="shared" ca="1" si="101"/>
        <v>55763</v>
      </c>
      <c r="C342" s="9">
        <f t="shared" si="113"/>
        <v>338</v>
      </c>
      <c r="D342" s="9"/>
      <c r="E342" s="13">
        <f t="shared" si="102"/>
        <v>3952.1363893778075</v>
      </c>
      <c r="F342" s="14">
        <f t="shared" si="114"/>
        <v>762558.59072105924</v>
      </c>
      <c r="G342" s="15">
        <f t="shared" si="103"/>
        <v>0.17066684960573461</v>
      </c>
      <c r="H342" s="13">
        <f t="shared" si="104"/>
        <v>143845.04065525063</v>
      </c>
      <c r="I342" s="13">
        <f t="shared" si="105"/>
        <v>10439145.355821827</v>
      </c>
      <c r="J342" s="15">
        <f t="shared" si="98"/>
        <v>0.82933315039426536</v>
      </c>
      <c r="K342" s="13">
        <f t="shared" si="106"/>
        <v>3705553.3623775137</v>
      </c>
      <c r="L342" s="13">
        <f t="shared" si="115"/>
        <v>294142398.94681257</v>
      </c>
      <c r="M342" s="15">
        <f t="shared" si="107"/>
        <v>0.82933315039426547</v>
      </c>
      <c r="N342" s="13">
        <f t="shared" si="99"/>
        <v>41164.126963666378</v>
      </c>
      <c r="O342" s="13">
        <f t="shared" si="108"/>
        <v>6733591.9934443142</v>
      </c>
      <c r="P342" s="15">
        <f t="shared" si="100"/>
        <v>0.60112211727595799</v>
      </c>
      <c r="Q342" s="7">
        <f t="shared" si="109"/>
        <v>11201703.946542887</v>
      </c>
      <c r="R342" s="7">
        <f t="shared" si="110"/>
        <v>4468111.9530985728</v>
      </c>
      <c r="S342" s="13">
        <f>IF('Calc (2)'!$AD$32="Sim",R342,Q342)</f>
        <v>4468111.9530985728</v>
      </c>
      <c r="T342" s="9">
        <f t="shared" si="111"/>
        <v>338</v>
      </c>
      <c r="U342" s="17">
        <f t="shared" ca="1" si="112"/>
        <v>55793</v>
      </c>
      <c r="V342" s="22"/>
      <c r="W342" s="22"/>
      <c r="X342" s="22"/>
    </row>
    <row r="343" spans="2:24" x14ac:dyDescent="0.2">
      <c r="B343" s="17">
        <f t="shared" ca="1" si="101"/>
        <v>55793</v>
      </c>
      <c r="C343" s="9">
        <f t="shared" si="113"/>
        <v>339</v>
      </c>
      <c r="D343" s="9"/>
      <c r="E343" s="13">
        <f t="shared" si="102"/>
        <v>3968.2378822379937</v>
      </c>
      <c r="F343" s="14">
        <f t="shared" si="114"/>
        <v>766526.82860329724</v>
      </c>
      <c r="G343" s="15">
        <f t="shared" si="103"/>
        <v>0.16982270784058154</v>
      </c>
      <c r="H343" s="13">
        <f t="shared" si="104"/>
        <v>145768.33269887269</v>
      </c>
      <c r="I343" s="13">
        <f t="shared" si="105"/>
        <v>10584913.6885207</v>
      </c>
      <c r="J343" s="15">
        <f t="shared" si="98"/>
        <v>0.83017729215941849</v>
      </c>
      <c r="K343" s="13">
        <f t="shared" si="106"/>
        <v>3747161.8196949176</v>
      </c>
      <c r="L343" s="13">
        <f t="shared" si="115"/>
        <v>297889560.76650751</v>
      </c>
      <c r="M343" s="15">
        <f t="shared" si="107"/>
        <v>0.83017729215941838</v>
      </c>
      <c r="N343" s="13">
        <f t="shared" si="99"/>
        <v>41714.380320827018</v>
      </c>
      <c r="O343" s="13">
        <f t="shared" si="108"/>
        <v>6837751.8688257821</v>
      </c>
      <c r="P343" s="15">
        <f t="shared" si="100"/>
        <v>0.6023686472664701</v>
      </c>
      <c r="Q343" s="7">
        <f t="shared" si="109"/>
        <v>11351440.517123997</v>
      </c>
      <c r="R343" s="7">
        <f t="shared" si="110"/>
        <v>4513688.6482982151</v>
      </c>
      <c r="S343" s="13">
        <f>IF('Calc (2)'!$AD$32="Sim",R343,Q343)</f>
        <v>4513688.6482982151</v>
      </c>
      <c r="T343" s="9">
        <f t="shared" si="111"/>
        <v>339</v>
      </c>
      <c r="U343" s="17">
        <f t="shared" ca="1" si="112"/>
        <v>55824</v>
      </c>
      <c r="V343" s="22"/>
      <c r="W343" s="22"/>
      <c r="X343" s="22"/>
    </row>
    <row r="344" spans="2:24" x14ac:dyDescent="0.2">
      <c r="B344" s="17">
        <f t="shared" ca="1" si="101"/>
        <v>55824</v>
      </c>
      <c r="C344" s="9">
        <f t="shared" si="113"/>
        <v>340</v>
      </c>
      <c r="D344" s="9"/>
      <c r="E344" s="13">
        <f t="shared" si="102"/>
        <v>3984.4049745731941</v>
      </c>
      <c r="F344" s="14">
        <f t="shared" si="114"/>
        <v>770511.23357787041</v>
      </c>
      <c r="G344" s="15">
        <f t="shared" si="103"/>
        <v>0.16898266747374577</v>
      </c>
      <c r="H344" s="13">
        <f t="shared" si="104"/>
        <v>147716.86216740875</v>
      </c>
      <c r="I344" s="13">
        <f t="shared" si="105"/>
        <v>10732630.550688108</v>
      </c>
      <c r="J344" s="15">
        <f t="shared" si="98"/>
        <v>0.8310173325262542</v>
      </c>
      <c r="K344" s="13">
        <f t="shared" si="106"/>
        <v>3789194.4752788204</v>
      </c>
      <c r="L344" s="13">
        <f t="shared" si="115"/>
        <v>301678755.2417863</v>
      </c>
      <c r="M344" s="15">
        <f t="shared" si="107"/>
        <v>0.8310173325262542</v>
      </c>
      <c r="N344" s="13">
        <f t="shared" si="99"/>
        <v>42271.85356337855</v>
      </c>
      <c r="O344" s="13">
        <f t="shared" si="108"/>
        <v>6943436.0754092876</v>
      </c>
      <c r="P344" s="15">
        <f t="shared" si="100"/>
        <v>0.60361214402369046</v>
      </c>
      <c r="Q344" s="7">
        <f t="shared" si="109"/>
        <v>11503141.784265978</v>
      </c>
      <c r="R344" s="7">
        <f t="shared" si="110"/>
        <v>4559705.7088566907</v>
      </c>
      <c r="S344" s="13">
        <f>IF('Calc (2)'!$AD$32="Sim",R344,Q344)</f>
        <v>4559705.7088566907</v>
      </c>
      <c r="T344" s="9">
        <f t="shared" si="111"/>
        <v>340</v>
      </c>
      <c r="U344" s="17">
        <f t="shared" ca="1" si="112"/>
        <v>55854</v>
      </c>
      <c r="V344" s="22"/>
      <c r="W344" s="22"/>
      <c r="X344" s="22"/>
    </row>
    <row r="345" spans="2:24" x14ac:dyDescent="0.2">
      <c r="B345" s="17">
        <f t="shared" ca="1" si="101"/>
        <v>55854</v>
      </c>
      <c r="C345" s="9">
        <f t="shared" si="113"/>
        <v>341</v>
      </c>
      <c r="D345" s="9"/>
      <c r="E345" s="13">
        <f t="shared" si="102"/>
        <v>4000.6379336437894</v>
      </c>
      <c r="F345" s="14">
        <f t="shared" si="114"/>
        <v>774511.87151151418</v>
      </c>
      <c r="G345" s="15">
        <f t="shared" si="103"/>
        <v>0.16814670882116906</v>
      </c>
      <c r="H345" s="13">
        <f t="shared" si="104"/>
        <v>149690.95833037843</v>
      </c>
      <c r="I345" s="13">
        <f t="shared" si="105"/>
        <v>10882321.509018486</v>
      </c>
      <c r="J345" s="15">
        <f t="shared" si="98"/>
        <v>0.831853291178831</v>
      </c>
      <c r="K345" s="13">
        <f t="shared" si="106"/>
        <v>3831655.4269233271</v>
      </c>
      <c r="L345" s="13">
        <f t="shared" si="115"/>
        <v>305510410.66870964</v>
      </c>
      <c r="M345" s="15">
        <f t="shared" si="107"/>
        <v>0.83185329117883089</v>
      </c>
      <c r="N345" s="13">
        <f t="shared" si="99"/>
        <v>42836.640886097724</v>
      </c>
      <c r="O345" s="13">
        <f t="shared" si="108"/>
        <v>7050666.0820951583</v>
      </c>
      <c r="P345" s="15">
        <f t="shared" si="100"/>
        <v>0.60485260893165371</v>
      </c>
      <c r="Q345" s="7">
        <f t="shared" si="109"/>
        <v>11656833.38053</v>
      </c>
      <c r="R345" s="7">
        <f t="shared" si="110"/>
        <v>4606167.2984348414</v>
      </c>
      <c r="S345" s="13">
        <f>IF('Calc (2)'!$AD$32="Sim",R345,Q345)</f>
        <v>4606167.2984348414</v>
      </c>
      <c r="T345" s="9">
        <f t="shared" si="111"/>
        <v>341</v>
      </c>
      <c r="U345" s="17">
        <f t="shared" ca="1" si="112"/>
        <v>55885</v>
      </c>
      <c r="V345" s="22"/>
      <c r="W345" s="22"/>
      <c r="X345" s="22"/>
    </row>
    <row r="346" spans="2:24" x14ac:dyDescent="0.2">
      <c r="B346" s="17">
        <f t="shared" ca="1" si="101"/>
        <v>55885</v>
      </c>
      <c r="C346" s="9">
        <f t="shared" si="113"/>
        <v>342</v>
      </c>
      <c r="D346" s="9"/>
      <c r="E346" s="13">
        <f t="shared" si="102"/>
        <v>4016.9370277990133</v>
      </c>
      <c r="F346" s="14">
        <f t="shared" si="114"/>
        <v>778528.80853931315</v>
      </c>
      <c r="G346" s="15">
        <f t="shared" si="103"/>
        <v>0.1673148122959878</v>
      </c>
      <c r="H346" s="13">
        <f t="shared" si="104"/>
        <v>151690.95474557998</v>
      </c>
      <c r="I346" s="13">
        <f t="shared" si="105"/>
        <v>11034012.463764066</v>
      </c>
      <c r="J346" s="15">
        <f t="shared" si="98"/>
        <v>0.83268518770401223</v>
      </c>
      <c r="K346" s="13">
        <f t="shared" si="106"/>
        <v>3874548.8111639498</v>
      </c>
      <c r="L346" s="13">
        <f t="shared" si="115"/>
        <v>309384959.4798736</v>
      </c>
      <c r="M346" s="15">
        <f t="shared" si="107"/>
        <v>0.83268518770401223</v>
      </c>
      <c r="N346" s="13">
        <f t="shared" si="99"/>
        <v>43408.837710508742</v>
      </c>
      <c r="O346" s="13">
        <f t="shared" si="108"/>
        <v>7159463.6526001152</v>
      </c>
      <c r="P346" s="15">
        <f t="shared" si="100"/>
        <v>0.60609004341739414</v>
      </c>
      <c r="Q346" s="7">
        <f t="shared" si="109"/>
        <v>11812541.272303378</v>
      </c>
      <c r="R346" s="7">
        <f t="shared" si="110"/>
        <v>4653077.619703263</v>
      </c>
      <c r="S346" s="13">
        <f>IF('Calc (2)'!$AD$32="Sim",R346,Q346)</f>
        <v>4653077.619703263</v>
      </c>
      <c r="T346" s="9">
        <f t="shared" si="111"/>
        <v>342</v>
      </c>
      <c r="U346" s="17">
        <f t="shared" ca="1" si="112"/>
        <v>55916</v>
      </c>
      <c r="V346" s="22"/>
      <c r="W346" s="22"/>
      <c r="X346" s="22"/>
    </row>
    <row r="347" spans="2:24" x14ac:dyDescent="0.2">
      <c r="B347" s="17">
        <f t="shared" ca="1" si="101"/>
        <v>55916</v>
      </c>
      <c r="C347" s="9">
        <f t="shared" si="113"/>
        <v>343</v>
      </c>
      <c r="D347" s="9"/>
      <c r="E347" s="13">
        <f t="shared" si="102"/>
        <v>4033.3025264813868</v>
      </c>
      <c r="F347" s="14">
        <f t="shared" si="114"/>
        <v>782562.11106579448</v>
      </c>
      <c r="G347" s="15">
        <f t="shared" si="103"/>
        <v>0.16648695840796074</v>
      </c>
      <c r="H347" s="13">
        <f t="shared" si="104"/>
        <v>153717.18931490788</v>
      </c>
      <c r="I347" s="13">
        <f t="shared" si="105"/>
        <v>11187729.653078973</v>
      </c>
      <c r="J347" s="15">
        <f t="shared" si="98"/>
        <v>0.83351304159203932</v>
      </c>
      <c r="K347" s="13">
        <f t="shared" si="106"/>
        <v>3917878.803640564</v>
      </c>
      <c r="L347" s="13">
        <f t="shared" si="115"/>
        <v>313302838.28351414</v>
      </c>
      <c r="M347" s="15">
        <f t="shared" si="107"/>
        <v>0.83351304159203921</v>
      </c>
      <c r="N347" s="13">
        <f t="shared" si="99"/>
        <v>43988.540700851016</v>
      </c>
      <c r="O347" s="13">
        <f t="shared" si="108"/>
        <v>7269850.8494384084</v>
      </c>
      <c r="P347" s="15">
        <f t="shared" si="100"/>
        <v>0.60732444895070714</v>
      </c>
      <c r="Q347" s="7">
        <f t="shared" si="109"/>
        <v>11970291.764144767</v>
      </c>
      <c r="R347" s="7">
        <f t="shared" si="110"/>
        <v>4700440.9147063587</v>
      </c>
      <c r="S347" s="13">
        <f>IF('Calc (2)'!$AD$32="Sim",R347,Q347)</f>
        <v>4700440.9147063587</v>
      </c>
      <c r="T347" s="9">
        <f t="shared" si="111"/>
        <v>343</v>
      </c>
      <c r="U347" s="17">
        <f t="shared" ca="1" si="112"/>
        <v>55944</v>
      </c>
      <c r="V347" s="22"/>
      <c r="W347" s="22"/>
      <c r="X347" s="22"/>
    </row>
    <row r="348" spans="2:24" x14ac:dyDescent="0.2">
      <c r="B348" s="17">
        <f t="shared" ca="1" si="101"/>
        <v>55944</v>
      </c>
      <c r="C348" s="9">
        <f t="shared" si="113"/>
        <v>344</v>
      </c>
      <c r="D348" s="9"/>
      <c r="E348" s="13">
        <f t="shared" si="102"/>
        <v>4049.7347002311735</v>
      </c>
      <c r="F348" s="14">
        <f t="shared" si="114"/>
        <v>786611.84576602571</v>
      </c>
      <c r="G348" s="15">
        <f t="shared" si="103"/>
        <v>0.16566312776290207</v>
      </c>
      <c r="H348" s="13">
        <f t="shared" si="104"/>
        <v>155770.00434089714</v>
      </c>
      <c r="I348" s="13">
        <f t="shared" si="105"/>
        <v>11343499.65741987</v>
      </c>
      <c r="J348" s="15">
        <f t="shared" si="98"/>
        <v>0.83433687223709796</v>
      </c>
      <c r="K348" s="13">
        <f t="shared" si="106"/>
        <v>3961649.6194637548</v>
      </c>
      <c r="L348" s="13">
        <f t="shared" si="115"/>
        <v>317264487.90297788</v>
      </c>
      <c r="M348" s="15">
        <f t="shared" si="107"/>
        <v>0.83433687223709796</v>
      </c>
      <c r="N348" s="13">
        <f t="shared" si="99"/>
        <v>44575.847780254713</v>
      </c>
      <c r="O348" s="13">
        <f t="shared" si="108"/>
        <v>7381850.0379561139</v>
      </c>
      <c r="P348" s="15">
        <f t="shared" si="100"/>
        <v>0.60855582704390798</v>
      </c>
      <c r="Q348" s="7">
        <f t="shared" si="109"/>
        <v>12130111.503185894</v>
      </c>
      <c r="R348" s="7">
        <f t="shared" si="110"/>
        <v>4748261.4652297804</v>
      </c>
      <c r="S348" s="13">
        <f>IF('Calc (2)'!$AD$32="Sim",R348,Q348)</f>
        <v>4748261.4652297804</v>
      </c>
      <c r="T348" s="9">
        <f t="shared" si="111"/>
        <v>344</v>
      </c>
      <c r="U348" s="17">
        <f t="shared" ca="1" si="112"/>
        <v>55975</v>
      </c>
      <c r="V348" s="22"/>
      <c r="W348" s="22"/>
      <c r="X348" s="22"/>
    </row>
    <row r="349" spans="2:24" x14ac:dyDescent="0.2">
      <c r="B349" s="17">
        <f t="shared" ca="1" si="101"/>
        <v>55975</v>
      </c>
      <c r="C349" s="9">
        <f t="shared" si="113"/>
        <v>345</v>
      </c>
      <c r="D349" s="9"/>
      <c r="E349" s="13">
        <f t="shared" si="102"/>
        <v>4066.2338206908512</v>
      </c>
      <c r="F349" s="14">
        <f t="shared" si="114"/>
        <v>790678.0795867166</v>
      </c>
      <c r="G349" s="15">
        <f t="shared" si="103"/>
        <v>0.16484330106211942</v>
      </c>
      <c r="H349" s="13">
        <f t="shared" si="104"/>
        <v>157849.74658400327</v>
      </c>
      <c r="I349" s="13">
        <f t="shared" si="105"/>
        <v>11501349.404003873</v>
      </c>
      <c r="J349" s="15">
        <f t="shared" si="98"/>
        <v>0.83515669893788058</v>
      </c>
      <c r="K349" s="13">
        <f t="shared" si="106"/>
        <v>4005865.5135845831</v>
      </c>
      <c r="L349" s="13">
        <f t="shared" si="115"/>
        <v>321270353.41656244</v>
      </c>
      <c r="M349" s="15">
        <f t="shared" si="107"/>
        <v>0.83515669893788058</v>
      </c>
      <c r="N349" s="13">
        <f t="shared" si="99"/>
        <v>45170.858147126834</v>
      </c>
      <c r="O349" s="13">
        <f t="shared" si="108"/>
        <v>7495483.8904192904</v>
      </c>
      <c r="P349" s="15">
        <f t="shared" si="100"/>
        <v>0.60978417925159123</v>
      </c>
      <c r="Q349" s="7">
        <f t="shared" si="109"/>
        <v>12292027.48359059</v>
      </c>
      <c r="R349" s="7">
        <f t="shared" si="110"/>
        <v>4796543.5931712994</v>
      </c>
      <c r="S349" s="13">
        <f>IF('Calc (2)'!$AD$32="Sim",R349,Q349)</f>
        <v>4796543.5931712994</v>
      </c>
      <c r="T349" s="9">
        <f t="shared" si="111"/>
        <v>345</v>
      </c>
      <c r="U349" s="17">
        <f t="shared" ca="1" si="112"/>
        <v>56005</v>
      </c>
      <c r="V349" s="22"/>
      <c r="W349" s="22"/>
      <c r="X349" s="22"/>
    </row>
    <row r="350" spans="2:24" x14ac:dyDescent="0.2">
      <c r="B350" s="17">
        <f t="shared" ca="1" si="101"/>
        <v>56005</v>
      </c>
      <c r="C350" s="9">
        <f t="shared" si="113"/>
        <v>346</v>
      </c>
      <c r="D350" s="9"/>
      <c r="E350" s="13">
        <f t="shared" si="102"/>
        <v>4082.8001606096032</v>
      </c>
      <c r="F350" s="14">
        <f t="shared" si="114"/>
        <v>794760.87974732625</v>
      </c>
      <c r="G350" s="15">
        <f t="shared" si="103"/>
        <v>0.1640274591018574</v>
      </c>
      <c r="H350" s="13">
        <f t="shared" si="104"/>
        <v>159956.7673206279</v>
      </c>
      <c r="I350" s="13">
        <f t="shared" si="105"/>
        <v>11661306.171324501</v>
      </c>
      <c r="J350" s="15">
        <f t="shared" si="98"/>
        <v>0.83597254089814266</v>
      </c>
      <c r="K350" s="13">
        <f t="shared" si="106"/>
        <v>4050530.7811677977</v>
      </c>
      <c r="L350" s="13">
        <f t="shared" si="115"/>
        <v>325320884.19773024</v>
      </c>
      <c r="M350" s="15">
        <f t="shared" si="107"/>
        <v>0.83597254089814255</v>
      </c>
      <c r="N350" s="13">
        <f t="shared" si="99"/>
        <v>45773.672291750481</v>
      </c>
      <c r="O350" s="13">
        <f t="shared" si="108"/>
        <v>7610775.3901567021</v>
      </c>
      <c r="P350" s="15">
        <f t="shared" si="100"/>
        <v>0.61100950717038782</v>
      </c>
      <c r="Q350" s="7">
        <f t="shared" si="109"/>
        <v>12456067.051071826</v>
      </c>
      <c r="R350" s="7">
        <f t="shared" si="110"/>
        <v>4845291.6609151242</v>
      </c>
      <c r="S350" s="13">
        <f>IF('Calc (2)'!$AD$32="Sim",R350,Q350)</f>
        <v>4845291.6609151242</v>
      </c>
      <c r="T350" s="9">
        <f t="shared" si="111"/>
        <v>346</v>
      </c>
      <c r="U350" s="17">
        <f t="shared" ca="1" si="112"/>
        <v>56036</v>
      </c>
      <c r="V350" s="22"/>
      <c r="W350" s="22"/>
      <c r="X350" s="22"/>
    </row>
    <row r="351" spans="2:24" x14ac:dyDescent="0.2">
      <c r="B351" s="17">
        <f t="shared" ca="1" si="101"/>
        <v>56036</v>
      </c>
      <c r="C351" s="9">
        <f t="shared" si="113"/>
        <v>347</v>
      </c>
      <c r="D351" s="9"/>
      <c r="E351" s="13">
        <f t="shared" si="102"/>
        <v>4099.4339938478261</v>
      </c>
      <c r="F351" s="14">
        <f t="shared" si="114"/>
        <v>798860.31374117406</v>
      </c>
      <c r="G351" s="15">
        <f t="shared" si="103"/>
        <v>0.16321558277274564</v>
      </c>
      <c r="H351" s="13">
        <f t="shared" si="104"/>
        <v>162091.42240189915</v>
      </c>
      <c r="I351" s="13">
        <f t="shared" si="105"/>
        <v>11823397.5937264</v>
      </c>
      <c r="J351" s="15">
        <f t="shared" si="98"/>
        <v>0.83678441722725438</v>
      </c>
      <c r="K351" s="13">
        <f t="shared" si="106"/>
        <v>4095649.7579685398</v>
      </c>
      <c r="L351" s="13">
        <f t="shared" si="115"/>
        <v>329416533.95569879</v>
      </c>
      <c r="M351" s="15">
        <f t="shared" si="107"/>
        <v>0.83678441722725438</v>
      </c>
      <c r="N351" s="13">
        <f t="shared" si="99"/>
        <v>46384.392013100223</v>
      </c>
      <c r="O351" s="13">
        <f t="shared" si="108"/>
        <v>7727747.83575786</v>
      </c>
      <c r="P351" s="15">
        <f t="shared" si="100"/>
        <v>0.61223181243872171</v>
      </c>
      <c r="Q351" s="7">
        <f t="shared" si="109"/>
        <v>12622257.907467574</v>
      </c>
      <c r="R351" s="7">
        <f t="shared" si="110"/>
        <v>4894510.0717097139</v>
      </c>
      <c r="S351" s="13">
        <f>IF('Calc (2)'!$AD$32="Sim",R351,Q351)</f>
        <v>4894510.0717097139</v>
      </c>
      <c r="T351" s="9">
        <f t="shared" si="111"/>
        <v>347</v>
      </c>
      <c r="U351" s="17">
        <f t="shared" ca="1" si="112"/>
        <v>56066</v>
      </c>
      <c r="V351" s="22"/>
      <c r="W351" s="22"/>
      <c r="X351" s="22"/>
    </row>
    <row r="352" spans="2:24" x14ac:dyDescent="0.2">
      <c r="B352" s="17">
        <f t="shared" ca="1" si="101"/>
        <v>56066</v>
      </c>
      <c r="C352" s="9">
        <f t="shared" si="113"/>
        <v>348</v>
      </c>
      <c r="D352" s="9">
        <v>29</v>
      </c>
      <c r="E352" s="13">
        <f t="shared" si="102"/>
        <v>4116.1355953816583</v>
      </c>
      <c r="F352" s="14">
        <f t="shared" si="114"/>
        <v>802976.44933655567</v>
      </c>
      <c r="G352" s="15">
        <f t="shared" si="103"/>
        <v>0.16240765305925231</v>
      </c>
      <c r="H352" s="13">
        <f t="shared" si="104"/>
        <v>164254.07231321756</v>
      </c>
      <c r="I352" s="13">
        <f t="shared" si="105"/>
        <v>11987651.666039618</v>
      </c>
      <c r="J352" s="15">
        <f t="shared" si="98"/>
        <v>0.83759234694074769</v>
      </c>
      <c r="K352" s="13">
        <f t="shared" si="106"/>
        <v>4141226.8207125487</v>
      </c>
      <c r="L352" s="13">
        <f t="shared" si="115"/>
        <v>333557760.77641135</v>
      </c>
      <c r="M352" s="15">
        <f t="shared" si="107"/>
        <v>0.83759234694074769</v>
      </c>
      <c r="N352" s="13">
        <f t="shared" si="99"/>
        <v>47003.120435876248</v>
      </c>
      <c r="O352" s="13">
        <f t="shared" si="108"/>
        <v>7846424.8453270681</v>
      </c>
      <c r="P352" s="15">
        <f t="shared" si="100"/>
        <v>0.61345109673656595</v>
      </c>
      <c r="Q352" s="7">
        <f t="shared" si="109"/>
        <v>12790628.115376173</v>
      </c>
      <c r="R352" s="7">
        <f t="shared" si="110"/>
        <v>4944203.2700491045</v>
      </c>
      <c r="S352" s="13">
        <f>IF('Calc (2)'!$AD$32="Sim",R352,Q352)</f>
        <v>4944203.2700491045</v>
      </c>
      <c r="T352" s="9">
        <f t="shared" si="111"/>
        <v>348</v>
      </c>
      <c r="U352" s="17">
        <f t="shared" ca="1" si="112"/>
        <v>56097</v>
      </c>
      <c r="V352" s="22"/>
      <c r="W352" s="22"/>
      <c r="X352" s="22"/>
    </row>
    <row r="353" spans="2:24" x14ac:dyDescent="0.2">
      <c r="B353" s="17">
        <f t="shared" ca="1" si="101"/>
        <v>56097</v>
      </c>
      <c r="C353" s="9">
        <f t="shared" si="113"/>
        <v>349</v>
      </c>
      <c r="D353" s="9"/>
      <c r="E353" s="13">
        <f t="shared" si="102"/>
        <v>4132.9052413075242</v>
      </c>
      <c r="F353" s="14">
        <f t="shared" si="114"/>
        <v>807109.35457786324</v>
      </c>
      <c r="G353" s="15">
        <f t="shared" si="103"/>
        <v>0.16160365103914195</v>
      </c>
      <c r="H353" s="13">
        <f t="shared" si="104"/>
        <v>166445.08223457632</v>
      </c>
      <c r="I353" s="13">
        <f t="shared" si="105"/>
        <v>12154096.748274194</v>
      </c>
      <c r="J353" s="15">
        <f t="shared" si="98"/>
        <v>0.83839634896085802</v>
      </c>
      <c r="K353" s="13">
        <f t="shared" si="106"/>
        <v>4187266.3874799297</v>
      </c>
      <c r="L353" s="13">
        <f t="shared" si="115"/>
        <v>337745027.16389126</v>
      </c>
      <c r="M353" s="15">
        <f t="shared" si="107"/>
        <v>0.83839634896085802</v>
      </c>
      <c r="N353" s="13">
        <f t="shared" si="99"/>
        <v>47629.962027760223</v>
      </c>
      <c r="O353" s="13">
        <f t="shared" si="108"/>
        <v>7966830.360794263</v>
      </c>
      <c r="P353" s="15">
        <f t="shared" si="100"/>
        <v>0.61466736178519665</v>
      </c>
      <c r="Q353" s="7">
        <f t="shared" si="109"/>
        <v>12961206.102852056</v>
      </c>
      <c r="R353" s="7">
        <f t="shared" si="110"/>
        <v>4994375.7420577928</v>
      </c>
      <c r="S353" s="13">
        <f>IF('Calc (2)'!$AD$32="Sim",R353,Q353)</f>
        <v>4994375.7420577928</v>
      </c>
      <c r="T353" s="9">
        <f t="shared" si="111"/>
        <v>349</v>
      </c>
      <c r="U353" s="17">
        <f t="shared" ca="1" si="112"/>
        <v>56128</v>
      </c>
      <c r="V353" s="22"/>
      <c r="W353" s="22"/>
      <c r="X353" s="22"/>
    </row>
    <row r="354" spans="2:24" x14ac:dyDescent="0.2">
      <c r="B354" s="17">
        <f t="shared" ca="1" si="101"/>
        <v>56128</v>
      </c>
      <c r="C354" s="9">
        <f t="shared" si="113"/>
        <v>350</v>
      </c>
      <c r="D354" s="9"/>
      <c r="E354" s="13">
        <f t="shared" si="102"/>
        <v>4149.7432088467003</v>
      </c>
      <c r="F354" s="14">
        <f t="shared" si="114"/>
        <v>811259.0977867099</v>
      </c>
      <c r="G354" s="15">
        <f t="shared" si="103"/>
        <v>0.16080355788293868</v>
      </c>
      <c r="H354" s="13">
        <f t="shared" si="104"/>
        <v>168664.82210166703</v>
      </c>
      <c r="I354" s="13">
        <f t="shared" si="105"/>
        <v>12322761.570375862</v>
      </c>
      <c r="J354" s="15">
        <f t="shared" si="98"/>
        <v>0.83919644211706135</v>
      </c>
      <c r="K354" s="13">
        <f t="shared" si="106"/>
        <v>4233772.9180924911</v>
      </c>
      <c r="L354" s="13">
        <f t="shared" si="115"/>
        <v>341978800.08198375</v>
      </c>
      <c r="M354" s="15">
        <f t="shared" si="107"/>
        <v>0.83919644211706135</v>
      </c>
      <c r="N354" s="13">
        <f t="shared" si="99"/>
        <v>48265.022616895709</v>
      </c>
      <c r="O354" s="13">
        <f t="shared" si="108"/>
        <v>8088988.6522833686</v>
      </c>
      <c r="P354" s="15">
        <f t="shared" si="100"/>
        <v>0.61588060934694777</v>
      </c>
      <c r="Q354" s="7">
        <f t="shared" si="109"/>
        <v>13134020.668162569</v>
      </c>
      <c r="R354" s="7">
        <f t="shared" si="110"/>
        <v>5045032.0158792008</v>
      </c>
      <c r="S354" s="13">
        <f>IF('Calc (2)'!$AD$32="Sim",R354,Q354)</f>
        <v>5045032.0158792008</v>
      </c>
      <c r="T354" s="9">
        <f t="shared" si="111"/>
        <v>350</v>
      </c>
      <c r="U354" s="17">
        <f t="shared" ca="1" si="112"/>
        <v>56158</v>
      </c>
      <c r="V354" s="22"/>
      <c r="W354" s="22"/>
      <c r="X354" s="22"/>
    </row>
    <row r="355" spans="2:24" x14ac:dyDescent="0.2">
      <c r="B355" s="17">
        <f t="shared" ca="1" si="101"/>
        <v>56158</v>
      </c>
      <c r="C355" s="9">
        <f t="shared" si="113"/>
        <v>351</v>
      </c>
      <c r="D355" s="9"/>
      <c r="E355" s="13">
        <f t="shared" si="102"/>
        <v>4166.6497763498955</v>
      </c>
      <c r="F355" s="14">
        <f t="shared" si="114"/>
        <v>815425.74756305979</v>
      </c>
      <c r="G355" s="15">
        <f t="shared" si="103"/>
        <v>0.16000735485339365</v>
      </c>
      <c r="H355" s="13">
        <f t="shared" si="104"/>
        <v>170913.66666778043</v>
      </c>
      <c r="I355" s="13">
        <f t="shared" si="105"/>
        <v>12493675.237043642</v>
      </c>
      <c r="J355" s="15">
        <f t="shared" si="98"/>
        <v>0.83999264514660632</v>
      </c>
      <c r="K355" s="13">
        <f t="shared" si="106"/>
        <v>4280750.9145047041</v>
      </c>
      <c r="L355" s="13">
        <f t="shared" si="115"/>
        <v>346259550.99648845</v>
      </c>
      <c r="M355" s="15">
        <f t="shared" si="107"/>
        <v>0.83999264514660643</v>
      </c>
      <c r="N355" s="13">
        <f t="shared" si="99"/>
        <v>48908.409409596054</v>
      </c>
      <c r="O355" s="13">
        <f t="shared" si="108"/>
        <v>8212924.3225389365</v>
      </c>
      <c r="P355" s="15">
        <f t="shared" si="100"/>
        <v>0.61709084122496338</v>
      </c>
      <c r="Q355" s="7">
        <f t="shared" si="109"/>
        <v>13309100.9846067</v>
      </c>
      <c r="R355" s="7">
        <f t="shared" si="110"/>
        <v>5096176.6620677635</v>
      </c>
      <c r="S355" s="13">
        <f>IF('Calc (2)'!$AD$32="Sim",R355,Q355)</f>
        <v>5096176.6620677635</v>
      </c>
      <c r="T355" s="9">
        <f t="shared" si="111"/>
        <v>351</v>
      </c>
      <c r="U355" s="17">
        <f t="shared" ca="1" si="112"/>
        <v>56189</v>
      </c>
      <c r="V355" s="22"/>
      <c r="W355" s="22"/>
      <c r="X355" s="22"/>
    </row>
    <row r="356" spans="2:24" x14ac:dyDescent="0.2">
      <c r="B356" s="17">
        <f t="shared" ca="1" si="101"/>
        <v>56189</v>
      </c>
      <c r="C356" s="9">
        <f t="shared" si="113"/>
        <v>352</v>
      </c>
      <c r="D356" s="9"/>
      <c r="E356" s="13">
        <f t="shared" si="102"/>
        <v>4183.6252233018558</v>
      </c>
      <c r="F356" s="14">
        <f t="shared" si="114"/>
        <v>819609.37278636161</v>
      </c>
      <c r="G356" s="15">
        <f t="shared" si="103"/>
        <v>0.15921502330495735</v>
      </c>
      <c r="H356" s="13">
        <f t="shared" si="104"/>
        <v>173191.99556651269</v>
      </c>
      <c r="I356" s="13">
        <f t="shared" si="105"/>
        <v>12666867.232610155</v>
      </c>
      <c r="J356" s="15">
        <f t="shared" si="98"/>
        <v>0.8407849766950426</v>
      </c>
      <c r="K356" s="13">
        <f t="shared" si="106"/>
        <v>4328204.9211983075</v>
      </c>
      <c r="L356" s="13">
        <f t="shared" si="115"/>
        <v>350587755.91768676</v>
      </c>
      <c r="M356" s="15">
        <f t="shared" si="107"/>
        <v>0.8407849766950426</v>
      </c>
      <c r="N356" s="13">
        <f t="shared" si="99"/>
        <v>49560.23100828279</v>
      </c>
      <c r="O356" s="13">
        <f t="shared" si="108"/>
        <v>8338662.3114118455</v>
      </c>
      <c r="P356" s="15">
        <f t="shared" si="100"/>
        <v>0.61829805926295023</v>
      </c>
      <c r="Q356" s="7">
        <f t="shared" si="109"/>
        <v>13486476.605396515</v>
      </c>
      <c r="R356" s="7">
        <f t="shared" si="110"/>
        <v>5147814.2939846693</v>
      </c>
      <c r="S356" s="13">
        <f>IF('Calc (2)'!$AD$32="Sim",R356,Q356)</f>
        <v>5147814.2939846693</v>
      </c>
      <c r="T356" s="9">
        <f t="shared" si="111"/>
        <v>352</v>
      </c>
      <c r="U356" s="17">
        <f t="shared" ca="1" si="112"/>
        <v>56219</v>
      </c>
      <c r="V356" s="22"/>
      <c r="W356" s="22"/>
      <c r="X356" s="22"/>
    </row>
    <row r="357" spans="2:24" x14ac:dyDescent="0.2">
      <c r="B357" s="17">
        <f t="shared" ca="1" si="101"/>
        <v>56219</v>
      </c>
      <c r="C357" s="9">
        <f t="shared" si="113"/>
        <v>353</v>
      </c>
      <c r="D357" s="9"/>
      <c r="E357" s="13">
        <f t="shared" si="102"/>
        <v>4200.6698303259809</v>
      </c>
      <c r="F357" s="14">
        <f t="shared" si="114"/>
        <v>823810.0426166876</v>
      </c>
      <c r="G357" s="15">
        <f t="shared" si="103"/>
        <v>0.15842654468325662</v>
      </c>
      <c r="H357" s="13">
        <f t="shared" si="104"/>
        <v>175500.1933752879</v>
      </c>
      <c r="I357" s="13">
        <f t="shared" si="105"/>
        <v>12842367.425985442</v>
      </c>
      <c r="J357" s="15">
        <f t="shared" si="98"/>
        <v>0.84157345531674332</v>
      </c>
      <c r="K357" s="13">
        <f t="shared" si="106"/>
        <v>4376139.5255805943</v>
      </c>
      <c r="L357" s="13">
        <f t="shared" si="115"/>
        <v>354963895.44326735</v>
      </c>
      <c r="M357" s="15">
        <f t="shared" si="107"/>
        <v>0.84157345531674332</v>
      </c>
      <c r="N357" s="13">
        <f t="shared" si="99"/>
        <v>50220.597429657399</v>
      </c>
      <c r="O357" s="13">
        <f t="shared" si="108"/>
        <v>8466227.9004048463</v>
      </c>
      <c r="P357" s="15">
        <f t="shared" si="100"/>
        <v>0.61950226534492903</v>
      </c>
      <c r="Q357" s="7">
        <f t="shared" si="109"/>
        <v>13666177.468602128</v>
      </c>
      <c r="R357" s="7">
        <f t="shared" si="110"/>
        <v>5199949.568197282</v>
      </c>
      <c r="S357" s="13">
        <f>IF('Calc (2)'!$AD$32="Sim",R357,Q357)</f>
        <v>5199949.568197282</v>
      </c>
      <c r="T357" s="9">
        <f t="shared" si="111"/>
        <v>353</v>
      </c>
      <c r="U357" s="17">
        <f t="shared" ca="1" si="112"/>
        <v>56250</v>
      </c>
      <c r="V357" s="22"/>
      <c r="W357" s="22"/>
      <c r="X357" s="22"/>
    </row>
    <row r="358" spans="2:24" x14ac:dyDescent="0.2">
      <c r="B358" s="17">
        <f t="shared" ca="1" si="101"/>
        <v>56250</v>
      </c>
      <c r="C358" s="9">
        <f t="shared" si="113"/>
        <v>354</v>
      </c>
      <c r="D358" s="9"/>
      <c r="E358" s="13">
        <f t="shared" si="102"/>
        <v>4217.7838791889662</v>
      </c>
      <c r="F358" s="14">
        <f t="shared" si="114"/>
        <v>828027.82649587654</v>
      </c>
      <c r="G358" s="15">
        <f t="shared" si="103"/>
        <v>0.157641900524576</v>
      </c>
      <c r="H358" s="13">
        <f t="shared" si="104"/>
        <v>177838.64967970707</v>
      </c>
      <c r="I358" s="13">
        <f t="shared" si="105"/>
        <v>13020206.07566515</v>
      </c>
      <c r="J358" s="15">
        <f t="shared" si="98"/>
        <v>0.84235809947542406</v>
      </c>
      <c r="K358" s="13">
        <f t="shared" si="106"/>
        <v>4424559.3583864132</v>
      </c>
      <c r="L358" s="13">
        <f t="shared" si="115"/>
        <v>359388454.80165374</v>
      </c>
      <c r="M358" s="15">
        <f t="shared" si="107"/>
        <v>0.84235809947542406</v>
      </c>
      <c r="N358" s="13">
        <f t="shared" si="99"/>
        <v>50889.620123109635</v>
      </c>
      <c r="O358" s="13">
        <f t="shared" si="108"/>
        <v>8595646.7172787338</v>
      </c>
      <c r="P358" s="15">
        <f t="shared" si="100"/>
        <v>0.62070346139498545</v>
      </c>
      <c r="Q358" s="7">
        <f t="shared" si="109"/>
        <v>13848233.902161025</v>
      </c>
      <c r="R358" s="7">
        <f t="shared" si="110"/>
        <v>5252587.1848822897</v>
      </c>
      <c r="S358" s="13">
        <f>IF('Calc (2)'!$AD$32="Sim",R358,Q358)</f>
        <v>5252587.1848822897</v>
      </c>
      <c r="T358" s="9">
        <f t="shared" si="111"/>
        <v>354</v>
      </c>
      <c r="U358" s="17">
        <f t="shared" ca="1" si="112"/>
        <v>56281</v>
      </c>
      <c r="V358" s="22"/>
      <c r="W358" s="22"/>
      <c r="X358" s="22"/>
    </row>
    <row r="359" spans="2:24" x14ac:dyDescent="0.2">
      <c r="B359" s="17">
        <f t="shared" ca="1" si="101"/>
        <v>56281</v>
      </c>
      <c r="C359" s="9">
        <f t="shared" si="113"/>
        <v>355</v>
      </c>
      <c r="D359" s="9"/>
      <c r="E359" s="13">
        <f t="shared" si="102"/>
        <v>4234.9676528054588</v>
      </c>
      <c r="F359" s="14">
        <f t="shared" si="114"/>
        <v>832262.79414868203</v>
      </c>
      <c r="G359" s="15">
        <f t="shared" si="103"/>
        <v>0.15686107245534364</v>
      </c>
      <c r="H359" s="13">
        <f t="shared" si="104"/>
        <v>180207.75913873484</v>
      </c>
      <c r="I359" s="13">
        <f t="shared" si="105"/>
        <v>13200413.834803885</v>
      </c>
      <c r="J359" s="15">
        <f t="shared" si="98"/>
        <v>0.84313892754465636</v>
      </c>
      <c r="K359" s="13">
        <f t="shared" si="106"/>
        <v>4473469.0940839238</v>
      </c>
      <c r="L359" s="13">
        <f t="shared" si="115"/>
        <v>363861923.89573765</v>
      </c>
      <c r="M359" s="15">
        <f t="shared" si="107"/>
        <v>0.84313892754465636</v>
      </c>
      <c r="N359" s="13">
        <f t="shared" si="99"/>
        <v>51567.411989365391</v>
      </c>
      <c r="O359" s="13">
        <f t="shared" si="108"/>
        <v>8726944.7407199591</v>
      </c>
      <c r="P359" s="15">
        <f t="shared" si="100"/>
        <v>0.62190164937701986</v>
      </c>
      <c r="Q359" s="7">
        <f t="shared" si="109"/>
        <v>14032676.628952565</v>
      </c>
      <c r="R359" s="7">
        <f t="shared" si="110"/>
        <v>5305731.8882326055</v>
      </c>
      <c r="S359" s="13">
        <f>IF('Calc (2)'!$AD$32="Sim",R359,Q359)</f>
        <v>5305731.8882326055</v>
      </c>
      <c r="T359" s="9">
        <f t="shared" si="111"/>
        <v>355</v>
      </c>
      <c r="U359" s="17">
        <f t="shared" ca="1" si="112"/>
        <v>56309</v>
      </c>
      <c r="V359" s="22"/>
      <c r="W359" s="22"/>
      <c r="X359" s="22"/>
    </row>
    <row r="360" spans="2:24" x14ac:dyDescent="0.2">
      <c r="B360" s="17">
        <f t="shared" ca="1" si="101"/>
        <v>56309</v>
      </c>
      <c r="C360" s="9">
        <f t="shared" si="113"/>
        <v>356</v>
      </c>
      <c r="D360" s="9"/>
      <c r="E360" s="13">
        <f t="shared" si="102"/>
        <v>4252.2214352427345</v>
      </c>
      <c r="F360" s="14">
        <f t="shared" si="114"/>
        <v>836515.01558392472</v>
      </c>
      <c r="G360" s="15">
        <f t="shared" si="103"/>
        <v>0.15608404219162161</v>
      </c>
      <c r="H360" s="13">
        <f t="shared" si="104"/>
        <v>182607.92155073414</v>
      </c>
      <c r="I360" s="13">
        <f t="shared" si="105"/>
        <v>13383021.756354619</v>
      </c>
      <c r="J360" s="15">
        <f t="shared" si="98"/>
        <v>0.84391595780837836</v>
      </c>
      <c r="K360" s="13">
        <f t="shared" si="106"/>
        <v>4522873.4512841357</v>
      </c>
      <c r="L360" s="13">
        <f t="shared" si="115"/>
        <v>368384797.34702176</v>
      </c>
      <c r="M360" s="15">
        <f t="shared" si="107"/>
        <v>0.84391595780837836</v>
      </c>
      <c r="N360" s="13">
        <f t="shared" si="99"/>
        <v>52254.087399377233</v>
      </c>
      <c r="O360" s="13">
        <f t="shared" si="108"/>
        <v>8860148.3050704822</v>
      </c>
      <c r="P360" s="15">
        <f t="shared" si="100"/>
        <v>0.62309683129449678</v>
      </c>
      <c r="Q360" s="7">
        <f t="shared" si="109"/>
        <v>14219536.771938542</v>
      </c>
      <c r="R360" s="7">
        <f t="shared" si="110"/>
        <v>5359388.4668680606</v>
      </c>
      <c r="S360" s="13">
        <f>IF('Calc (2)'!$AD$32="Sim",R360,Q360)</f>
        <v>5359388.4668680606</v>
      </c>
      <c r="T360" s="9">
        <f t="shared" si="111"/>
        <v>356</v>
      </c>
      <c r="U360" s="17">
        <f t="shared" ca="1" si="112"/>
        <v>56340</v>
      </c>
      <c r="V360" s="22"/>
      <c r="W360" s="22"/>
      <c r="X360" s="22"/>
    </row>
    <row r="361" spans="2:24" x14ac:dyDescent="0.2">
      <c r="B361" s="17">
        <f t="shared" ca="1" si="101"/>
        <v>56340</v>
      </c>
      <c r="C361" s="9">
        <f t="shared" si="113"/>
        <v>357</v>
      </c>
      <c r="D361" s="9"/>
      <c r="E361" s="13">
        <f t="shared" si="102"/>
        <v>4269.545511725396</v>
      </c>
      <c r="F361" s="14">
        <f t="shared" si="114"/>
        <v>840784.56109565008</v>
      </c>
      <c r="G361" s="15">
        <f t="shared" si="103"/>
        <v>0.15531079153860047</v>
      </c>
      <c r="H361" s="13">
        <f t="shared" si="104"/>
        <v>185039.54192036061</v>
      </c>
      <c r="I361" s="13">
        <f t="shared" si="105"/>
        <v>13568061.298274979</v>
      </c>
      <c r="J361" s="15">
        <f t="shared" si="98"/>
        <v>0.8446892084613995</v>
      </c>
      <c r="K361" s="13">
        <f t="shared" si="106"/>
        <v>4572777.1931542726</v>
      </c>
      <c r="L361" s="13">
        <f t="shared" si="115"/>
        <v>372957574.54017603</v>
      </c>
      <c r="M361" s="15">
        <f t="shared" si="107"/>
        <v>0.8446892084613995</v>
      </c>
      <c r="N361" s="13">
        <f t="shared" si="99"/>
        <v>52949.762213460788</v>
      </c>
      <c r="O361" s="13">
        <f t="shared" si="108"/>
        <v>8995284.1051207054</v>
      </c>
      <c r="P361" s="15">
        <f t="shared" si="100"/>
        <v>0.62428900919019303</v>
      </c>
      <c r="Q361" s="7">
        <f t="shared" si="109"/>
        <v>14408845.859370628</v>
      </c>
      <c r="R361" s="7">
        <f t="shared" si="110"/>
        <v>5413561.7542499229</v>
      </c>
      <c r="S361" s="13">
        <f>IF('Calc (2)'!$AD$32="Sim",R361,Q361)</f>
        <v>5413561.7542499229</v>
      </c>
      <c r="T361" s="9">
        <f t="shared" si="111"/>
        <v>357</v>
      </c>
      <c r="U361" s="17">
        <f t="shared" ca="1" si="112"/>
        <v>56370</v>
      </c>
      <c r="V361" s="22"/>
      <c r="W361" s="22"/>
      <c r="X361" s="22"/>
    </row>
    <row r="362" spans="2:24" x14ac:dyDescent="0.2">
      <c r="B362" s="17">
        <f t="shared" ca="1" si="101"/>
        <v>56370</v>
      </c>
      <c r="C362" s="9">
        <f t="shared" si="113"/>
        <v>358</v>
      </c>
      <c r="D362" s="9"/>
      <c r="E362" s="13">
        <f t="shared" si="102"/>
        <v>4286.9401686400852</v>
      </c>
      <c r="F362" s="14">
        <f t="shared" si="114"/>
        <v>845071.50126429019</v>
      </c>
      <c r="G362" s="15">
        <f t="shared" si="103"/>
        <v>0.15454130239009822</v>
      </c>
      <c r="H362" s="13">
        <f t="shared" si="104"/>
        <v>187503.03052632729</v>
      </c>
      <c r="I362" s="13">
        <f t="shared" si="105"/>
        <v>13755564.328801306</v>
      </c>
      <c r="J362" s="15">
        <f t="shared" si="98"/>
        <v>0.84545869760990178</v>
      </c>
      <c r="K362" s="13">
        <f t="shared" si="106"/>
        <v>4623185.127834985</v>
      </c>
      <c r="L362" s="13">
        <f t="shared" si="115"/>
        <v>377580759.66801101</v>
      </c>
      <c r="M362" s="15">
        <f t="shared" si="107"/>
        <v>0.84545869760990178</v>
      </c>
      <c r="N362" s="13">
        <f t="shared" si="99"/>
        <v>53654.553800680158</v>
      </c>
      <c r="O362" s="13">
        <f t="shared" si="108"/>
        <v>9132379.2009663209</v>
      </c>
      <c r="P362" s="15">
        <f t="shared" si="100"/>
        <v>0.62547818514594733</v>
      </c>
      <c r="Q362" s="7">
        <f t="shared" si="109"/>
        <v>14600635.830065595</v>
      </c>
      <c r="R362" s="7">
        <f t="shared" si="110"/>
        <v>5468256.629099275</v>
      </c>
      <c r="S362" s="13">
        <f>IF('Calc (2)'!$AD$32="Sim",R362,Q362)</f>
        <v>5468256.629099275</v>
      </c>
      <c r="T362" s="9">
        <f t="shared" si="111"/>
        <v>358</v>
      </c>
      <c r="U362" s="17">
        <f t="shared" ca="1" si="112"/>
        <v>56401</v>
      </c>
      <c r="V362" s="22"/>
      <c r="W362" s="22"/>
      <c r="X362" s="22"/>
    </row>
    <row r="363" spans="2:24" x14ac:dyDescent="0.2">
      <c r="B363" s="17">
        <f t="shared" ca="1" si="101"/>
        <v>56401</v>
      </c>
      <c r="C363" s="9">
        <f t="shared" si="113"/>
        <v>359</v>
      </c>
      <c r="D363" s="9"/>
      <c r="E363" s="13">
        <f t="shared" si="102"/>
        <v>4304.4056935402195</v>
      </c>
      <c r="F363" s="14">
        <f t="shared" si="114"/>
        <v>849375.90695783042</v>
      </c>
      <c r="G363" s="15">
        <f t="shared" si="103"/>
        <v>0.15377555672806328</v>
      </c>
      <c r="H363" s="13">
        <f t="shared" si="104"/>
        <v>189998.80299005136</v>
      </c>
      <c r="I363" s="13">
        <f t="shared" si="105"/>
        <v>13945563.131791357</v>
      </c>
      <c r="J363" s="15">
        <f t="shared" si="98"/>
        <v>0.84622444327193669</v>
      </c>
      <c r="K363" s="13">
        <f t="shared" si="106"/>
        <v>4674102.108861465</v>
      </c>
      <c r="L363" s="13">
        <f t="shared" si="115"/>
        <v>382254861.77687246</v>
      </c>
      <c r="M363" s="15">
        <f t="shared" si="107"/>
        <v>0.8462244432719368</v>
      </c>
      <c r="N363" s="13">
        <f t="shared" si="99"/>
        <v>54368.581058485666</v>
      </c>
      <c r="O363" s="13">
        <f t="shared" si="108"/>
        <v>9271461.0229298919</v>
      </c>
      <c r="P363" s="15">
        <f t="shared" si="100"/>
        <v>0.62666436128240599</v>
      </c>
      <c r="Q363" s="7">
        <f t="shared" si="109"/>
        <v>14794939.038749186</v>
      </c>
      <c r="R363" s="7">
        <f t="shared" si="110"/>
        <v>5523478.0158192953</v>
      </c>
      <c r="S363" s="13">
        <f>IF('Calc (2)'!$AD$32="Sim",R363,Q363)</f>
        <v>5523478.0158192953</v>
      </c>
      <c r="T363" s="9">
        <f t="shared" si="111"/>
        <v>359</v>
      </c>
      <c r="U363" s="17">
        <f t="shared" ca="1" si="112"/>
        <v>56431</v>
      </c>
      <c r="V363" s="22"/>
      <c r="W363" s="22"/>
      <c r="X363" s="22"/>
    </row>
    <row r="364" spans="2:24" x14ac:dyDescent="0.2">
      <c r="B364" s="17">
        <f t="shared" ca="1" si="101"/>
        <v>56431</v>
      </c>
      <c r="C364" s="9">
        <f t="shared" si="113"/>
        <v>360</v>
      </c>
      <c r="D364" s="9">
        <v>30</v>
      </c>
      <c r="E364" s="13">
        <f t="shared" si="102"/>
        <v>4321.9423751507429</v>
      </c>
      <c r="F364" s="14">
        <f t="shared" si="114"/>
        <v>853697.84933298116</v>
      </c>
      <c r="G364" s="15">
        <f t="shared" si="103"/>
        <v>0.15301353662208195</v>
      </c>
      <c r="H364" s="13">
        <f t="shared" si="104"/>
        <v>192527.28034519422</v>
      </c>
      <c r="I364" s="13">
        <f t="shared" si="105"/>
        <v>14138090.412136551</v>
      </c>
      <c r="J364" s="15">
        <f t="shared" si="98"/>
        <v>0.84698646337791805</v>
      </c>
      <c r="K364" s="13">
        <f t="shared" si="106"/>
        <v>4725533.0355884833</v>
      </c>
      <c r="L364" s="13">
        <f t="shared" si="115"/>
        <v>386980394.81246096</v>
      </c>
      <c r="M364" s="15">
        <f t="shared" si="107"/>
        <v>0.84698646337791816</v>
      </c>
      <c r="N364" s="13">
        <f t="shared" si="99"/>
        <v>55091.964432607077</v>
      </c>
      <c r="O364" s="13">
        <f t="shared" si="108"/>
        <v>9412557.3765480667</v>
      </c>
      <c r="P364" s="15">
        <f t="shared" si="100"/>
        <v>0.62784753975877095</v>
      </c>
      <c r="Q364" s="7">
        <f t="shared" si="109"/>
        <v>14991788.261469532</v>
      </c>
      <c r="R364" s="7">
        <f t="shared" si="110"/>
        <v>5579230.8849214641</v>
      </c>
      <c r="S364" s="13">
        <f>IF('Calc (2)'!$AD$32="Sim",R364,Q364)</f>
        <v>5579230.8849214641</v>
      </c>
      <c r="T364" s="9">
        <f t="shared" si="111"/>
        <v>360</v>
      </c>
      <c r="U364" s="17">
        <f t="shared" ca="1" si="112"/>
        <v>56462</v>
      </c>
      <c r="V364" s="22"/>
      <c r="W364" s="22"/>
      <c r="X364" s="22"/>
    </row>
    <row r="365" spans="2:24" x14ac:dyDescent="0.2">
      <c r="B365" s="17">
        <f t="shared" ca="1" si="101"/>
        <v>56462</v>
      </c>
      <c r="C365" s="9">
        <f t="shared" si="113"/>
        <v>361</v>
      </c>
      <c r="D365" s="9"/>
      <c r="E365" s="13">
        <f t="shared" si="102"/>
        <v>4339.5505033729023</v>
      </c>
      <c r="F365" s="14">
        <f t="shared" si="114"/>
        <v>858037.39983635407</v>
      </c>
      <c r="G365" s="15">
        <f t="shared" si="103"/>
        <v>0.15225522422888965</v>
      </c>
      <c r="H365" s="13">
        <f t="shared" ref="H365:H428" si="116">Q364*Taxa_2</f>
        <v>195088.88910810655</v>
      </c>
      <c r="I365" s="13">
        <f t="shared" si="105"/>
        <v>14333179.301244657</v>
      </c>
      <c r="J365" s="15">
        <f t="shared" si="98"/>
        <v>0.84774477577111029</v>
      </c>
      <c r="K365" s="13">
        <f t="shared" si="106"/>
        <v>4777482.8536193948</v>
      </c>
      <c r="L365" s="13">
        <f t="shared" si="115"/>
        <v>391757877.66608036</v>
      </c>
      <c r="M365" s="15">
        <f t="shared" si="107"/>
        <v>0.8477447757711104</v>
      </c>
      <c r="N365" s="13">
        <f t="shared" ref="N365:N428" si="117">Q365*Inflação_2</f>
        <v>55824.825937205795</v>
      </c>
      <c r="O365" s="13">
        <f t="shared" si="108"/>
        <v>9555696.4476252627</v>
      </c>
      <c r="P365" s="15">
        <f t="shared" si="100"/>
        <v>0.62902772277254637</v>
      </c>
      <c r="Q365" s="7">
        <f t="shared" si="109"/>
        <v>15191216.701081011</v>
      </c>
      <c r="R365" s="7">
        <f t="shared" ref="R365:R428" si="118">(R364+E365)*(1+((1+Taxa_2)/(1+Inflação_2)-1))</f>
        <v>5635520.2534557488</v>
      </c>
      <c r="S365" s="13">
        <f>IF('Calc (2)'!$AD$32="Sim",R365,Q365)</f>
        <v>5635520.2534557488</v>
      </c>
      <c r="T365" s="9">
        <f t="shared" si="111"/>
        <v>361</v>
      </c>
      <c r="U365" s="17">
        <f t="shared" ca="1" si="112"/>
        <v>56493</v>
      </c>
    </row>
    <row r="366" spans="2:24" x14ac:dyDescent="0.2">
      <c r="B366" s="17">
        <f t="shared" ca="1" si="101"/>
        <v>56493</v>
      </c>
      <c r="C366" s="9">
        <f t="shared" si="113"/>
        <v>362</v>
      </c>
      <c r="D366" s="9"/>
      <c r="E366" s="13">
        <f t="shared" si="102"/>
        <v>4357.2303692890373</v>
      </c>
      <c r="F366" s="14">
        <f t="shared" si="114"/>
        <v>862394.63020564313</v>
      </c>
      <c r="G366" s="15">
        <f t="shared" si="103"/>
        <v>0.15150060179188635</v>
      </c>
      <c r="H366" s="13">
        <f t="shared" si="116"/>
        <v>197684.06134919001</v>
      </c>
      <c r="I366" s="13">
        <f t="shared" si="105"/>
        <v>14530863.362593848</v>
      </c>
      <c r="J366" s="15">
        <f t="shared" si="98"/>
        <v>0.84849939820811371</v>
      </c>
      <c r="K366" s="13">
        <f t="shared" si="106"/>
        <v>4829956.5552391456</v>
      </c>
      <c r="L366" s="13">
        <f t="shared" si="115"/>
        <v>396587834.2213195</v>
      </c>
      <c r="M366" s="15">
        <f t="shared" si="107"/>
        <v>0.8484993982081136</v>
      </c>
      <c r="N366" s="13">
        <f t="shared" si="117"/>
        <v>56567.289175289268</v>
      </c>
      <c r="O366" s="13">
        <f t="shared" si="108"/>
        <v>9700906.8073547017</v>
      </c>
      <c r="P366" s="15">
        <f t="shared" si="100"/>
        <v>0.6302049125592839</v>
      </c>
      <c r="Q366" s="7">
        <f t="shared" si="109"/>
        <v>15393257.992799491</v>
      </c>
      <c r="R366" s="7">
        <f t="shared" si="118"/>
        <v>5692351.185444789</v>
      </c>
      <c r="S366" s="13">
        <f>IF('Calc (2)'!$AD$32="Sim",R366,Q366)</f>
        <v>5692351.185444789</v>
      </c>
      <c r="T366" s="9">
        <f t="shared" si="111"/>
        <v>362</v>
      </c>
      <c r="U366" s="17">
        <f t="shared" ca="1" si="112"/>
        <v>56523</v>
      </c>
    </row>
    <row r="367" spans="2:24" x14ac:dyDescent="0.2">
      <c r="B367" s="17">
        <f t="shared" ca="1" si="101"/>
        <v>56523</v>
      </c>
      <c r="C367" s="9">
        <f t="shared" si="113"/>
        <v>363</v>
      </c>
      <c r="D367" s="9"/>
      <c r="E367" s="13">
        <f t="shared" si="102"/>
        <v>4374.9822651673931</v>
      </c>
      <c r="F367" s="14">
        <f t="shared" si="114"/>
        <v>866769.61247081053</v>
      </c>
      <c r="G367" s="15">
        <f t="shared" si="103"/>
        <v>0.15074965164065593</v>
      </c>
      <c r="H367" s="13">
        <f t="shared" si="116"/>
        <v>200313.2347651879</v>
      </c>
      <c r="I367" s="13">
        <f t="shared" si="105"/>
        <v>14731176.597359037</v>
      </c>
      <c r="J367" s="15">
        <f t="shared" si="98"/>
        <v>0.8492503483593441</v>
      </c>
      <c r="K367" s="13">
        <f t="shared" si="106"/>
        <v>4882959.1798513206</v>
      </c>
      <c r="L367" s="13">
        <f t="shared" si="115"/>
        <v>401470793.40117079</v>
      </c>
      <c r="M367" s="15">
        <f t="shared" si="107"/>
        <v>0.8492503483593441</v>
      </c>
      <c r="N367" s="13">
        <f t="shared" si="117"/>
        <v>57319.47935939108</v>
      </c>
      <c r="O367" s="13">
        <f t="shared" si="108"/>
        <v>9848217.4175077155</v>
      </c>
      <c r="P367" s="15">
        <f t="shared" si="100"/>
        <v>0.63137911139232905</v>
      </c>
      <c r="Q367" s="7">
        <f t="shared" si="109"/>
        <v>15597946.209829846</v>
      </c>
      <c r="R367" s="7">
        <f t="shared" si="118"/>
        <v>5749728.7923221309</v>
      </c>
      <c r="S367" s="13">
        <f>IF('Calc (2)'!$AD$32="Sim",R367,Q367)</f>
        <v>5749728.7923221309</v>
      </c>
      <c r="T367" s="9">
        <f t="shared" si="111"/>
        <v>363</v>
      </c>
      <c r="U367" s="17">
        <f t="shared" ca="1" si="112"/>
        <v>56554</v>
      </c>
    </row>
    <row r="368" spans="2:24" x14ac:dyDescent="0.2">
      <c r="B368" s="17">
        <f t="shared" ca="1" si="101"/>
        <v>56554</v>
      </c>
      <c r="C368" s="9">
        <f t="shared" si="113"/>
        <v>364</v>
      </c>
      <c r="D368" s="9"/>
      <c r="E368" s="13">
        <f t="shared" si="102"/>
        <v>4392.8064844669516</v>
      </c>
      <c r="F368" s="14">
        <f t="shared" si="114"/>
        <v>871162.41895527754</v>
      </c>
      <c r="G368" s="15">
        <f t="shared" si="103"/>
        <v>0.15000235619048946</v>
      </c>
      <c r="H368" s="13">
        <f t="shared" si="116"/>
        <v>202976.85275241639</v>
      </c>
      <c r="I368" s="13">
        <f t="shared" si="105"/>
        <v>14934153.450111452</v>
      </c>
      <c r="J368" s="15">
        <f t="shared" si="98"/>
        <v>0.84999764380951048</v>
      </c>
      <c r="K368" s="13">
        <f t="shared" si="106"/>
        <v>4936495.8144192686</v>
      </c>
      <c r="L368" s="13">
        <f t="shared" si="115"/>
        <v>406407289.21559006</v>
      </c>
      <c r="M368" s="15">
        <f t="shared" si="107"/>
        <v>0.84999764380951048</v>
      </c>
      <c r="N368" s="13">
        <f t="shared" si="117"/>
        <v>58081.523332520163</v>
      </c>
      <c r="O368" s="13">
        <f t="shared" si="108"/>
        <v>9997657.6356921829</v>
      </c>
      <c r="P368" s="15">
        <f t="shared" si="100"/>
        <v>0.6325503215825653</v>
      </c>
      <c r="Q368" s="7">
        <f t="shared" si="109"/>
        <v>15805315.86906673</v>
      </c>
      <c r="R368" s="7">
        <f t="shared" si="118"/>
        <v>5807658.2333745463</v>
      </c>
      <c r="S368" s="13">
        <f>IF('Calc (2)'!$AD$32="Sim",R368,Q368)</f>
        <v>5807658.2333745463</v>
      </c>
      <c r="T368" s="9">
        <f t="shared" si="111"/>
        <v>364</v>
      </c>
      <c r="U368" s="17">
        <f t="shared" ca="1" si="112"/>
        <v>56584</v>
      </c>
    </row>
    <row r="369" spans="2:21" x14ac:dyDescent="0.2">
      <c r="B369" s="17">
        <f t="shared" ca="1" si="101"/>
        <v>56584</v>
      </c>
      <c r="C369" s="9">
        <f t="shared" si="113"/>
        <v>365</v>
      </c>
      <c r="D369" s="9"/>
      <c r="E369" s="13">
        <f t="shared" si="102"/>
        <v>4410.703321842283</v>
      </c>
      <c r="F369" s="14">
        <f t="shared" si="114"/>
        <v>875573.12227711978</v>
      </c>
      <c r="G369" s="15">
        <f t="shared" si="103"/>
        <v>0.14925869794191252</v>
      </c>
      <c r="H369" s="13">
        <f t="shared" si="116"/>
        <v>205675.36448094883</v>
      </c>
      <c r="I369" s="13">
        <f t="shared" si="105"/>
        <v>15139828.814592401</v>
      </c>
      <c r="J369" s="15">
        <f t="shared" si="98"/>
        <v>0.85074130205808751</v>
      </c>
      <c r="K369" s="13">
        <f t="shared" si="106"/>
        <v>4990571.5939113414</v>
      </c>
      <c r="L369" s="13">
        <f t="shared" si="115"/>
        <v>411397860.80950141</v>
      </c>
      <c r="M369" s="15">
        <f t="shared" si="107"/>
        <v>0.8507413020580874</v>
      </c>
      <c r="N369" s="13">
        <f t="shared" si="117"/>
        <v>58853.549589382674</v>
      </c>
      <c r="O369" s="13">
        <f t="shared" si="108"/>
        <v>10149257.22068106</v>
      </c>
      <c r="P369" s="15">
        <f t="shared" si="100"/>
        <v>0.63371854547816009</v>
      </c>
      <c r="Q369" s="7">
        <f t="shared" si="109"/>
        <v>16015401.936869521</v>
      </c>
      <c r="R369" s="7">
        <f t="shared" si="118"/>
        <v>5866144.7161884615</v>
      </c>
      <c r="S369" s="13">
        <f>IF('Calc (2)'!$AD$32="Sim",R369,Q369)</f>
        <v>5866144.7161884615</v>
      </c>
      <c r="T369" s="9">
        <f t="shared" si="111"/>
        <v>365</v>
      </c>
      <c r="U369" s="17">
        <f t="shared" ca="1" si="112"/>
        <v>56615</v>
      </c>
    </row>
    <row r="370" spans="2:21" x14ac:dyDescent="0.2">
      <c r="B370" s="17">
        <f t="shared" ca="1" si="101"/>
        <v>56615</v>
      </c>
      <c r="C370" s="9">
        <f t="shared" si="113"/>
        <v>366</v>
      </c>
      <c r="D370" s="9"/>
      <c r="E370" s="13">
        <f t="shared" si="102"/>
        <v>4428.6730731484176</v>
      </c>
      <c r="F370" s="14">
        <f t="shared" si="114"/>
        <v>880001.79535026825</v>
      </c>
      <c r="G370" s="15">
        <f t="shared" si="103"/>
        <v>0.14851865948021611</v>
      </c>
      <c r="H370" s="13">
        <f t="shared" si="116"/>
        <v>208409.22496976546</v>
      </c>
      <c r="I370" s="13">
        <f t="shared" si="105"/>
        <v>15348238.039562166</v>
      </c>
      <c r="J370" s="15">
        <f t="shared" si="98"/>
        <v>0.85148134051978386</v>
      </c>
      <c r="K370" s="13">
        <f t="shared" si="106"/>
        <v>5045191.7017502869</v>
      </c>
      <c r="L370" s="13">
        <f t="shared" si="115"/>
        <v>416443052.51125169</v>
      </c>
      <c r="M370" s="15">
        <f t="shared" si="107"/>
        <v>0.85148134051978386</v>
      </c>
      <c r="N370" s="13">
        <f t="shared" si="117"/>
        <v>59635.688297879991</v>
      </c>
      <c r="O370" s="13">
        <f t="shared" si="108"/>
        <v>10303046.33781188</v>
      </c>
      <c r="P370" s="15">
        <f t="shared" si="100"/>
        <v>0.63488378546430779</v>
      </c>
      <c r="Q370" s="7">
        <f t="shared" si="109"/>
        <v>16228239.834912434</v>
      </c>
      <c r="R370" s="7">
        <f t="shared" si="118"/>
        <v>5925193.4971005553</v>
      </c>
      <c r="S370" s="13">
        <f>IF('Calc (2)'!$AD$32="Sim",R370,Q370)</f>
        <v>5925193.4971005553</v>
      </c>
      <c r="T370" s="9">
        <f t="shared" si="111"/>
        <v>366</v>
      </c>
      <c r="U370" s="17">
        <f t="shared" ca="1" si="112"/>
        <v>56646</v>
      </c>
    </row>
    <row r="371" spans="2:21" x14ac:dyDescent="0.2">
      <c r="B371" s="17">
        <f t="shared" ca="1" si="101"/>
        <v>56646</v>
      </c>
      <c r="C371" s="9">
        <f t="shared" si="113"/>
        <v>367</v>
      </c>
      <c r="D371" s="9"/>
      <c r="E371" s="13">
        <f t="shared" si="102"/>
        <v>4446.7160354457346</v>
      </c>
      <c r="F371" s="14">
        <f t="shared" si="114"/>
        <v>884448.51138571394</v>
      </c>
      <c r="G371" s="15">
        <f t="shared" si="103"/>
        <v>0.1477822234749914</v>
      </c>
      <c r="H371" s="13">
        <f t="shared" si="116"/>
        <v>211178.89516288132</v>
      </c>
      <c r="I371" s="13">
        <f t="shared" si="105"/>
        <v>15559416.934725046</v>
      </c>
      <c r="J371" s="15">
        <f t="shared" si="98"/>
        <v>0.85221777652500863</v>
      </c>
      <c r="K371" s="13">
        <f t="shared" si="106"/>
        <v>5100361.3702668361</v>
      </c>
      <c r="L371" s="13">
        <f t="shared" si="115"/>
        <v>421543413.88151854</v>
      </c>
      <c r="M371" s="15">
        <f t="shared" si="107"/>
        <v>0.85221777652500863</v>
      </c>
      <c r="N371" s="13">
        <f t="shared" si="117"/>
        <v>60428.071320886542</v>
      </c>
      <c r="O371" s="13">
        <f t="shared" si="108"/>
        <v>10459055.56445821</v>
      </c>
      <c r="P371" s="15">
        <f t="shared" si="100"/>
        <v>0.63604604396297493</v>
      </c>
      <c r="Q371" s="7">
        <f t="shared" si="109"/>
        <v>16443865.446110761</v>
      </c>
      <c r="R371" s="7">
        <f t="shared" si="118"/>
        <v>5984809.8816525498</v>
      </c>
      <c r="S371" s="13">
        <f>IF('Calc (2)'!$AD$32="Sim",R371,Q371)</f>
        <v>5984809.8816525498</v>
      </c>
      <c r="T371" s="9">
        <f t="shared" si="111"/>
        <v>367</v>
      </c>
      <c r="U371" s="17">
        <f t="shared" ca="1" si="112"/>
        <v>56674</v>
      </c>
    </row>
    <row r="372" spans="2:21" x14ac:dyDescent="0.2">
      <c r="B372" s="17">
        <f t="shared" ca="1" si="101"/>
        <v>56674</v>
      </c>
      <c r="C372" s="9">
        <f t="shared" si="113"/>
        <v>368</v>
      </c>
      <c r="D372" s="9"/>
      <c r="E372" s="13">
        <f t="shared" si="102"/>
        <v>4464.832507004875</v>
      </c>
      <c r="F372" s="14">
        <f t="shared" si="114"/>
        <v>888913.34389271878</v>
      </c>
      <c r="G372" s="15">
        <f t="shared" si="103"/>
        <v>0.14704937267966833</v>
      </c>
      <c r="H372" s="13">
        <f t="shared" si="116"/>
        <v>213984.84200646452</v>
      </c>
      <c r="I372" s="13">
        <f t="shared" si="105"/>
        <v>15773401.776731512</v>
      </c>
      <c r="J372" s="15">
        <f t="shared" si="98"/>
        <v>0.85295062732033167</v>
      </c>
      <c r="K372" s="13">
        <f t="shared" si="106"/>
        <v>5156085.8811575193</v>
      </c>
      <c r="L372" s="13">
        <f t="shared" si="115"/>
        <v>426699499.76267606</v>
      </c>
      <c r="M372" s="15">
        <f t="shared" si="107"/>
        <v>0.85295062732033167</v>
      </c>
      <c r="N372" s="13">
        <f t="shared" si="117"/>
        <v>61230.832238311013</v>
      </c>
      <c r="O372" s="13">
        <f t="shared" si="108"/>
        <v>10617315.895573992</v>
      </c>
      <c r="P372" s="15">
        <f t="shared" si="100"/>
        <v>0.63720532343264369</v>
      </c>
      <c r="Q372" s="7">
        <f t="shared" si="109"/>
        <v>16662315.120624231</v>
      </c>
      <c r="R372" s="7">
        <f t="shared" si="118"/>
        <v>6044999.225050238</v>
      </c>
      <c r="S372" s="13">
        <f>IF('Calc (2)'!$AD$32="Sim",R372,Q372)</f>
        <v>6044999.225050238</v>
      </c>
      <c r="T372" s="9">
        <f t="shared" si="111"/>
        <v>368</v>
      </c>
      <c r="U372" s="17">
        <f t="shared" ca="1" si="112"/>
        <v>56705</v>
      </c>
    </row>
    <row r="373" spans="2:21" x14ac:dyDescent="0.2">
      <c r="B373" s="17">
        <f t="shared" ca="1" si="101"/>
        <v>56705</v>
      </c>
      <c r="C373" s="9">
        <f t="shared" si="113"/>
        <v>369</v>
      </c>
      <c r="D373" s="9"/>
      <c r="E373" s="13">
        <f t="shared" si="102"/>
        <v>4483.0227873116701</v>
      </c>
      <c r="F373" s="14">
        <f t="shared" si="114"/>
        <v>893396.36668003048</v>
      </c>
      <c r="G373" s="15">
        <f t="shared" si="103"/>
        <v>0.14632008993105783</v>
      </c>
      <c r="H373" s="13">
        <f t="shared" si="116"/>
        <v>216827.53852695841</v>
      </c>
      <c r="I373" s="13">
        <f t="shared" si="105"/>
        <v>15990229.315258469</v>
      </c>
      <c r="J373" s="15">
        <f t="shared" si="98"/>
        <v>0.85367991006894217</v>
      </c>
      <c r="K373" s="13">
        <f t="shared" si="106"/>
        <v>5212370.5659467559</v>
      </c>
      <c r="L373" s="13">
        <f t="shared" si="115"/>
        <v>431911870.32862282</v>
      </c>
      <c r="M373" s="15">
        <f t="shared" si="107"/>
        <v>0.85367991006894217</v>
      </c>
      <c r="N373" s="13">
        <f t="shared" si="117"/>
        <v>62044.106369444657</v>
      </c>
      <c r="O373" s="13">
        <f t="shared" si="108"/>
        <v>10777858.749311715</v>
      </c>
      <c r="P373" s="15">
        <f t="shared" si="100"/>
        <v>0.63836162636805449</v>
      </c>
      <c r="Q373" s="7">
        <f t="shared" si="109"/>
        <v>16883625.681938503</v>
      </c>
      <c r="R373" s="7">
        <f t="shared" si="118"/>
        <v>6105766.9326267866</v>
      </c>
      <c r="S373" s="13">
        <f>IF('Calc (2)'!$AD$32="Sim",R373,Q373)</f>
        <v>6105766.9326267866</v>
      </c>
      <c r="T373" s="9">
        <f t="shared" si="111"/>
        <v>369</v>
      </c>
      <c r="U373" s="17">
        <f t="shared" ca="1" si="112"/>
        <v>56735</v>
      </c>
    </row>
    <row r="374" spans="2:21" x14ac:dyDescent="0.2">
      <c r="B374" s="17">
        <f t="shared" ca="1" si="101"/>
        <v>56735</v>
      </c>
      <c r="C374" s="9">
        <f t="shared" si="113"/>
        <v>370</v>
      </c>
      <c r="D374" s="9"/>
      <c r="E374" s="13">
        <f t="shared" si="102"/>
        <v>4501.287177072094</v>
      </c>
      <c r="F374" s="14">
        <f t="shared" si="114"/>
        <v>897897.65385710262</v>
      </c>
      <c r="G374" s="15">
        <f t="shared" si="103"/>
        <v>0.1455943581488974</v>
      </c>
      <c r="H374" s="13">
        <f t="shared" si="116"/>
        <v>219707.46391022022</v>
      </c>
      <c r="I374" s="13">
        <f t="shared" si="105"/>
        <v>16209936.77916869</v>
      </c>
      <c r="J374" s="15">
        <f t="shared" si="98"/>
        <v>0.85440564185110257</v>
      </c>
      <c r="K374" s="13">
        <f t="shared" si="106"/>
        <v>5269220.8064532531</v>
      </c>
      <c r="L374" s="13">
        <f t="shared" si="115"/>
        <v>437181091.13507605</v>
      </c>
      <c r="M374" s="15">
        <f t="shared" si="107"/>
        <v>0.85440564185110257</v>
      </c>
      <c r="N374" s="13">
        <f t="shared" si="117"/>
        <v>62868.030795600447</v>
      </c>
      <c r="O374" s="13">
        <f t="shared" si="108"/>
        <v>10940715.972715441</v>
      </c>
      <c r="P374" s="15">
        <f t="shared" si="100"/>
        <v>0.63951495529995017</v>
      </c>
      <c r="Q374" s="7">
        <f t="shared" si="109"/>
        <v>17107834.433025796</v>
      </c>
      <c r="R374" s="7">
        <f t="shared" si="118"/>
        <v>6167118.4603103558</v>
      </c>
      <c r="S374" s="13">
        <f>IF('Calc (2)'!$AD$32="Sim",R374,Q374)</f>
        <v>6167118.4603103558</v>
      </c>
      <c r="T374" s="9">
        <f t="shared" si="111"/>
        <v>370</v>
      </c>
      <c r="U374" s="17">
        <f t="shared" ca="1" si="112"/>
        <v>56766</v>
      </c>
    </row>
    <row r="375" spans="2:21" x14ac:dyDescent="0.2">
      <c r="B375" s="17">
        <f t="shared" ca="1" si="101"/>
        <v>56766</v>
      </c>
      <c r="C375" s="9">
        <f t="shared" si="113"/>
        <v>371</v>
      </c>
      <c r="D375" s="9"/>
      <c r="E375" s="13">
        <f t="shared" si="102"/>
        <v>4519.6259782172347</v>
      </c>
      <c r="F375" s="14">
        <f t="shared" si="114"/>
        <v>902417.27983531985</v>
      </c>
      <c r="G375" s="15">
        <f t="shared" si="103"/>
        <v>0.14487216033540071</v>
      </c>
      <c r="H375" s="13">
        <f t="shared" si="116"/>
        <v>222625.10358168985</v>
      </c>
      <c r="I375" s="13">
        <f t="shared" si="105"/>
        <v>16432561.882750379</v>
      </c>
      <c r="J375" s="15">
        <f t="shared" si="98"/>
        <v>0.85512783966459927</v>
      </c>
      <c r="K375" s="13">
        <f t="shared" si="106"/>
        <v>5326642.0352607546</v>
      </c>
      <c r="L375" s="13">
        <f t="shared" si="115"/>
        <v>442507733.17033678</v>
      </c>
      <c r="M375" s="15">
        <f t="shared" si="107"/>
        <v>0.85512783966459927</v>
      </c>
      <c r="N375" s="13">
        <f t="shared" si="117"/>
        <v>63702.744383046876</v>
      </c>
      <c r="O375" s="13">
        <f t="shared" si="108"/>
        <v>11105919.847489627</v>
      </c>
      <c r="P375" s="15">
        <f t="shared" si="100"/>
        <v>0.64066531279481831</v>
      </c>
      <c r="Q375" s="7">
        <f t="shared" si="109"/>
        <v>17334979.162585702</v>
      </c>
      <c r="R375" s="7">
        <f t="shared" si="118"/>
        <v>6229059.3150960747</v>
      </c>
      <c r="S375" s="13">
        <f>IF('Calc (2)'!$AD$32="Sim",R375,Q375)</f>
        <v>6229059.3150960747</v>
      </c>
      <c r="T375" s="9">
        <f t="shared" si="111"/>
        <v>371</v>
      </c>
      <c r="U375" s="17">
        <f t="shared" ca="1" si="112"/>
        <v>56796</v>
      </c>
    </row>
    <row r="376" spans="2:21" x14ac:dyDescent="0.2">
      <c r="B376" s="17">
        <f t="shared" ca="1" si="101"/>
        <v>56796</v>
      </c>
      <c r="C376" s="9">
        <f t="shared" si="113"/>
        <v>372</v>
      </c>
      <c r="D376" s="9">
        <v>31</v>
      </c>
      <c r="E376" s="13">
        <f t="shared" si="102"/>
        <v>4538.0394939082844</v>
      </c>
      <c r="F376" s="14">
        <f t="shared" si="114"/>
        <v>906955.31932922814</v>
      </c>
      <c r="G376" s="15">
        <f t="shared" si="103"/>
        <v>0.14415347957481042</v>
      </c>
      <c r="H376" s="13">
        <f t="shared" si="116"/>
        <v>225580.94928760163</v>
      </c>
      <c r="I376" s="13">
        <f t="shared" si="105"/>
        <v>16658142.83203798</v>
      </c>
      <c r="J376" s="15">
        <f t="shared" si="98"/>
        <v>0.85584652042518961</v>
      </c>
      <c r="K376" s="13">
        <f t="shared" si="106"/>
        <v>5384639.7361931829</v>
      </c>
      <c r="L376" s="13">
        <f t="shared" si="115"/>
        <v>447892372.90652996</v>
      </c>
      <c r="M376" s="15">
        <f t="shared" si="107"/>
        <v>0.85584652042518961</v>
      </c>
      <c r="N376" s="13">
        <f t="shared" si="117"/>
        <v>64548.387806240185</v>
      </c>
      <c r="O376" s="13">
        <f t="shared" si="108"/>
        <v>11273503.095844798</v>
      </c>
      <c r="P376" s="15">
        <f t="shared" si="100"/>
        <v>0.64181270145463465</v>
      </c>
      <c r="Q376" s="7">
        <f t="shared" si="109"/>
        <v>17565098.15136721</v>
      </c>
      <c r="R376" s="7">
        <f t="shared" si="118"/>
        <v>6291595.0555224111</v>
      </c>
      <c r="S376" s="13">
        <f>IF('Calc (2)'!$AD$32="Sim",R376,Q376)</f>
        <v>6291595.0555224111</v>
      </c>
      <c r="T376" s="9">
        <f t="shared" si="111"/>
        <v>372</v>
      </c>
      <c r="U376" s="17">
        <f t="shared" ca="1" si="112"/>
        <v>56827</v>
      </c>
    </row>
    <row r="377" spans="2:21" x14ac:dyDescent="0.2">
      <c r="B377" s="17">
        <f t="shared" ca="1" si="101"/>
        <v>56827</v>
      </c>
      <c r="C377" s="9">
        <f t="shared" si="113"/>
        <v>373</v>
      </c>
      <c r="D377" s="9"/>
      <c r="E377" s="13">
        <f t="shared" si="102"/>
        <v>4556.528028541552</v>
      </c>
      <c r="F377" s="14">
        <f t="shared" si="114"/>
        <v>911511.84735776973</v>
      </c>
      <c r="G377" s="15">
        <f t="shared" si="103"/>
        <v>0.14343829903295457</v>
      </c>
      <c r="H377" s="13">
        <f t="shared" si="116"/>
        <v>228575.49917725331</v>
      </c>
      <c r="I377" s="13">
        <f t="shared" si="105"/>
        <v>16886718.331215233</v>
      </c>
      <c r="J377" s="15">
        <f t="shared" si="98"/>
        <v>0.85656170096704543</v>
      </c>
      <c r="K377" s="13">
        <f t="shared" si="106"/>
        <v>5443219.4447942115</v>
      </c>
      <c r="L377" s="13">
        <f t="shared" si="115"/>
        <v>453335592.3513242</v>
      </c>
      <c r="M377" s="15">
        <f t="shared" si="107"/>
        <v>0.85656170096704543</v>
      </c>
      <c r="N377" s="13">
        <f t="shared" si="117"/>
        <v>65405.103571358937</v>
      </c>
      <c r="O377" s="13">
        <f t="shared" si="108"/>
        <v>11443498.886421025</v>
      </c>
      <c r="P377" s="15">
        <f t="shared" si="100"/>
        <v>0.64295712391660509</v>
      </c>
      <c r="Q377" s="7">
        <f t="shared" si="109"/>
        <v>17798230.178573005</v>
      </c>
      <c r="R377" s="7">
        <f t="shared" si="118"/>
        <v>6354731.292151981</v>
      </c>
      <c r="S377" s="13">
        <f>IF('Calc (2)'!$AD$32="Sim",R377,Q377)</f>
        <v>6354731.292151981</v>
      </c>
      <c r="T377" s="9">
        <f t="shared" si="111"/>
        <v>373</v>
      </c>
      <c r="U377" s="17">
        <f t="shared" ca="1" si="112"/>
        <v>56858</v>
      </c>
    </row>
    <row r="378" spans="2:21" x14ac:dyDescent="0.2">
      <c r="B378" s="17">
        <f t="shared" ca="1" si="101"/>
        <v>56858</v>
      </c>
      <c r="C378" s="9">
        <f t="shared" si="113"/>
        <v>374</v>
      </c>
      <c r="D378" s="9"/>
      <c r="E378" s="13">
        <f t="shared" si="102"/>
        <v>4575.0918877534932</v>
      </c>
      <c r="F378" s="14">
        <f t="shared" si="114"/>
        <v>916086.93924552319</v>
      </c>
      <c r="G378" s="15">
        <f t="shared" si="103"/>
        <v>0.14272660195680642</v>
      </c>
      <c r="H378" s="13">
        <f t="shared" si="116"/>
        <v>231609.25788634553</v>
      </c>
      <c r="I378" s="13">
        <f t="shared" si="105"/>
        <v>17118327.589101579</v>
      </c>
      <c r="J378" s="15">
        <f t="shared" si="98"/>
        <v>0.85727339804319358</v>
      </c>
      <c r="K378" s="13">
        <f t="shared" si="106"/>
        <v>5502386.748811312</v>
      </c>
      <c r="L378" s="13">
        <f t="shared" si="115"/>
        <v>458837979.10013551</v>
      </c>
      <c r="M378" s="15">
        <f t="shared" si="107"/>
        <v>0.85727339804319358</v>
      </c>
      <c r="N378" s="13">
        <f t="shared" si="117"/>
        <v>66273.036040144871</v>
      </c>
      <c r="O378" s="13">
        <f t="shared" si="108"/>
        <v>11615940.840290271</v>
      </c>
      <c r="P378" s="15">
        <f t="shared" si="100"/>
        <v>0.64409858285290833</v>
      </c>
      <c r="Q378" s="7">
        <f t="shared" si="109"/>
        <v>18034414.528347105</v>
      </c>
      <c r="R378" s="7">
        <f t="shared" si="118"/>
        <v>6418473.688056835</v>
      </c>
      <c r="S378" s="13">
        <f>IF('Calc (2)'!$AD$32="Sim",R378,Q378)</f>
        <v>6418473.688056835</v>
      </c>
      <c r="T378" s="9">
        <f t="shared" si="111"/>
        <v>374</v>
      </c>
      <c r="U378" s="17">
        <f t="shared" ca="1" si="112"/>
        <v>56888</v>
      </c>
    </row>
    <row r="379" spans="2:21" x14ac:dyDescent="0.2">
      <c r="B379" s="17">
        <f t="shared" ca="1" si="101"/>
        <v>56888</v>
      </c>
      <c r="C379" s="9">
        <f t="shared" si="113"/>
        <v>375</v>
      </c>
      <c r="D379" s="9"/>
      <c r="E379" s="13">
        <f t="shared" si="102"/>
        <v>4593.7313784257667</v>
      </c>
      <c r="F379" s="14">
        <f t="shared" si="114"/>
        <v>920680.67062394891</v>
      </c>
      <c r="G379" s="15">
        <f t="shared" si="103"/>
        <v>0.14201837167404763</v>
      </c>
      <c r="H379" s="13">
        <f t="shared" si="116"/>
        <v>234682.73662140558</v>
      </c>
      <c r="I379" s="13">
        <f t="shared" si="105"/>
        <v>17353010.325722985</v>
      </c>
      <c r="J379" s="15">
        <f t="shared" si="98"/>
        <v>0.85798162832595237</v>
      </c>
      <c r="K379" s="13">
        <f t="shared" si="106"/>
        <v>5562147.2886843169</v>
      </c>
      <c r="L379" s="13">
        <f t="shared" si="115"/>
        <v>464400126.38881981</v>
      </c>
      <c r="M379" s="15">
        <f t="shared" si="107"/>
        <v>0.85798162832595237</v>
      </c>
      <c r="N379" s="13">
        <f t="shared" si="117"/>
        <v>67152.331454053972</v>
      </c>
      <c r="O379" s="13">
        <f t="shared" si="108"/>
        <v>11790863.037038669</v>
      </c>
      <c r="P379" s="15">
        <f t="shared" si="100"/>
        <v>0.64523708097043786</v>
      </c>
      <c r="Q379" s="7">
        <f t="shared" si="109"/>
        <v>18273690.996346936</v>
      </c>
      <c r="R379" s="7">
        <f t="shared" si="118"/>
        <v>6482827.9593082657</v>
      </c>
      <c r="S379" s="13">
        <f>IF('Calc (2)'!$AD$32="Sim",R379,Q379)</f>
        <v>6482827.9593082657</v>
      </c>
      <c r="T379" s="9">
        <f t="shared" si="111"/>
        <v>375</v>
      </c>
      <c r="U379" s="17">
        <f t="shared" ca="1" si="112"/>
        <v>56919</v>
      </c>
    </row>
    <row r="380" spans="2:21" x14ac:dyDescent="0.2">
      <c r="B380" s="17">
        <f t="shared" ca="1" si="101"/>
        <v>56919</v>
      </c>
      <c r="C380" s="9">
        <f t="shared" si="113"/>
        <v>376</v>
      </c>
      <c r="D380" s="9"/>
      <c r="E380" s="13">
        <f t="shared" si="102"/>
        <v>4612.4468086903025</v>
      </c>
      <c r="F380" s="14">
        <f t="shared" si="114"/>
        <v>925293.11743263924</v>
      </c>
      <c r="G380" s="15">
        <f t="shared" si="103"/>
        <v>0.14131359159263485</v>
      </c>
      <c r="H380" s="13">
        <f t="shared" si="116"/>
        <v>237796.45324531037</v>
      </c>
      <c r="I380" s="13">
        <f t="shared" si="105"/>
        <v>17590806.778968297</v>
      </c>
      <c r="J380" s="15">
        <f t="shared" si="98"/>
        <v>0.8586864084073651</v>
      </c>
      <c r="K380" s="13">
        <f t="shared" si="106"/>
        <v>5622506.7580385376</v>
      </c>
      <c r="L380" s="13">
        <f t="shared" si="115"/>
        <v>470022633.14685833</v>
      </c>
      <c r="M380" s="15">
        <f t="shared" si="107"/>
        <v>0.85868640840736521</v>
      </c>
      <c r="N380" s="13">
        <f t="shared" si="117"/>
        <v>68043.137958721985</v>
      </c>
      <c r="O380" s="13">
        <f t="shared" si="108"/>
        <v>11968300.020929763</v>
      </c>
      <c r="P380" s="15">
        <f t="shared" si="100"/>
        <v>0.64637262101054538</v>
      </c>
      <c r="Q380" s="7">
        <f t="shared" si="109"/>
        <v>18516099.89640094</v>
      </c>
      <c r="R380" s="7">
        <f t="shared" si="118"/>
        <v>6547799.8754711766</v>
      </c>
      <c r="S380" s="13">
        <f>IF('Calc (2)'!$AD$32="Sim",R380,Q380)</f>
        <v>6547799.8754711766</v>
      </c>
      <c r="T380" s="9">
        <f t="shared" si="111"/>
        <v>376</v>
      </c>
      <c r="U380" s="17">
        <f t="shared" ca="1" si="112"/>
        <v>56949</v>
      </c>
    </row>
    <row r="381" spans="2:21" x14ac:dyDescent="0.2">
      <c r="B381" s="17">
        <f t="shared" ca="1" si="101"/>
        <v>56949</v>
      </c>
      <c r="C381" s="9">
        <f t="shared" si="113"/>
        <v>377</v>
      </c>
      <c r="D381" s="9"/>
      <c r="E381" s="13">
        <f t="shared" si="102"/>
        <v>4631.2384879344008</v>
      </c>
      <c r="F381" s="14">
        <f t="shared" si="114"/>
        <v>929924.35592057358</v>
      </c>
      <c r="G381" s="15">
        <f t="shared" si="103"/>
        <v>0.14061224520036966</v>
      </c>
      <c r="H381" s="13">
        <f t="shared" si="116"/>
        <v>240950.93236392207</v>
      </c>
      <c r="I381" s="13">
        <f t="shared" si="105"/>
        <v>17831757.711332221</v>
      </c>
      <c r="J381" s="15">
        <f t="shared" si="98"/>
        <v>0.85938775479963037</v>
      </c>
      <c r="K381" s="13">
        <f t="shared" si="106"/>
        <v>5683470.9041824834</v>
      </c>
      <c r="L381" s="13">
        <f t="shared" si="115"/>
        <v>475706104.05104083</v>
      </c>
      <c r="M381" s="15">
        <f t="shared" si="107"/>
        <v>0.85938775479963037</v>
      </c>
      <c r="N381" s="13">
        <f t="shared" si="117"/>
        <v>68945.605628748075</v>
      </c>
      <c r="O381" s="13">
        <f t="shared" si="108"/>
        <v>12148286.807149738</v>
      </c>
      <c r="P381" s="15">
        <f t="shared" si="100"/>
        <v>0.64750520574878112</v>
      </c>
      <c r="Q381" s="7">
        <f t="shared" si="109"/>
        <v>18761682.067252796</v>
      </c>
      <c r="R381" s="7">
        <f t="shared" si="118"/>
        <v>6613395.2601030571</v>
      </c>
      <c r="S381" s="13">
        <f>IF('Calc (2)'!$AD$32="Sim",R381,Q381)</f>
        <v>6613395.2601030571</v>
      </c>
      <c r="T381" s="9">
        <f t="shared" si="111"/>
        <v>377</v>
      </c>
      <c r="U381" s="17">
        <f t="shared" ca="1" si="112"/>
        <v>56980</v>
      </c>
    </row>
    <row r="382" spans="2:21" x14ac:dyDescent="0.2">
      <c r="B382" s="17">
        <f t="shared" ca="1" si="101"/>
        <v>56980</v>
      </c>
      <c r="C382" s="9">
        <f t="shared" si="113"/>
        <v>378</v>
      </c>
      <c r="D382" s="9"/>
      <c r="E382" s="13">
        <f t="shared" si="102"/>
        <v>4650.1067268058423</v>
      </c>
      <c r="F382" s="14">
        <f t="shared" si="114"/>
        <v>934574.46264737938</v>
      </c>
      <c r="G382" s="15">
        <f t="shared" si="103"/>
        <v>0.13991431606447158</v>
      </c>
      <c r="H382" s="13">
        <f t="shared" si="116"/>
        <v>244146.70541385104</v>
      </c>
      <c r="I382" s="13">
        <f t="shared" si="105"/>
        <v>18075904.416746072</v>
      </c>
      <c r="J382" s="15">
        <f t="shared" si="98"/>
        <v>0.86008568393552842</v>
      </c>
      <c r="K382" s="13">
        <f t="shared" si="106"/>
        <v>5745045.5286102248</v>
      </c>
      <c r="L382" s="13">
        <f t="shared" si="115"/>
        <v>481451149.57965106</v>
      </c>
      <c r="M382" s="15">
        <f t="shared" si="107"/>
        <v>0.86008568393552842</v>
      </c>
      <c r="N382" s="13">
        <f t="shared" si="117"/>
        <v>69859.886492801292</v>
      </c>
      <c r="O382" s="13">
        <f t="shared" si="108"/>
        <v>12330858.88813585</v>
      </c>
      <c r="P382" s="15">
        <f t="shared" si="100"/>
        <v>0.6486348379946375</v>
      </c>
      <c r="Q382" s="7">
        <f t="shared" si="109"/>
        <v>19010478.879393455</v>
      </c>
      <c r="R382" s="7">
        <f t="shared" si="118"/>
        <v>6679619.9912576042</v>
      </c>
      <c r="S382" s="13">
        <f>IF('Calc (2)'!$AD$32="Sim",R382,Q382)</f>
        <v>6679619.9912576042</v>
      </c>
      <c r="T382" s="9">
        <f t="shared" si="111"/>
        <v>378</v>
      </c>
      <c r="U382" s="17">
        <f t="shared" ca="1" si="112"/>
        <v>57011</v>
      </c>
    </row>
    <row r="383" spans="2:21" x14ac:dyDescent="0.2">
      <c r="B383" s="17">
        <f t="shared" ca="1" si="101"/>
        <v>57011</v>
      </c>
      <c r="C383" s="9">
        <f t="shared" si="113"/>
        <v>379</v>
      </c>
      <c r="D383" s="9"/>
      <c r="E383" s="13">
        <f t="shared" si="102"/>
        <v>4669.051837218025</v>
      </c>
      <c r="F383" s="14">
        <f t="shared" si="114"/>
        <v>939243.51448459737</v>
      </c>
      <c r="G383" s="15">
        <f t="shared" si="103"/>
        <v>0.13921978783115452</v>
      </c>
      <c r="H383" s="13">
        <f t="shared" si="116"/>
        <v>247384.31075136145</v>
      </c>
      <c r="I383" s="13">
        <f t="shared" si="105"/>
        <v>18323288.727497432</v>
      </c>
      <c r="J383" s="15">
        <f t="shared" si="98"/>
        <v>0.86078021216884548</v>
      </c>
      <c r="K383" s="13">
        <f t="shared" si="106"/>
        <v>5807236.4875084385</v>
      </c>
      <c r="L383" s="13">
        <f t="shared" si="115"/>
        <v>487258386.06715947</v>
      </c>
      <c r="M383" s="15">
        <f t="shared" si="107"/>
        <v>0.86078021216884548</v>
      </c>
      <c r="N383" s="13">
        <f t="shared" si="117"/>
        <v>70786.134559053506</v>
      </c>
      <c r="O383" s="13">
        <f t="shared" si="108"/>
        <v>12516052.239988996</v>
      </c>
      <c r="P383" s="15">
        <f t="shared" si="100"/>
        <v>0.64976152059129</v>
      </c>
      <c r="Q383" s="7">
        <f t="shared" si="109"/>
        <v>19262532.241982032</v>
      </c>
      <c r="R383" s="7">
        <f t="shared" si="118"/>
        <v>6746480.0019930359</v>
      </c>
      <c r="S383" s="13">
        <f>IF('Calc (2)'!$AD$32="Sim",R383,Q383)</f>
        <v>6746480.0019930359</v>
      </c>
      <c r="T383" s="9">
        <f t="shared" si="111"/>
        <v>379</v>
      </c>
      <c r="U383" s="17">
        <f t="shared" ca="1" si="112"/>
        <v>57040</v>
      </c>
    </row>
    <row r="384" spans="2:21" x14ac:dyDescent="0.2">
      <c r="B384" s="17">
        <f t="shared" ca="1" si="101"/>
        <v>57040</v>
      </c>
      <c r="C384" s="9">
        <f t="shared" si="113"/>
        <v>380</v>
      </c>
      <c r="D384" s="9"/>
      <c r="E384" s="13">
        <f t="shared" si="102"/>
        <v>4688.0741323551219</v>
      </c>
      <c r="F384" s="14">
        <f t="shared" si="114"/>
        <v>943931.58861695253</v>
      </c>
      <c r="G384" s="15">
        <f t="shared" si="103"/>
        <v>0.13852864422520628</v>
      </c>
      <c r="H384" s="13">
        <f t="shared" si="116"/>
        <v>250664.29374243313</v>
      </c>
      <c r="I384" s="13">
        <f t="shared" si="105"/>
        <v>18573953.021239866</v>
      </c>
      <c r="J384" s="15">
        <f t="shared" si="98"/>
        <v>0.86147135577479372</v>
      </c>
      <c r="K384" s="13">
        <f t="shared" si="106"/>
        <v>5870049.6922681853</v>
      </c>
      <c r="L384" s="13">
        <f t="shared" si="115"/>
        <v>493128435.75942767</v>
      </c>
      <c r="M384" s="15">
        <f t="shared" si="107"/>
        <v>0.86147135577479372</v>
      </c>
      <c r="N384" s="13">
        <f t="shared" si="117"/>
        <v>71724.505840943602</v>
      </c>
      <c r="O384" s="13">
        <f t="shared" si="108"/>
        <v>12703903.328971684</v>
      </c>
      <c r="P384" s="15">
        <f t="shared" si="100"/>
        <v>0.65088525641534045</v>
      </c>
      <c r="Q384" s="7">
        <f t="shared" si="109"/>
        <v>19517884.609856822</v>
      </c>
      <c r="R384" s="7">
        <f t="shared" si="118"/>
        <v>6813981.2808851376</v>
      </c>
      <c r="S384" s="13">
        <f>IF('Calc (2)'!$AD$32="Sim",R384,Q384)</f>
        <v>6813981.2808851376</v>
      </c>
      <c r="T384" s="9">
        <f t="shared" si="111"/>
        <v>380</v>
      </c>
      <c r="U384" s="17">
        <f t="shared" ca="1" si="112"/>
        <v>57071</v>
      </c>
    </row>
    <row r="385" spans="2:21" x14ac:dyDescent="0.2">
      <c r="B385" s="17">
        <f t="shared" ca="1" si="101"/>
        <v>57071</v>
      </c>
      <c r="C385" s="9">
        <f t="shared" si="113"/>
        <v>381</v>
      </c>
      <c r="D385" s="9"/>
      <c r="E385" s="13">
        <f t="shared" si="102"/>
        <v>4707.1739266772565</v>
      </c>
      <c r="F385" s="14">
        <f t="shared" si="114"/>
        <v>948638.76254362974</v>
      </c>
      <c r="G385" s="15">
        <f t="shared" si="103"/>
        <v>0.13784086904957119</v>
      </c>
      <c r="H385" s="13">
        <f t="shared" si="116"/>
        <v>253987.20685399638</v>
      </c>
      <c r="I385" s="13">
        <f t="shared" si="105"/>
        <v>18827940.228093863</v>
      </c>
      <c r="J385" s="15">
        <f t="shared" si="98"/>
        <v>0.86215913095042884</v>
      </c>
      <c r="K385" s="13">
        <f t="shared" si="106"/>
        <v>5933491.1100014597</v>
      </c>
      <c r="L385" s="13">
        <f t="shared" si="115"/>
        <v>499061926.86942911</v>
      </c>
      <c r="M385" s="15">
        <f t="shared" si="107"/>
        <v>0.86215913095042884</v>
      </c>
      <c r="N385" s="13">
        <f t="shared" si="117"/>
        <v>72675.158383276605</v>
      </c>
      <c r="O385" s="13">
        <f t="shared" si="108"/>
        <v>12894449.118092407</v>
      </c>
      <c r="P385" s="15">
        <f t="shared" si="100"/>
        <v>0.65200604837655773</v>
      </c>
      <c r="Q385" s="7">
        <f t="shared" si="109"/>
        <v>19776578.990637496</v>
      </c>
      <c r="R385" s="7">
        <f t="shared" si="118"/>
        <v>6882129.8725450896</v>
      </c>
      <c r="S385" s="13">
        <f>IF('Calc (2)'!$AD$32="Sim",R385,Q385)</f>
        <v>6882129.8725450896</v>
      </c>
      <c r="T385" s="9">
        <f t="shared" si="111"/>
        <v>381</v>
      </c>
      <c r="U385" s="17">
        <f t="shared" ca="1" si="112"/>
        <v>57101</v>
      </c>
    </row>
    <row r="386" spans="2:21" x14ac:dyDescent="0.2">
      <c r="B386" s="17">
        <f t="shared" ca="1" si="101"/>
        <v>57101</v>
      </c>
      <c r="C386" s="9">
        <f t="shared" si="113"/>
        <v>382</v>
      </c>
      <c r="D386" s="9"/>
      <c r="E386" s="13">
        <f t="shared" si="102"/>
        <v>4726.3515359257017</v>
      </c>
      <c r="F386" s="14">
        <f t="shared" si="114"/>
        <v>953365.1140795555</v>
      </c>
      <c r="G386" s="15">
        <f t="shared" si="103"/>
        <v>0.13715644618493611</v>
      </c>
      <c r="H386" s="13">
        <f t="shared" si="116"/>
        <v>257353.60974635315</v>
      </c>
      <c r="I386" s="13">
        <f t="shared" si="105"/>
        <v>19085293.837840214</v>
      </c>
      <c r="J386" s="15">
        <f t="shared" si="98"/>
        <v>0.86284355381506384</v>
      </c>
      <c r="K386" s="13">
        <f t="shared" si="106"/>
        <v>5997566.7640625574</v>
      </c>
      <c r="L386" s="13">
        <f t="shared" si="115"/>
        <v>505059493.63349169</v>
      </c>
      <c r="M386" s="15">
        <f t="shared" si="107"/>
        <v>0.86284355381506395</v>
      </c>
      <c r="N386" s="13">
        <f t="shared" si="117"/>
        <v>73638.252288662858</v>
      </c>
      <c r="O386" s="13">
        <f t="shared" si="108"/>
        <v>13087727.073777663</v>
      </c>
      <c r="P386" s="15">
        <f t="shared" si="100"/>
        <v>0.65312389941762106</v>
      </c>
      <c r="Q386" s="7">
        <f t="shared" si="109"/>
        <v>20038658.951919775</v>
      </c>
      <c r="R386" s="7">
        <f t="shared" si="118"/>
        <v>6950931.8781421129</v>
      </c>
      <c r="S386" s="13">
        <f>IF('Calc (2)'!$AD$32="Sim",R386,Q386)</f>
        <v>6950931.8781421129</v>
      </c>
      <c r="T386" s="9">
        <f t="shared" si="111"/>
        <v>382</v>
      </c>
      <c r="U386" s="17">
        <f t="shared" ca="1" si="112"/>
        <v>57132</v>
      </c>
    </row>
    <row r="387" spans="2:21" x14ac:dyDescent="0.2">
      <c r="B387" s="17">
        <f t="shared" ca="1" si="101"/>
        <v>57132</v>
      </c>
      <c r="C387" s="9">
        <f t="shared" si="113"/>
        <v>383</v>
      </c>
      <c r="D387" s="9"/>
      <c r="E387" s="13">
        <f t="shared" si="102"/>
        <v>4745.6072771280997</v>
      </c>
      <c r="F387" s="14">
        <f t="shared" si="114"/>
        <v>958110.72135668364</v>
      </c>
      <c r="G387" s="15">
        <f t="shared" si="103"/>
        <v>0.13647535958931895</v>
      </c>
      <c r="H387" s="13">
        <f t="shared" si="116"/>
        <v>260764.06936680165</v>
      </c>
      <c r="I387" s="13">
        <f t="shared" si="105"/>
        <v>19346057.907207016</v>
      </c>
      <c r="J387" s="15">
        <f t="shared" si="98"/>
        <v>0.86352464041068111</v>
      </c>
      <c r="K387" s="13">
        <f t="shared" si="106"/>
        <v>6062282.7345743077</v>
      </c>
      <c r="L387" s="13">
        <f t="shared" si="115"/>
        <v>511121776.36806601</v>
      </c>
      <c r="M387" s="15">
        <f t="shared" si="107"/>
        <v>0.86352464041068111</v>
      </c>
      <c r="N387" s="13">
        <f t="shared" si="117"/>
        <v>74613.949744300917</v>
      </c>
      <c r="O387" s="13">
        <f t="shared" si="108"/>
        <v>13283775.172632715</v>
      </c>
      <c r="P387" s="15">
        <f t="shared" si="100"/>
        <v>0.65423881251386129</v>
      </c>
      <c r="Q387" s="7">
        <f t="shared" si="109"/>
        <v>20304168.628563706</v>
      </c>
      <c r="R387" s="7">
        <f t="shared" si="118"/>
        <v>7020393.4559309911</v>
      </c>
      <c r="S387" s="13">
        <f>IF('Calc (2)'!$AD$32="Sim",R387,Q387)</f>
        <v>7020393.4559309911</v>
      </c>
      <c r="T387" s="9">
        <f t="shared" si="111"/>
        <v>383</v>
      </c>
      <c r="U387" s="17">
        <f t="shared" ca="1" si="112"/>
        <v>57162</v>
      </c>
    </row>
    <row r="388" spans="2:21" x14ac:dyDescent="0.2">
      <c r="B388" s="17">
        <f t="shared" ca="1" si="101"/>
        <v>57162</v>
      </c>
      <c r="C388" s="9">
        <f t="shared" si="113"/>
        <v>384</v>
      </c>
      <c r="D388" s="9">
        <v>32</v>
      </c>
      <c r="E388" s="13">
        <f t="shared" si="102"/>
        <v>4764.9414686037017</v>
      </c>
      <c r="F388" s="14">
        <f t="shared" si="114"/>
        <v>962875.66282528732</v>
      </c>
      <c r="G388" s="15">
        <f t="shared" si="103"/>
        <v>0.13579759329766086</v>
      </c>
      <c r="H388" s="13">
        <f t="shared" si="116"/>
        <v>264219.16004447907</v>
      </c>
      <c r="I388" s="13">
        <f t="shared" si="105"/>
        <v>19610277.067251496</v>
      </c>
      <c r="J388" s="15">
        <f t="shared" si="98"/>
        <v>0.86420240670233917</v>
      </c>
      <c r="K388" s="13">
        <f t="shared" si="106"/>
        <v>6127645.1589592109</v>
      </c>
      <c r="L388" s="13">
        <f t="shared" si="115"/>
        <v>517249421.52702522</v>
      </c>
      <c r="M388" s="15">
        <f t="shared" si="107"/>
        <v>0.86420240670233917</v>
      </c>
      <c r="N388" s="13">
        <f t="shared" si="117"/>
        <v>75602.415049109259</v>
      </c>
      <c r="O388" s="13">
        <f t="shared" si="108"/>
        <v>13482631.908292292</v>
      </c>
      <c r="P388" s="15">
        <f t="shared" si="100"/>
        <v>0.65535079067300384</v>
      </c>
      <c r="Q388" s="7">
        <f t="shared" si="109"/>
        <v>20573152.73007679</v>
      </c>
      <c r="R388" s="7">
        <f t="shared" si="118"/>
        <v>7090520.8217844982</v>
      </c>
      <c r="S388" s="13">
        <f>IF('Calc (2)'!$AD$32="Sim",R388,Q388)</f>
        <v>7090520.8217844982</v>
      </c>
      <c r="T388" s="9">
        <f t="shared" si="111"/>
        <v>384</v>
      </c>
      <c r="U388" s="17">
        <f t="shared" ca="1" si="112"/>
        <v>57193</v>
      </c>
    </row>
    <row r="389" spans="2:21" x14ac:dyDescent="0.2">
      <c r="B389" s="17">
        <f t="shared" ca="1" si="101"/>
        <v>57193</v>
      </c>
      <c r="C389" s="9">
        <f t="shared" si="113"/>
        <v>385</v>
      </c>
      <c r="D389" s="9"/>
      <c r="E389" s="13">
        <f t="shared" si="102"/>
        <v>4784.3544299686328</v>
      </c>
      <c r="F389" s="14">
        <f t="shared" si="114"/>
        <v>967660.01725525595</v>
      </c>
      <c r="G389" s="15">
        <f t="shared" si="103"/>
        <v>0.13512313142142091</v>
      </c>
      <c r="H389" s="13">
        <f t="shared" si="116"/>
        <v>267719.46358643862</v>
      </c>
      <c r="I389" s="13">
        <f t="shared" si="105"/>
        <v>19877996.530837934</v>
      </c>
      <c r="J389" s="15">
        <f t="shared" ref="J389:J452" si="119">1-G389</f>
        <v>0.86487686857857904</v>
      </c>
      <c r="K389" s="13">
        <f t="shared" si="106"/>
        <v>6193660.2324755313</v>
      </c>
      <c r="L389" s="13">
        <f t="shared" si="115"/>
        <v>523443081.75950074</v>
      </c>
      <c r="M389" s="15">
        <f t="shared" si="107"/>
        <v>0.86487686857857904</v>
      </c>
      <c r="N389" s="13">
        <f t="shared" si="117"/>
        <v>76603.814641210891</v>
      </c>
      <c r="O389" s="13">
        <f t="shared" si="108"/>
        <v>13684336.298362408</v>
      </c>
      <c r="P389" s="15">
        <f t="shared" ref="P389:P452" si="120">O389/Q389</f>
        <v>0.6564598369349105</v>
      </c>
      <c r="Q389" s="7">
        <f t="shared" si="109"/>
        <v>20845656.548093196</v>
      </c>
      <c r="R389" s="7">
        <f t="shared" si="118"/>
        <v>7161320.2497307872</v>
      </c>
      <c r="S389" s="13">
        <f>IF('Calc (2)'!$AD$32="Sim",R389,Q389)</f>
        <v>7161320.2497307872</v>
      </c>
      <c r="T389" s="9">
        <f t="shared" si="111"/>
        <v>385</v>
      </c>
      <c r="U389" s="17">
        <f t="shared" ca="1" si="112"/>
        <v>57224</v>
      </c>
    </row>
    <row r="390" spans="2:21" x14ac:dyDescent="0.2">
      <c r="B390" s="17">
        <f t="shared" ref="B390:B453" ca="1" si="121">DATE(YEAR(B389),MONTH(B389)+1,1)</f>
        <v>57224</v>
      </c>
      <c r="C390" s="9">
        <f t="shared" si="113"/>
        <v>386</v>
      </c>
      <c r="D390" s="9"/>
      <c r="E390" s="13">
        <f t="shared" ref="E390:E453" si="122">IF($AE$33,IF($AE$34,$E389*(1+Inflação_2)*(1+Crescimento_Salário_2),$E389*(1+Inflação_2)),IF($AE$34,$E389*(1+Crescimento_Salário_2),$E389))</f>
        <v>4803.8464821411717</v>
      </c>
      <c r="F390" s="14">
        <f t="shared" si="114"/>
        <v>972463.86373739713</v>
      </c>
      <c r="G390" s="15">
        <f t="shared" ref="G390:G453" si="123">IF(F390&lt;=0,0,F390/S390)</f>
        <v>0.13445195814817398</v>
      </c>
      <c r="H390" s="13">
        <f t="shared" si="116"/>
        <v>271265.56937497697</v>
      </c>
      <c r="I390" s="13">
        <f t="shared" ref="I390:I453" si="124">I389+H390</f>
        <v>20149262.100212913</v>
      </c>
      <c r="J390" s="15">
        <f t="shared" si="119"/>
        <v>0.86554804185182599</v>
      </c>
      <c r="K390" s="13">
        <f t="shared" ref="K390:K453" si="125">R390-F390</f>
        <v>6260334.2087583905</v>
      </c>
      <c r="L390" s="13">
        <f t="shared" si="115"/>
        <v>529703415.96825916</v>
      </c>
      <c r="M390" s="15">
        <f t="shared" ref="M390:M453" si="126">K390/R390</f>
        <v>0.86554804185182599</v>
      </c>
      <c r="N390" s="13">
        <f t="shared" si="117"/>
        <v>77618.317125775749</v>
      </c>
      <c r="O390" s="13">
        <f t="shared" ref="O390:O453" si="127">Q390-R390</f>
        <v>13888927.891454529</v>
      </c>
      <c r="P390" s="15">
        <f t="shared" si="120"/>
        <v>0.65756595437132237</v>
      </c>
      <c r="Q390" s="7">
        <f t="shared" ref="Q390:Q453" si="128">Q389+E390+H390</f>
        <v>21121725.963950317</v>
      </c>
      <c r="R390" s="7">
        <f t="shared" si="118"/>
        <v>7232798.0724957874</v>
      </c>
      <c r="S390" s="13">
        <f>IF('Calc (2)'!$AD$32="Sim",R390,Q390)</f>
        <v>7232798.0724957874</v>
      </c>
      <c r="T390" s="9">
        <f t="shared" ref="T390:T453" si="129">C390</f>
        <v>386</v>
      </c>
      <c r="U390" s="17">
        <f t="shared" ref="U390:U453" ca="1" si="130">DATE(YEAR(U389),MONTH(U389)+1,1)</f>
        <v>57254</v>
      </c>
    </row>
    <row r="391" spans="2:21" x14ac:dyDescent="0.2">
      <c r="B391" s="17">
        <f t="shared" ca="1" si="121"/>
        <v>57254</v>
      </c>
      <c r="C391" s="9">
        <f t="shared" ref="C391:C454" si="131">C390+1</f>
        <v>387</v>
      </c>
      <c r="D391" s="9"/>
      <c r="E391" s="13">
        <f t="shared" si="122"/>
        <v>4823.4179473470585</v>
      </c>
      <c r="F391" s="14">
        <f t="shared" ref="F391:F454" si="132">F390+E391</f>
        <v>977287.28168474417</v>
      </c>
      <c r="G391" s="15">
        <f t="shared" si="123"/>
        <v>0.13378405774121155</v>
      </c>
      <c r="H391" s="13">
        <f t="shared" si="116"/>
        <v>274858.07446622819</v>
      </c>
      <c r="I391" s="13">
        <f t="shared" si="124"/>
        <v>20424120.174679141</v>
      </c>
      <c r="J391" s="15">
        <f t="shared" si="119"/>
        <v>0.86621594225878851</v>
      </c>
      <c r="K391" s="13">
        <f t="shared" si="125"/>
        <v>6327673.4003659058</v>
      </c>
      <c r="L391" s="13">
        <f t="shared" ref="L391:L454" si="133">L390+K391</f>
        <v>536031089.36862504</v>
      </c>
      <c r="M391" s="15">
        <f t="shared" si="126"/>
        <v>0.86621594225878851</v>
      </c>
      <c r="N391" s="13">
        <f t="shared" si="117"/>
        <v>78646.093303225367</v>
      </c>
      <c r="O391" s="13">
        <f t="shared" si="127"/>
        <v>14096446.774313245</v>
      </c>
      <c r="P391" s="15">
        <f t="shared" si="120"/>
        <v>0.65866914608560212</v>
      </c>
      <c r="Q391" s="7">
        <f t="shared" si="128"/>
        <v>21401407.456363894</v>
      </c>
      <c r="R391" s="7">
        <f t="shared" si="118"/>
        <v>7304960.68205065</v>
      </c>
      <c r="S391" s="13">
        <f>IF('Calc (2)'!$AD$32="Sim",R391,Q391)</f>
        <v>7304960.68205065</v>
      </c>
      <c r="T391" s="9">
        <f t="shared" si="129"/>
        <v>387</v>
      </c>
      <c r="U391" s="17">
        <f t="shared" ca="1" si="130"/>
        <v>57285</v>
      </c>
    </row>
    <row r="392" spans="2:21" x14ac:dyDescent="0.2">
      <c r="B392" s="17">
        <f t="shared" ca="1" si="121"/>
        <v>57285</v>
      </c>
      <c r="C392" s="9">
        <f t="shared" si="131"/>
        <v>388</v>
      </c>
      <c r="D392" s="9"/>
      <c r="E392" s="13">
        <f t="shared" si="122"/>
        <v>4843.0691491248217</v>
      </c>
      <c r="F392" s="14">
        <f t="shared" si="132"/>
        <v>982130.35083386896</v>
      </c>
      <c r="G392" s="15">
        <f t="shared" si="123"/>
        <v>0.13311941453914516</v>
      </c>
      <c r="H392" s="13">
        <f t="shared" si="116"/>
        <v>278497.58369004069</v>
      </c>
      <c r="I392" s="13">
        <f t="shared" si="124"/>
        <v>20702617.758369181</v>
      </c>
      <c r="J392" s="15">
        <f t="shared" si="119"/>
        <v>0.86688058546085478</v>
      </c>
      <c r="K392" s="13">
        <f t="shared" si="125"/>
        <v>6395684.1793304244</v>
      </c>
      <c r="L392" s="13">
        <f t="shared" si="133"/>
        <v>542426773.54795551</v>
      </c>
      <c r="M392" s="15">
        <f t="shared" si="126"/>
        <v>0.86688058546085489</v>
      </c>
      <c r="N392" s="13">
        <f t="shared" si="117"/>
        <v>79687.316197804641</v>
      </c>
      <c r="O392" s="13">
        <f t="shared" si="127"/>
        <v>14306933.579038765</v>
      </c>
      <c r="P392" s="15">
        <f t="shared" si="120"/>
        <v>0.6597694152124769</v>
      </c>
      <c r="Q392" s="7">
        <f t="shared" si="128"/>
        <v>21684748.109203059</v>
      </c>
      <c r="R392" s="7">
        <f t="shared" si="118"/>
        <v>7377814.530164293</v>
      </c>
      <c r="S392" s="13">
        <f>IF('Calc (2)'!$AD$32="Sim",R392,Q392)</f>
        <v>7377814.530164293</v>
      </c>
      <c r="T392" s="9">
        <f t="shared" si="129"/>
        <v>388</v>
      </c>
      <c r="U392" s="17">
        <f t="shared" ca="1" si="130"/>
        <v>57315</v>
      </c>
    </row>
    <row r="393" spans="2:21" x14ac:dyDescent="0.2">
      <c r="B393" s="17">
        <f t="shared" ca="1" si="121"/>
        <v>57315</v>
      </c>
      <c r="C393" s="9">
        <f t="shared" si="131"/>
        <v>389</v>
      </c>
      <c r="D393" s="9"/>
      <c r="E393" s="13">
        <f t="shared" si="122"/>
        <v>4862.8004123311248</v>
      </c>
      <c r="F393" s="14">
        <f t="shared" si="132"/>
        <v>986993.15124620008</v>
      </c>
      <c r="G393" s="15">
        <f t="shared" si="123"/>
        <v>0.1324580129555131</v>
      </c>
      <c r="H393" s="13">
        <f t="shared" si="116"/>
        <v>282184.70975115406</v>
      </c>
      <c r="I393" s="13">
        <f t="shared" si="124"/>
        <v>20984802.468120337</v>
      </c>
      <c r="J393" s="15">
        <f t="shared" si="119"/>
        <v>0.86754198704448693</v>
      </c>
      <c r="K393" s="13">
        <f t="shared" si="125"/>
        <v>6464372.9777148943</v>
      </c>
      <c r="L393" s="13">
        <f t="shared" si="133"/>
        <v>548891146.52567041</v>
      </c>
      <c r="M393" s="15">
        <f t="shared" si="126"/>
        <v>0.86754198704448693</v>
      </c>
      <c r="N393" s="13">
        <f t="shared" si="117"/>
        <v>80742.161086525419</v>
      </c>
      <c r="O393" s="13">
        <f t="shared" si="127"/>
        <v>14520429.490405452</v>
      </c>
      <c r="P393" s="15">
        <f t="shared" si="120"/>
        <v>0.66086676491778151</v>
      </c>
      <c r="Q393" s="7">
        <f t="shared" si="128"/>
        <v>21971795.619366545</v>
      </c>
      <c r="R393" s="7">
        <f t="shared" si="118"/>
        <v>7451366.1289610947</v>
      </c>
      <c r="S393" s="13">
        <f>IF('Calc (2)'!$AD$32="Sim",R393,Q393)</f>
        <v>7451366.1289610947</v>
      </c>
      <c r="T393" s="9">
        <f t="shared" si="129"/>
        <v>389</v>
      </c>
      <c r="U393" s="17">
        <f t="shared" ca="1" si="130"/>
        <v>57346</v>
      </c>
    </row>
    <row r="394" spans="2:21" x14ac:dyDescent="0.2">
      <c r="B394" s="17">
        <f t="shared" ca="1" si="121"/>
        <v>57346</v>
      </c>
      <c r="C394" s="9">
        <f t="shared" si="131"/>
        <v>390</v>
      </c>
      <c r="D394" s="9"/>
      <c r="E394" s="13">
        <f t="shared" si="122"/>
        <v>4882.6120631461381</v>
      </c>
      <c r="F394" s="14">
        <f t="shared" si="132"/>
        <v>991875.76330934628</v>
      </c>
      <c r="G394" s="15">
        <f t="shared" si="123"/>
        <v>0.13179983747838953</v>
      </c>
      <c r="H394" s="13">
        <f t="shared" si="116"/>
        <v>285920.0733316929</v>
      </c>
      <c r="I394" s="13">
        <f t="shared" si="124"/>
        <v>21270722.541452028</v>
      </c>
      <c r="J394" s="15">
        <f t="shared" si="119"/>
        <v>0.86820016252161047</v>
      </c>
      <c r="K394" s="13">
        <f t="shared" si="125"/>
        <v>6533746.2881744318</v>
      </c>
      <c r="L394" s="13">
        <f t="shared" si="133"/>
        <v>555424892.8138448</v>
      </c>
      <c r="M394" s="15">
        <f t="shared" si="126"/>
        <v>0.86820016252161047</v>
      </c>
      <c r="N394" s="13">
        <f t="shared" si="117"/>
        <v>81810.805528486642</v>
      </c>
      <c r="O394" s="13">
        <f t="shared" si="127"/>
        <v>14736976.253277605</v>
      </c>
      <c r="P394" s="15">
        <f t="shared" si="120"/>
        <v>0.66196119839820111</v>
      </c>
      <c r="Q394" s="7">
        <f t="shared" si="128"/>
        <v>22262598.304761384</v>
      </c>
      <c r="R394" s="7">
        <f t="shared" si="118"/>
        <v>7525622.0514837783</v>
      </c>
      <c r="S394" s="13">
        <f>IF('Calc (2)'!$AD$32="Sim",R394,Q394)</f>
        <v>7525622.0514837783</v>
      </c>
      <c r="T394" s="9">
        <f t="shared" si="129"/>
        <v>390</v>
      </c>
      <c r="U394" s="17">
        <f t="shared" ca="1" si="130"/>
        <v>57377</v>
      </c>
    </row>
    <row r="395" spans="2:21" x14ac:dyDescent="0.2">
      <c r="B395" s="17">
        <f t="shared" ca="1" si="121"/>
        <v>57377</v>
      </c>
      <c r="C395" s="9">
        <f t="shared" si="131"/>
        <v>391</v>
      </c>
      <c r="D395" s="9"/>
      <c r="E395" s="13">
        <f t="shared" si="122"/>
        <v>4902.5044290789301</v>
      </c>
      <c r="F395" s="14">
        <f t="shared" si="132"/>
        <v>996778.26773842517</v>
      </c>
      <c r="G395" s="15">
        <f t="shared" si="123"/>
        <v>0.13114487266999664</v>
      </c>
      <c r="H395" s="13">
        <f t="shared" si="116"/>
        <v>289704.30319499352</v>
      </c>
      <c r="I395" s="13">
        <f t="shared" si="124"/>
        <v>21560426.84464702</v>
      </c>
      <c r="J395" s="15">
        <f t="shared" si="119"/>
        <v>0.86885512733000336</v>
      </c>
      <c r="K395" s="13">
        <f t="shared" si="125"/>
        <v>6603810.6645231135</v>
      </c>
      <c r="L395" s="13">
        <f t="shared" si="133"/>
        <v>562028703.47836792</v>
      </c>
      <c r="M395" s="15">
        <f t="shared" si="126"/>
        <v>0.86885512733000336</v>
      </c>
      <c r="N395" s="13">
        <f t="shared" si="117"/>
        <v>82893.429394576277</v>
      </c>
      <c r="O395" s="13">
        <f t="shared" si="127"/>
        <v>14956616.180123918</v>
      </c>
      <c r="P395" s="15">
        <f t="shared" si="120"/>
        <v>0.66305271888101547</v>
      </c>
      <c r="Q395" s="7">
        <f t="shared" si="128"/>
        <v>22557205.112385456</v>
      </c>
      <c r="R395" s="7">
        <f t="shared" si="118"/>
        <v>7600588.9322615387</v>
      </c>
      <c r="S395" s="13">
        <f>IF('Calc (2)'!$AD$32="Sim",R395,Q395)</f>
        <v>7600588.9322615387</v>
      </c>
      <c r="T395" s="9">
        <f t="shared" si="129"/>
        <v>391</v>
      </c>
      <c r="U395" s="17">
        <f t="shared" ca="1" si="130"/>
        <v>57405</v>
      </c>
    </row>
    <row r="396" spans="2:21" x14ac:dyDescent="0.2">
      <c r="B396" s="17">
        <f t="shared" ca="1" si="121"/>
        <v>57405</v>
      </c>
      <c r="C396" s="9">
        <f t="shared" si="131"/>
        <v>392</v>
      </c>
      <c r="D396" s="9"/>
      <c r="E396" s="13">
        <f t="shared" si="122"/>
        <v>4922.4778389728817</v>
      </c>
      <c r="F396" s="14">
        <f t="shared" si="132"/>
        <v>1001700.7455773981</v>
      </c>
      <c r="G396" s="15">
        <f t="shared" si="123"/>
        <v>0.13049310316631946</v>
      </c>
      <c r="H396" s="13">
        <f t="shared" si="116"/>
        <v>293538.03629078314</v>
      </c>
      <c r="I396" s="13">
        <f t="shared" si="124"/>
        <v>21853964.880937804</v>
      </c>
      <c r="J396" s="15">
        <f t="shared" si="119"/>
        <v>0.86950689683368054</v>
      </c>
      <c r="K396" s="13">
        <f t="shared" si="125"/>
        <v>6674572.7223060699</v>
      </c>
      <c r="L396" s="13">
        <f t="shared" si="133"/>
        <v>568703276.20067394</v>
      </c>
      <c r="M396" s="15">
        <f t="shared" si="126"/>
        <v>0.86950689683368054</v>
      </c>
      <c r="N396" s="13">
        <f t="shared" si="117"/>
        <v>83990.214897559519</v>
      </c>
      <c r="O396" s="13">
        <f t="shared" si="127"/>
        <v>15179392.158631746</v>
      </c>
      <c r="P396" s="15">
        <f t="shared" si="120"/>
        <v>0.66414132962384154</v>
      </c>
      <c r="Q396" s="7">
        <f t="shared" si="128"/>
        <v>22855665.626515213</v>
      </c>
      <c r="R396" s="7">
        <f t="shared" si="118"/>
        <v>7676273.4678834677</v>
      </c>
      <c r="S396" s="13">
        <f>IF('Calc (2)'!$AD$32="Sim",R396,Q396)</f>
        <v>7676273.4678834677</v>
      </c>
      <c r="T396" s="9">
        <f t="shared" si="129"/>
        <v>392</v>
      </c>
      <c r="U396" s="17">
        <f t="shared" ca="1" si="130"/>
        <v>57436</v>
      </c>
    </row>
    <row r="397" spans="2:21" x14ac:dyDescent="0.2">
      <c r="B397" s="17">
        <f t="shared" ca="1" si="121"/>
        <v>57436</v>
      </c>
      <c r="C397" s="9">
        <f t="shared" si="131"/>
        <v>393</v>
      </c>
      <c r="D397" s="9"/>
      <c r="E397" s="13">
        <f t="shared" si="122"/>
        <v>4942.5326230111232</v>
      </c>
      <c r="F397" s="14">
        <f t="shared" si="132"/>
        <v>1006643.2782004093</v>
      </c>
      <c r="G397" s="15">
        <f t="shared" si="123"/>
        <v>0.12984451367672331</v>
      </c>
      <c r="H397" s="13">
        <f t="shared" si="116"/>
        <v>297421.91786172666</v>
      </c>
      <c r="I397" s="13">
        <f t="shared" si="124"/>
        <v>22151386.79879953</v>
      </c>
      <c r="J397" s="15">
        <f t="shared" si="119"/>
        <v>0.87015548632327666</v>
      </c>
      <c r="K397" s="13">
        <f t="shared" si="125"/>
        <v>6746039.1393769002</v>
      </c>
      <c r="L397" s="13">
        <f t="shared" si="133"/>
        <v>575449315.34005082</v>
      </c>
      <c r="M397" s="15">
        <f t="shared" si="126"/>
        <v>0.87015548632327666</v>
      </c>
      <c r="N397" s="13">
        <f t="shared" si="117"/>
        <v>85101.346622558762</v>
      </c>
      <c r="O397" s="13">
        <f t="shared" si="127"/>
        <v>15405347.659422642</v>
      </c>
      <c r="P397" s="15">
        <f t="shared" si="120"/>
        <v>0.66522703391437843</v>
      </c>
      <c r="Q397" s="7">
        <f t="shared" si="128"/>
        <v>23158030.076999951</v>
      </c>
      <c r="R397" s="7">
        <f t="shared" si="118"/>
        <v>7752682.4175773095</v>
      </c>
      <c r="S397" s="13">
        <f>IF('Calc (2)'!$AD$32="Sim",R397,Q397)</f>
        <v>7752682.4175773095</v>
      </c>
      <c r="T397" s="9">
        <f t="shared" si="129"/>
        <v>393</v>
      </c>
      <c r="U397" s="17">
        <f t="shared" ca="1" si="130"/>
        <v>57466</v>
      </c>
    </row>
    <row r="398" spans="2:21" x14ac:dyDescent="0.2">
      <c r="B398" s="17">
        <f t="shared" ca="1" si="121"/>
        <v>57466</v>
      </c>
      <c r="C398" s="9">
        <f t="shared" si="131"/>
        <v>394</v>
      </c>
      <c r="D398" s="9"/>
      <c r="E398" s="13">
        <f t="shared" si="122"/>
        <v>4962.669112721991</v>
      </c>
      <c r="F398" s="14">
        <f t="shared" si="132"/>
        <v>1011605.9473131313</v>
      </c>
      <c r="G398" s="15">
        <f t="shared" si="123"/>
        <v>0.12919908898357413</v>
      </c>
      <c r="H398" s="13">
        <f t="shared" si="116"/>
        <v>301356.60155136068</v>
      </c>
      <c r="I398" s="13">
        <f t="shared" si="124"/>
        <v>22452743.400350891</v>
      </c>
      <c r="J398" s="15">
        <f t="shared" si="119"/>
        <v>0.87080091101642587</v>
      </c>
      <c r="K398" s="13">
        <f t="shared" si="125"/>
        <v>6818216.6564804837</v>
      </c>
      <c r="L398" s="13">
        <f t="shared" si="133"/>
        <v>582267531.99653125</v>
      </c>
      <c r="M398" s="15">
        <f t="shared" si="126"/>
        <v>0.87080091101642587</v>
      </c>
      <c r="N398" s="13">
        <f t="shared" si="117"/>
        <v>86227.011557930105</v>
      </c>
      <c r="O398" s="13">
        <f t="shared" si="127"/>
        <v>15634526.74387042</v>
      </c>
      <c r="P398" s="15">
        <f t="shared" si="120"/>
        <v>0.66630983507015062</v>
      </c>
      <c r="Q398" s="7">
        <f t="shared" si="128"/>
        <v>23464349.347664036</v>
      </c>
      <c r="R398" s="7">
        <f t="shared" si="118"/>
        <v>7829822.6037936155</v>
      </c>
      <c r="S398" s="13">
        <f>IF('Calc (2)'!$AD$32="Sim",R398,Q398)</f>
        <v>7829822.6037936155</v>
      </c>
      <c r="T398" s="9">
        <f t="shared" si="129"/>
        <v>394</v>
      </c>
      <c r="U398" s="17">
        <f t="shared" ca="1" si="130"/>
        <v>57497</v>
      </c>
    </row>
    <row r="399" spans="2:21" x14ac:dyDescent="0.2">
      <c r="B399" s="17">
        <f t="shared" ca="1" si="121"/>
        <v>57497</v>
      </c>
      <c r="C399" s="9">
        <f t="shared" si="131"/>
        <v>395</v>
      </c>
      <c r="D399" s="9"/>
      <c r="E399" s="13">
        <f t="shared" si="122"/>
        <v>4982.8876409845088</v>
      </c>
      <c r="F399" s="14">
        <f t="shared" si="132"/>
        <v>1016588.8349541158</v>
      </c>
      <c r="G399" s="15">
        <f t="shared" si="123"/>
        <v>0.12855681394186128</v>
      </c>
      <c r="H399" s="13">
        <f t="shared" si="116"/>
        <v>305342.74951343198</v>
      </c>
      <c r="I399" s="13">
        <f t="shared" si="124"/>
        <v>22758086.149864323</v>
      </c>
      <c r="J399" s="15">
        <f t="shared" si="119"/>
        <v>0.87144318605813875</v>
      </c>
      <c r="K399" s="13">
        <f t="shared" si="125"/>
        <v>6891112.0778412148</v>
      </c>
      <c r="L399" s="13">
        <f t="shared" si="133"/>
        <v>589158644.07437241</v>
      </c>
      <c r="M399" s="15">
        <f t="shared" si="126"/>
        <v>0.87144318605813875</v>
      </c>
      <c r="N399" s="13">
        <f t="shared" si="117"/>
        <v>87367.399126541699</v>
      </c>
      <c r="O399" s="13">
        <f t="shared" si="127"/>
        <v>15866974.07202312</v>
      </c>
      <c r="P399" s="15">
        <f t="shared" si="120"/>
        <v>0.66738973643825328</v>
      </c>
      <c r="Q399" s="7">
        <f t="shared" si="128"/>
        <v>23774674.984818451</v>
      </c>
      <c r="R399" s="7">
        <f t="shared" si="118"/>
        <v>7907700.9127953304</v>
      </c>
      <c r="S399" s="13">
        <f>IF('Calc (2)'!$AD$32="Sim",R399,Q399)</f>
        <v>7907700.9127953304</v>
      </c>
      <c r="T399" s="9">
        <f t="shared" si="129"/>
        <v>395</v>
      </c>
      <c r="U399" s="17">
        <f t="shared" ca="1" si="130"/>
        <v>57527</v>
      </c>
    </row>
    <row r="400" spans="2:21" x14ac:dyDescent="0.2">
      <c r="B400" s="17">
        <f t="shared" ca="1" si="121"/>
        <v>57527</v>
      </c>
      <c r="C400" s="9">
        <f t="shared" si="131"/>
        <v>396</v>
      </c>
      <c r="D400" s="9">
        <v>33</v>
      </c>
      <c r="E400" s="13">
        <f t="shared" si="122"/>
        <v>5003.1885420338913</v>
      </c>
      <c r="F400" s="14">
        <f t="shared" si="132"/>
        <v>1021592.0234961497</v>
      </c>
      <c r="G400" s="15">
        <f t="shared" si="123"/>
        <v>0.12791767347882307</v>
      </c>
      <c r="H400" s="13">
        <f t="shared" si="116"/>
        <v>309381.03252265893</v>
      </c>
      <c r="I400" s="13">
        <f t="shared" si="124"/>
        <v>23067467.182386983</v>
      </c>
      <c r="J400" s="15">
        <f t="shared" si="119"/>
        <v>0.8720823265211769</v>
      </c>
      <c r="K400" s="13">
        <f t="shared" si="125"/>
        <v>6964732.27175673</v>
      </c>
      <c r="L400" s="13">
        <f t="shared" si="133"/>
        <v>596123376.34612918</v>
      </c>
      <c r="M400" s="15">
        <f t="shared" si="126"/>
        <v>0.8720823265211769</v>
      </c>
      <c r="N400" s="13">
        <f t="shared" si="117"/>
        <v>88522.701217459253</v>
      </c>
      <c r="O400" s="13">
        <f t="shared" si="127"/>
        <v>16102734.910630265</v>
      </c>
      <c r="P400" s="15">
        <f t="shared" si="120"/>
        <v>0.66846674139509688</v>
      </c>
      <c r="Q400" s="7">
        <f t="shared" si="128"/>
        <v>24089059.205883145</v>
      </c>
      <c r="R400" s="7">
        <f t="shared" si="118"/>
        <v>7986324.2952528801</v>
      </c>
      <c r="S400" s="13">
        <f>IF('Calc (2)'!$AD$32="Sim",R400,Q400)</f>
        <v>7986324.2952528801</v>
      </c>
      <c r="T400" s="9">
        <f t="shared" si="129"/>
        <v>396</v>
      </c>
      <c r="U400" s="17">
        <f t="shared" ca="1" si="130"/>
        <v>57558</v>
      </c>
    </row>
    <row r="401" spans="2:21" x14ac:dyDescent="0.2">
      <c r="B401" s="17">
        <f t="shared" ca="1" si="121"/>
        <v>57558</v>
      </c>
      <c r="C401" s="9">
        <f t="shared" si="131"/>
        <v>397</v>
      </c>
      <c r="D401" s="9"/>
      <c r="E401" s="13">
        <f t="shared" si="122"/>
        <v>5023.5721514670686</v>
      </c>
      <c r="F401" s="14">
        <f t="shared" si="132"/>
        <v>1026615.5956476168</v>
      </c>
      <c r="G401" s="15">
        <f t="shared" si="123"/>
        <v>0.12728165259357485</v>
      </c>
      <c r="H401" s="13">
        <f t="shared" si="116"/>
        <v>313472.13008693419</v>
      </c>
      <c r="I401" s="13">
        <f t="shared" si="124"/>
        <v>23380939.312473916</v>
      </c>
      <c r="J401" s="15">
        <f t="shared" si="119"/>
        <v>0.87271834740642518</v>
      </c>
      <c r="K401" s="13">
        <f t="shared" si="125"/>
        <v>7039084.1711971778</v>
      </c>
      <c r="L401" s="13">
        <f t="shared" si="133"/>
        <v>603162460.51732635</v>
      </c>
      <c r="M401" s="15">
        <f t="shared" si="126"/>
        <v>0.87271834740642507</v>
      </c>
      <c r="N401" s="13">
        <f t="shared" si="117"/>
        <v>89693.11221804368</v>
      </c>
      <c r="O401" s="13">
        <f t="shared" si="127"/>
        <v>16341855.141276754</v>
      </c>
      <c r="P401" s="15">
        <f t="shared" si="120"/>
        <v>0.66954085334615165</v>
      </c>
      <c r="Q401" s="7">
        <f t="shared" si="128"/>
        <v>24407554.908121549</v>
      </c>
      <c r="R401" s="7">
        <f t="shared" si="118"/>
        <v>8065699.7668447951</v>
      </c>
      <c r="S401" s="13">
        <f>IF('Calc (2)'!$AD$32="Sim",R401,Q401)</f>
        <v>8065699.7668447951</v>
      </c>
      <c r="T401" s="9">
        <f t="shared" si="129"/>
        <v>397</v>
      </c>
      <c r="U401" s="17">
        <f t="shared" ca="1" si="130"/>
        <v>57589</v>
      </c>
    </row>
    <row r="402" spans="2:21" x14ac:dyDescent="0.2">
      <c r="B402" s="17">
        <f t="shared" ca="1" si="121"/>
        <v>57589</v>
      </c>
      <c r="C402" s="9">
        <f t="shared" si="131"/>
        <v>398</v>
      </c>
      <c r="D402" s="9"/>
      <c r="E402" s="13">
        <f t="shared" si="122"/>
        <v>5044.0388062482343</v>
      </c>
      <c r="F402" s="14">
        <f t="shared" si="132"/>
        <v>1031659.634453865</v>
      </c>
      <c r="G402" s="15">
        <f t="shared" si="123"/>
        <v>0.12664873635673957</v>
      </c>
      <c r="H402" s="13">
        <f t="shared" si="116"/>
        <v>317616.73056098772</v>
      </c>
      <c r="I402" s="13">
        <f t="shared" si="124"/>
        <v>23698556.043034904</v>
      </c>
      <c r="J402" s="15">
        <f t="shared" si="119"/>
        <v>0.87335126364326043</v>
      </c>
      <c r="K402" s="13">
        <f t="shared" si="125"/>
        <v>7114174.7744100625</v>
      </c>
      <c r="L402" s="13">
        <f t="shared" si="133"/>
        <v>610276635.29173636</v>
      </c>
      <c r="M402" s="15">
        <f t="shared" si="126"/>
        <v>0.87335126364326043</v>
      </c>
      <c r="N402" s="13">
        <f t="shared" si="117"/>
        <v>90878.829046466592</v>
      </c>
      <c r="O402" s="13">
        <f t="shared" si="127"/>
        <v>16584381.268624857</v>
      </c>
      <c r="P402" s="15">
        <f t="shared" si="120"/>
        <v>0.67061207572569415</v>
      </c>
      <c r="Q402" s="7">
        <f t="shared" si="128"/>
        <v>24730215.677488785</v>
      </c>
      <c r="R402" s="7">
        <f t="shared" si="118"/>
        <v>8145834.4088639272</v>
      </c>
      <c r="S402" s="13">
        <f>IF('Calc (2)'!$AD$32="Sim",R402,Q402)</f>
        <v>8145834.4088639272</v>
      </c>
      <c r="T402" s="9">
        <f t="shared" si="129"/>
        <v>398</v>
      </c>
      <c r="U402" s="17">
        <f t="shared" ca="1" si="130"/>
        <v>57619</v>
      </c>
    </row>
    <row r="403" spans="2:21" x14ac:dyDescent="0.2">
      <c r="B403" s="17">
        <f t="shared" ca="1" si="121"/>
        <v>57619</v>
      </c>
      <c r="C403" s="9">
        <f t="shared" si="131"/>
        <v>399</v>
      </c>
      <c r="D403" s="9"/>
      <c r="E403" s="13">
        <f t="shared" si="122"/>
        <v>5064.5888447144152</v>
      </c>
      <c r="F403" s="14">
        <f t="shared" si="132"/>
        <v>1036724.2232985795</v>
      </c>
      <c r="G403" s="15">
        <f t="shared" si="123"/>
        <v>0.12601890991008111</v>
      </c>
      <c r="H403" s="13">
        <f t="shared" si="116"/>
        <v>321815.53126152873</v>
      </c>
      <c r="I403" s="13">
        <f t="shared" si="124"/>
        <v>24020371.574296433</v>
      </c>
      <c r="J403" s="15">
        <f t="shared" si="119"/>
        <v>0.87398109008991887</v>
      </c>
      <c r="K403" s="13">
        <f t="shared" si="125"/>
        <v>7190011.1455307361</v>
      </c>
      <c r="L403" s="13">
        <f t="shared" si="133"/>
        <v>617466646.43726707</v>
      </c>
      <c r="M403" s="15">
        <f t="shared" si="126"/>
        <v>0.87398109008991887</v>
      </c>
      <c r="N403" s="13">
        <f t="shared" si="117"/>
        <v>92080.051184648939</v>
      </c>
      <c r="O403" s="13">
        <f t="shared" si="127"/>
        <v>16830360.428765714</v>
      </c>
      <c r="P403" s="15">
        <f t="shared" si="120"/>
        <v>0.6716804119965526</v>
      </c>
      <c r="Q403" s="7">
        <f t="shared" si="128"/>
        <v>25057095.797595028</v>
      </c>
      <c r="R403" s="7">
        <f t="shared" si="118"/>
        <v>8226735.3688293155</v>
      </c>
      <c r="S403" s="13">
        <f>IF('Calc (2)'!$AD$32="Sim",R403,Q403)</f>
        <v>8226735.3688293155</v>
      </c>
      <c r="T403" s="9">
        <f t="shared" si="129"/>
        <v>399</v>
      </c>
      <c r="U403" s="17">
        <f t="shared" ca="1" si="130"/>
        <v>57650</v>
      </c>
    </row>
    <row r="404" spans="2:21" x14ac:dyDescent="0.2">
      <c r="B404" s="17">
        <f t="shared" ca="1" si="121"/>
        <v>57650</v>
      </c>
      <c r="C404" s="9">
        <f t="shared" si="131"/>
        <v>400</v>
      </c>
      <c r="D404" s="9"/>
      <c r="E404" s="13">
        <f t="shared" si="122"/>
        <v>5085.2226065810664</v>
      </c>
      <c r="F404" s="14">
        <f t="shared" si="132"/>
        <v>1041809.4459051605</v>
      </c>
      <c r="G404" s="15">
        <f t="shared" si="123"/>
        <v>0.12539215846613988</v>
      </c>
      <c r="H404" s="13">
        <f t="shared" si="116"/>
        <v>326069.23858388659</v>
      </c>
      <c r="I404" s="13">
        <f t="shared" si="124"/>
        <v>24346440.812880319</v>
      </c>
      <c r="J404" s="15">
        <f t="shared" si="119"/>
        <v>0.87460784153386006</v>
      </c>
      <c r="K404" s="13">
        <f t="shared" si="125"/>
        <v>7266600.4151985887</v>
      </c>
      <c r="L404" s="13">
        <f t="shared" si="133"/>
        <v>624733246.85246563</v>
      </c>
      <c r="M404" s="15">
        <f t="shared" si="126"/>
        <v>0.87460784153386018</v>
      </c>
      <c r="N404" s="13">
        <f t="shared" si="117"/>
        <v>93296.980711628261</v>
      </c>
      <c r="O404" s="13">
        <f t="shared" si="127"/>
        <v>17079840.397681743</v>
      </c>
      <c r="P404" s="15">
        <f t="shared" si="120"/>
        <v>0.67274586564985261</v>
      </c>
      <c r="Q404" s="7">
        <f t="shared" si="128"/>
        <v>25388250.258785494</v>
      </c>
      <c r="R404" s="7">
        <f t="shared" si="118"/>
        <v>8308409.8611037489</v>
      </c>
      <c r="S404" s="13">
        <f>IF('Calc (2)'!$AD$32="Sim",R404,Q404)</f>
        <v>8308409.8611037489</v>
      </c>
      <c r="T404" s="9">
        <f t="shared" si="129"/>
        <v>400</v>
      </c>
      <c r="U404" s="17">
        <f t="shared" ca="1" si="130"/>
        <v>57680</v>
      </c>
    </row>
    <row r="405" spans="2:21" x14ac:dyDescent="0.2">
      <c r="B405" s="17">
        <f t="shared" ca="1" si="121"/>
        <v>57680</v>
      </c>
      <c r="C405" s="9">
        <f t="shared" si="131"/>
        <v>401</v>
      </c>
      <c r="D405" s="9"/>
      <c r="E405" s="13">
        <f t="shared" si="122"/>
        <v>5105.9404329476847</v>
      </c>
      <c r="F405" s="14">
        <f t="shared" si="132"/>
        <v>1046915.3863381082</v>
      </c>
      <c r="G405" s="15">
        <f t="shared" si="123"/>
        <v>0.12476846730787094</v>
      </c>
      <c r="H405" s="13">
        <f t="shared" si="116"/>
        <v>330378.56812016893</v>
      </c>
      <c r="I405" s="13">
        <f t="shared" si="124"/>
        <v>24676819.381000489</v>
      </c>
      <c r="J405" s="15">
        <f t="shared" si="119"/>
        <v>0.87523153269212906</v>
      </c>
      <c r="K405" s="13">
        <f t="shared" si="125"/>
        <v>7343949.7811789745</v>
      </c>
      <c r="L405" s="13">
        <f t="shared" si="133"/>
        <v>632077196.63364458</v>
      </c>
      <c r="M405" s="15">
        <f t="shared" si="126"/>
        <v>0.87523153269212906</v>
      </c>
      <c r="N405" s="13">
        <f t="shared" si="117"/>
        <v>94529.822337360194</v>
      </c>
      <c r="O405" s="13">
        <f t="shared" si="127"/>
        <v>17332869.59982153</v>
      </c>
      <c r="P405" s="15">
        <f t="shared" si="120"/>
        <v>0.67380844020476571</v>
      </c>
      <c r="Q405" s="7">
        <f t="shared" si="128"/>
        <v>25723734.767338611</v>
      </c>
      <c r="R405" s="7">
        <f t="shared" si="118"/>
        <v>8390865.1675170828</v>
      </c>
      <c r="S405" s="13">
        <f>IF('Calc (2)'!$AD$32="Sim",R405,Q405)</f>
        <v>8390865.1675170828</v>
      </c>
      <c r="T405" s="9">
        <f t="shared" si="129"/>
        <v>401</v>
      </c>
      <c r="U405" s="17">
        <f t="shared" ca="1" si="130"/>
        <v>57711</v>
      </c>
    </row>
    <row r="406" spans="2:21" x14ac:dyDescent="0.2">
      <c r="B406" s="17">
        <f t="shared" ca="1" si="121"/>
        <v>57711</v>
      </c>
      <c r="C406" s="9">
        <f t="shared" si="131"/>
        <v>402</v>
      </c>
      <c r="D406" s="9"/>
      <c r="E406" s="13">
        <f t="shared" si="122"/>
        <v>5126.7426663034485</v>
      </c>
      <c r="F406" s="14">
        <f t="shared" si="132"/>
        <v>1052042.1290044116</v>
      </c>
      <c r="G406" s="15">
        <f t="shared" si="123"/>
        <v>0.12414782178828473</v>
      </c>
      <c r="H406" s="13">
        <f t="shared" si="116"/>
        <v>334744.24477895809</v>
      </c>
      <c r="I406" s="13">
        <f t="shared" si="124"/>
        <v>25011563.625779446</v>
      </c>
      <c r="J406" s="15">
        <f t="shared" si="119"/>
        <v>0.87585217821171524</v>
      </c>
      <c r="K406" s="13">
        <f t="shared" si="125"/>
        <v>7422066.5089909434</v>
      </c>
      <c r="L406" s="13">
        <f t="shared" si="133"/>
        <v>639499263.14263558</v>
      </c>
      <c r="M406" s="15">
        <f t="shared" si="126"/>
        <v>0.87585217821171524</v>
      </c>
      <c r="N406" s="13">
        <f t="shared" si="117"/>
        <v>95778.783436959799</v>
      </c>
      <c r="O406" s="13">
        <f t="shared" si="127"/>
        <v>17589497.116788518</v>
      </c>
      <c r="P406" s="15">
        <f t="shared" si="120"/>
        <v>0.67486813920825339</v>
      </c>
      <c r="Q406" s="7">
        <f t="shared" si="128"/>
        <v>26063605.754783873</v>
      </c>
      <c r="R406" s="7">
        <f t="shared" si="118"/>
        <v>8474108.6379953548</v>
      </c>
      <c r="S406" s="13">
        <f>IF('Calc (2)'!$AD$32="Sim",R406,Q406)</f>
        <v>8474108.6379953548</v>
      </c>
      <c r="T406" s="9">
        <f t="shared" si="129"/>
        <v>402</v>
      </c>
      <c r="U406" s="17">
        <f t="shared" ca="1" si="130"/>
        <v>57742</v>
      </c>
    </row>
    <row r="407" spans="2:21" x14ac:dyDescent="0.2">
      <c r="B407" s="17">
        <f t="shared" ca="1" si="121"/>
        <v>57742</v>
      </c>
      <c r="C407" s="9">
        <f t="shared" si="131"/>
        <v>403</v>
      </c>
      <c r="D407" s="9"/>
      <c r="E407" s="13">
        <f t="shared" si="122"/>
        <v>5147.6296505328801</v>
      </c>
      <c r="F407" s="14">
        <f t="shared" si="132"/>
        <v>1057189.7586549446</v>
      </c>
      <c r="G407" s="15">
        <f t="shared" si="123"/>
        <v>0.1235302073300901</v>
      </c>
      <c r="H407" s="13">
        <f t="shared" si="116"/>
        <v>339167.00290656468</v>
      </c>
      <c r="I407" s="13">
        <f t="shared" si="124"/>
        <v>25350730.628686011</v>
      </c>
      <c r="J407" s="15">
        <f t="shared" si="119"/>
        <v>0.87646979266990988</v>
      </c>
      <c r="K407" s="13">
        <f t="shared" si="125"/>
        <v>7500957.932540819</v>
      </c>
      <c r="L407" s="13">
        <f t="shared" si="133"/>
        <v>647000221.07517636</v>
      </c>
      <c r="M407" s="15">
        <f t="shared" si="126"/>
        <v>0.87646979266990988</v>
      </c>
      <c r="N407" s="13">
        <f t="shared" si="117"/>
        <v>97044.07408538858</v>
      </c>
      <c r="O407" s="13">
        <f t="shared" si="127"/>
        <v>17849772.696145207</v>
      </c>
      <c r="P407" s="15">
        <f t="shared" si="120"/>
        <v>0.67592496623481801</v>
      </c>
      <c r="Q407" s="7">
        <f t="shared" si="128"/>
        <v>26407920.38734097</v>
      </c>
      <c r="R407" s="7">
        <f t="shared" si="118"/>
        <v>8558147.6911957636</v>
      </c>
      <c r="S407" s="13">
        <f>IF('Calc (2)'!$AD$32="Sim",R407,Q407)</f>
        <v>8558147.6911957636</v>
      </c>
      <c r="T407" s="9">
        <f t="shared" si="129"/>
        <v>403</v>
      </c>
      <c r="U407" s="17">
        <f t="shared" ca="1" si="130"/>
        <v>57770</v>
      </c>
    </row>
    <row r="408" spans="2:21" x14ac:dyDescent="0.2">
      <c r="B408" s="17">
        <f t="shared" ca="1" si="121"/>
        <v>57770</v>
      </c>
      <c r="C408" s="9">
        <f t="shared" si="131"/>
        <v>404</v>
      </c>
      <c r="D408" s="9"/>
      <c r="E408" s="13">
        <f t="shared" si="122"/>
        <v>5168.6017309215295</v>
      </c>
      <c r="F408" s="14">
        <f t="shared" si="132"/>
        <v>1062358.3603858661</v>
      </c>
      <c r="G408" s="15">
        <f t="shared" si="123"/>
        <v>0.12291560942533955</v>
      </c>
      <c r="H408" s="13">
        <f t="shared" si="116"/>
        <v>343647.58640985953</v>
      </c>
      <c r="I408" s="13">
        <f t="shared" si="124"/>
        <v>25694378.21509587</v>
      </c>
      <c r="J408" s="15">
        <f t="shared" si="119"/>
        <v>0.87708439057466048</v>
      </c>
      <c r="K408" s="13">
        <f t="shared" si="125"/>
        <v>7580631.4547617016</v>
      </c>
      <c r="L408" s="13">
        <f t="shared" si="133"/>
        <v>654580852.5299381</v>
      </c>
      <c r="M408" s="15">
        <f t="shared" si="126"/>
        <v>0.87708439057466048</v>
      </c>
      <c r="N408" s="13">
        <f t="shared" si="117"/>
        <v>98325.907092592868</v>
      </c>
      <c r="O408" s="13">
        <f t="shared" si="127"/>
        <v>18113746.760334183</v>
      </c>
      <c r="P408" s="15">
        <f t="shared" si="120"/>
        <v>0.67697892488624789</v>
      </c>
      <c r="Q408" s="7">
        <f t="shared" si="128"/>
        <v>26756736.57548175</v>
      </c>
      <c r="R408" s="7">
        <f t="shared" si="118"/>
        <v>8642989.8151475675</v>
      </c>
      <c r="S408" s="13">
        <f>IF('Calc (2)'!$AD$32="Sim",R408,Q408)</f>
        <v>8642989.8151475675</v>
      </c>
      <c r="T408" s="9">
        <f t="shared" si="129"/>
        <v>404</v>
      </c>
      <c r="U408" s="17">
        <f t="shared" ca="1" si="130"/>
        <v>57801</v>
      </c>
    </row>
    <row r="409" spans="2:21" x14ac:dyDescent="0.2">
      <c r="B409" s="17">
        <f t="shared" ca="1" si="121"/>
        <v>57801</v>
      </c>
      <c r="C409" s="9">
        <f t="shared" si="131"/>
        <v>405</v>
      </c>
      <c r="D409" s="9"/>
      <c r="E409" s="13">
        <f t="shared" si="122"/>
        <v>5189.6592541616828</v>
      </c>
      <c r="F409" s="14">
        <f t="shared" si="132"/>
        <v>1067548.0196400278</v>
      </c>
      <c r="G409" s="15">
        <f t="shared" si="123"/>
        <v>0.12230401363507731</v>
      </c>
      <c r="H409" s="13">
        <f t="shared" si="116"/>
        <v>348186.74888070399</v>
      </c>
      <c r="I409" s="13">
        <f t="shared" si="124"/>
        <v>26042564.963976573</v>
      </c>
      <c r="J409" s="15">
        <f t="shared" si="119"/>
        <v>0.87769598636492274</v>
      </c>
      <c r="K409" s="13">
        <f t="shared" si="125"/>
        <v>7661094.548258909</v>
      </c>
      <c r="L409" s="13">
        <f t="shared" si="133"/>
        <v>662241947.078197</v>
      </c>
      <c r="M409" s="15">
        <f t="shared" si="126"/>
        <v>0.87769598636492274</v>
      </c>
      <c r="N409" s="13">
        <f t="shared" si="117"/>
        <v>99624.498039099475</v>
      </c>
      <c r="O409" s="13">
        <f t="shared" si="127"/>
        <v>18381470.41571768</v>
      </c>
      <c r="P409" s="15">
        <f t="shared" si="120"/>
        <v>0.67803001879136782</v>
      </c>
      <c r="Q409" s="7">
        <f t="shared" si="128"/>
        <v>27110112.983616617</v>
      </c>
      <c r="R409" s="7">
        <f t="shared" si="118"/>
        <v>8728642.5678989366</v>
      </c>
      <c r="S409" s="13">
        <f>IF('Calc (2)'!$AD$32="Sim",R409,Q409)</f>
        <v>8728642.5678989366</v>
      </c>
      <c r="T409" s="9">
        <f t="shared" si="129"/>
        <v>405</v>
      </c>
      <c r="U409" s="17">
        <f t="shared" ca="1" si="130"/>
        <v>57831</v>
      </c>
    </row>
    <row r="410" spans="2:21" x14ac:dyDescent="0.2">
      <c r="B410" s="17">
        <f t="shared" ca="1" si="121"/>
        <v>57831</v>
      </c>
      <c r="C410" s="9">
        <f t="shared" si="131"/>
        <v>406</v>
      </c>
      <c r="D410" s="9"/>
      <c r="E410" s="13">
        <f t="shared" si="122"/>
        <v>5210.8025683580936</v>
      </c>
      <c r="F410" s="14">
        <f t="shared" si="132"/>
        <v>1072758.8222083859</v>
      </c>
      <c r="G410" s="15">
        <f t="shared" si="123"/>
        <v>0.12169540558898931</v>
      </c>
      <c r="H410" s="13">
        <f t="shared" si="116"/>
        <v>352785.25372199941</v>
      </c>
      <c r="I410" s="13">
        <f t="shared" si="124"/>
        <v>26395350.217698574</v>
      </c>
      <c r="J410" s="15">
        <f t="shared" si="119"/>
        <v>0.87830459441101072</v>
      </c>
      <c r="K410" s="13">
        <f t="shared" si="125"/>
        <v>7742354.7559614573</v>
      </c>
      <c r="L410" s="13">
        <f t="shared" si="133"/>
        <v>669984301.83415842</v>
      </c>
      <c r="M410" s="15">
        <f t="shared" si="126"/>
        <v>0.87830459441101072</v>
      </c>
      <c r="N410" s="13">
        <f t="shared" si="117"/>
        <v>100940.06531207461</v>
      </c>
      <c r="O410" s="13">
        <f t="shared" si="127"/>
        <v>18652995.461737134</v>
      </c>
      <c r="P410" s="15">
        <f t="shared" si="120"/>
        <v>0.67907825160578672</v>
      </c>
      <c r="Q410" s="7">
        <f t="shared" si="128"/>
        <v>27468109.039906975</v>
      </c>
      <c r="R410" s="7">
        <f t="shared" si="118"/>
        <v>8815113.5781698432</v>
      </c>
      <c r="S410" s="13">
        <f>IF('Calc (2)'!$AD$32="Sim",R410,Q410)</f>
        <v>8815113.5781698432</v>
      </c>
      <c r="T410" s="9">
        <f t="shared" si="129"/>
        <v>406</v>
      </c>
      <c r="U410" s="17">
        <f t="shared" ca="1" si="130"/>
        <v>57862</v>
      </c>
    </row>
    <row r="411" spans="2:21" x14ac:dyDescent="0.2">
      <c r="B411" s="17">
        <f t="shared" ca="1" si="121"/>
        <v>57862</v>
      </c>
      <c r="C411" s="9">
        <f t="shared" si="131"/>
        <v>407</v>
      </c>
      <c r="D411" s="9"/>
      <c r="E411" s="13">
        <f t="shared" si="122"/>
        <v>5232.0320230337375</v>
      </c>
      <c r="F411" s="14">
        <f t="shared" si="132"/>
        <v>1077990.8542314197</v>
      </c>
      <c r="G411" s="15">
        <f t="shared" si="123"/>
        <v>0.12108977098505568</v>
      </c>
      <c r="H411" s="13">
        <f t="shared" si="116"/>
        <v>357443.87427537719</v>
      </c>
      <c r="I411" s="13">
        <f t="shared" si="124"/>
        <v>26752794.091973953</v>
      </c>
      <c r="J411" s="15">
        <f t="shared" si="119"/>
        <v>0.87891022901494431</v>
      </c>
      <c r="K411" s="13">
        <f t="shared" si="125"/>
        <v>7824419.691779607</v>
      </c>
      <c r="L411" s="13">
        <f t="shared" si="133"/>
        <v>677808721.52593803</v>
      </c>
      <c r="M411" s="15">
        <f t="shared" si="126"/>
        <v>0.87891022901494431</v>
      </c>
      <c r="N411" s="13">
        <f t="shared" si="117"/>
        <v>102272.83014185197</v>
      </c>
      <c r="O411" s="13">
        <f t="shared" si="127"/>
        <v>18928374.400194362</v>
      </c>
      <c r="P411" s="15">
        <f t="shared" si="120"/>
        <v>0.6801236270116473</v>
      </c>
      <c r="Q411" s="7">
        <f t="shared" si="128"/>
        <v>27830784.946205389</v>
      </c>
      <c r="R411" s="7">
        <f t="shared" si="118"/>
        <v>8902410.5460110269</v>
      </c>
      <c r="S411" s="13">
        <f>IF('Calc (2)'!$AD$32="Sim",R411,Q411)</f>
        <v>8902410.5460110269</v>
      </c>
      <c r="T411" s="9">
        <f t="shared" si="129"/>
        <v>407</v>
      </c>
      <c r="U411" s="17">
        <f t="shared" ca="1" si="130"/>
        <v>57892</v>
      </c>
    </row>
    <row r="412" spans="2:21" x14ac:dyDescent="0.2">
      <c r="B412" s="17">
        <f t="shared" ca="1" si="121"/>
        <v>57892</v>
      </c>
      <c r="C412" s="9">
        <f t="shared" si="131"/>
        <v>408</v>
      </c>
      <c r="D412" s="9">
        <v>34</v>
      </c>
      <c r="E412" s="13">
        <f t="shared" si="122"/>
        <v>5253.3479691355888</v>
      </c>
      <c r="F412" s="14">
        <f t="shared" si="132"/>
        <v>1083244.2022005552</v>
      </c>
      <c r="G412" s="15">
        <f t="shared" si="123"/>
        <v>0.12048709558920546</v>
      </c>
      <c r="H412" s="13">
        <f t="shared" si="116"/>
        <v>362163.39395055018</v>
      </c>
      <c r="I412" s="13">
        <f t="shared" si="124"/>
        <v>27114957.485924505</v>
      </c>
      <c r="J412" s="15">
        <f t="shared" si="119"/>
        <v>0.87951290441079455</v>
      </c>
      <c r="K412" s="13">
        <f t="shared" si="125"/>
        <v>7907297.0412685415</v>
      </c>
      <c r="L412" s="13">
        <f t="shared" si="133"/>
        <v>685716018.56720662</v>
      </c>
      <c r="M412" s="15">
        <f t="shared" si="126"/>
        <v>0.87951290441079455</v>
      </c>
      <c r="N412" s="13">
        <f t="shared" si="117"/>
        <v>103623.01663893633</v>
      </c>
      <c r="O412" s="13">
        <f t="shared" si="127"/>
        <v>19207660.444655981</v>
      </c>
      <c r="P412" s="15">
        <f t="shared" si="120"/>
        <v>0.68116614871737635</v>
      </c>
      <c r="Q412" s="7">
        <f t="shared" si="128"/>
        <v>28198201.688125078</v>
      </c>
      <c r="R412" s="7">
        <f t="shared" si="118"/>
        <v>8990541.2434690967</v>
      </c>
      <c r="S412" s="13">
        <f>IF('Calc (2)'!$AD$32="Sim",R412,Q412)</f>
        <v>8990541.2434690967</v>
      </c>
      <c r="T412" s="9">
        <f t="shared" si="129"/>
        <v>408</v>
      </c>
      <c r="U412" s="17">
        <f t="shared" ca="1" si="130"/>
        <v>57923</v>
      </c>
    </row>
    <row r="413" spans="2:21" x14ac:dyDescent="0.2">
      <c r="B413" s="17">
        <f t="shared" ca="1" si="121"/>
        <v>57923</v>
      </c>
      <c r="C413" s="9">
        <f t="shared" si="131"/>
        <v>409</v>
      </c>
      <c r="D413" s="9"/>
      <c r="E413" s="13">
        <f t="shared" si="122"/>
        <v>5274.7507590404248</v>
      </c>
      <c r="F413" s="14">
        <f t="shared" si="132"/>
        <v>1088518.9529595957</v>
      </c>
      <c r="G413" s="15">
        <f t="shared" si="123"/>
        <v>0.11988736523497379</v>
      </c>
      <c r="H413" s="13">
        <f t="shared" si="116"/>
        <v>366944.60635634803</v>
      </c>
      <c r="I413" s="13">
        <f t="shared" si="124"/>
        <v>27481902.092280854</v>
      </c>
      <c r="J413" s="15">
        <f t="shared" si="119"/>
        <v>0.88011263476502621</v>
      </c>
      <c r="K413" s="13">
        <f t="shared" si="125"/>
        <v>7990994.5622982308</v>
      </c>
      <c r="L413" s="13">
        <f t="shared" si="133"/>
        <v>693707013.1295048</v>
      </c>
      <c r="M413" s="15">
        <f t="shared" si="126"/>
        <v>0.88011263476502621</v>
      </c>
      <c r="N413" s="13">
        <f t="shared" si="117"/>
        <v>104990.85183148852</v>
      </c>
      <c r="O413" s="13">
        <f t="shared" si="127"/>
        <v>19490907.529982641</v>
      </c>
      <c r="P413" s="15">
        <f t="shared" si="120"/>
        <v>0.68220582045743505</v>
      </c>
      <c r="Q413" s="7">
        <f t="shared" si="128"/>
        <v>28570421.045240466</v>
      </c>
      <c r="R413" s="7">
        <f t="shared" si="118"/>
        <v>9079513.5152578261</v>
      </c>
      <c r="S413" s="13">
        <f>IF('Calc (2)'!$AD$32="Sim",R413,Q413)</f>
        <v>9079513.5152578261</v>
      </c>
      <c r="T413" s="9">
        <f t="shared" si="129"/>
        <v>409</v>
      </c>
      <c r="U413" s="17">
        <f t="shared" ca="1" si="130"/>
        <v>57954</v>
      </c>
    </row>
    <row r="414" spans="2:21" x14ac:dyDescent="0.2">
      <c r="B414" s="17">
        <f t="shared" ca="1" si="121"/>
        <v>57954</v>
      </c>
      <c r="C414" s="9">
        <f t="shared" si="131"/>
        <v>410</v>
      </c>
      <c r="D414" s="9"/>
      <c r="E414" s="13">
        <f t="shared" si="122"/>
        <v>5296.2407465606484</v>
      </c>
      <c r="F414" s="14">
        <f t="shared" si="132"/>
        <v>1093815.1937061565</v>
      </c>
      <c r="G414" s="15">
        <f t="shared" si="123"/>
        <v>0.119290565823161</v>
      </c>
      <c r="H414" s="13">
        <f t="shared" si="116"/>
        <v>371788.31543345691</v>
      </c>
      <c r="I414" s="13">
        <f t="shared" si="124"/>
        <v>27853690.407714311</v>
      </c>
      <c r="J414" s="15">
        <f t="shared" si="119"/>
        <v>0.880709434176839</v>
      </c>
      <c r="K414" s="13">
        <f t="shared" si="125"/>
        <v>8075520.0857295413</v>
      </c>
      <c r="L414" s="13">
        <f t="shared" si="133"/>
        <v>701782533.2152344</v>
      </c>
      <c r="M414" s="15">
        <f t="shared" si="126"/>
        <v>0.880709434176839</v>
      </c>
      <c r="N414" s="13">
        <f t="shared" si="117"/>
        <v>106376.56570329842</v>
      </c>
      <c r="O414" s="13">
        <f t="shared" si="127"/>
        <v>19778170.321984787</v>
      </c>
      <c r="P414" s="15">
        <f t="shared" si="120"/>
        <v>0.68324264599206952</v>
      </c>
      <c r="Q414" s="7">
        <f t="shared" si="128"/>
        <v>28947505.601420484</v>
      </c>
      <c r="R414" s="7">
        <f t="shared" si="118"/>
        <v>9169335.2794356979</v>
      </c>
      <c r="S414" s="13">
        <f>IF('Calc (2)'!$AD$32="Sim",R414,Q414)</f>
        <v>9169335.2794356979</v>
      </c>
      <c r="T414" s="9">
        <f t="shared" si="129"/>
        <v>410</v>
      </c>
      <c r="U414" s="17">
        <f t="shared" ca="1" si="130"/>
        <v>57984</v>
      </c>
    </row>
    <row r="415" spans="2:21" x14ac:dyDescent="0.2">
      <c r="B415" s="17">
        <f t="shared" ca="1" si="121"/>
        <v>57984</v>
      </c>
      <c r="C415" s="9">
        <f t="shared" si="131"/>
        <v>411</v>
      </c>
      <c r="D415" s="9"/>
      <c r="E415" s="13">
        <f t="shared" si="122"/>
        <v>5317.8182869501388</v>
      </c>
      <c r="F415" s="14">
        <f t="shared" si="132"/>
        <v>1099133.0119931067</v>
      </c>
      <c r="G415" s="15">
        <f t="shared" si="123"/>
        <v>0.1186966833214942</v>
      </c>
      <c r="H415" s="13">
        <f t="shared" si="116"/>
        <v>376695.3355888878</v>
      </c>
      <c r="I415" s="13">
        <f t="shared" si="124"/>
        <v>28230385.743303198</v>
      </c>
      <c r="J415" s="15">
        <f t="shared" si="119"/>
        <v>0.88130331667850581</v>
      </c>
      <c r="K415" s="13">
        <f t="shared" si="125"/>
        <v>8160881.5160966609</v>
      </c>
      <c r="L415" s="13">
        <f t="shared" si="133"/>
        <v>709943414.73133111</v>
      </c>
      <c r="M415" s="15">
        <f t="shared" si="126"/>
        <v>0.88130331667850581</v>
      </c>
      <c r="N415" s="13">
        <f t="shared" si="117"/>
        <v>107780.39123225187</v>
      </c>
      <c r="O415" s="13">
        <f t="shared" si="127"/>
        <v>20069504.227206558</v>
      </c>
      <c r="P415" s="15">
        <f t="shared" si="120"/>
        <v>0.68427662910706322</v>
      </c>
      <c r="Q415" s="7">
        <f t="shared" si="128"/>
        <v>29329518.755296323</v>
      </c>
      <c r="R415" s="7">
        <f t="shared" si="118"/>
        <v>9260014.5280897673</v>
      </c>
      <c r="S415" s="13">
        <f>IF('Calc (2)'!$AD$32="Sim",R415,Q415)</f>
        <v>9260014.5280897673</v>
      </c>
      <c r="T415" s="9">
        <f t="shared" si="129"/>
        <v>411</v>
      </c>
      <c r="U415" s="17">
        <f t="shared" ca="1" si="130"/>
        <v>58015</v>
      </c>
    </row>
    <row r="416" spans="2:21" x14ac:dyDescent="0.2">
      <c r="B416" s="17">
        <f t="shared" ca="1" si="121"/>
        <v>58015</v>
      </c>
      <c r="C416" s="9">
        <f t="shared" si="131"/>
        <v>412</v>
      </c>
      <c r="D416" s="9"/>
      <c r="E416" s="13">
        <f t="shared" si="122"/>
        <v>5339.4837369101224</v>
      </c>
      <c r="F416" s="14">
        <f t="shared" si="132"/>
        <v>1104472.4957300168</v>
      </c>
      <c r="G416" s="15">
        <f t="shared" si="123"/>
        <v>0.1181057037642909</v>
      </c>
      <c r="H416" s="13">
        <f t="shared" si="116"/>
        <v>381666.49183219351</v>
      </c>
      <c r="I416" s="13">
        <f t="shared" si="124"/>
        <v>28612052.235135391</v>
      </c>
      <c r="J416" s="15">
        <f t="shared" si="119"/>
        <v>0.88189429623570914</v>
      </c>
      <c r="K416" s="13">
        <f t="shared" si="125"/>
        <v>8247086.8322958723</v>
      </c>
      <c r="L416" s="13">
        <f t="shared" si="133"/>
        <v>718190501.563627</v>
      </c>
      <c r="M416" s="15">
        <f t="shared" si="126"/>
        <v>0.88189429623570914</v>
      </c>
      <c r="N416" s="13">
        <f t="shared" si="117"/>
        <v>109202.56442929845</v>
      </c>
      <c r="O416" s="13">
        <f t="shared" si="127"/>
        <v>20364965.402839538</v>
      </c>
      <c r="P416" s="15">
        <f t="shared" si="120"/>
        <v>0.68530777361348794</v>
      </c>
      <c r="Q416" s="7">
        <f t="shared" si="128"/>
        <v>29716524.730865426</v>
      </c>
      <c r="R416" s="7">
        <f t="shared" si="118"/>
        <v>9351559.3280258887</v>
      </c>
      <c r="S416" s="13">
        <f>IF('Calc (2)'!$AD$32="Sim",R416,Q416)</f>
        <v>9351559.3280258887</v>
      </c>
      <c r="T416" s="9">
        <f t="shared" si="129"/>
        <v>412</v>
      </c>
      <c r="U416" s="17">
        <f t="shared" ca="1" si="130"/>
        <v>58045</v>
      </c>
    </row>
    <row r="417" spans="2:21" x14ac:dyDescent="0.2">
      <c r="B417" s="17">
        <f t="shared" ca="1" si="121"/>
        <v>58045</v>
      </c>
      <c r="C417" s="9">
        <f t="shared" si="131"/>
        <v>413</v>
      </c>
      <c r="D417" s="9"/>
      <c r="E417" s="13">
        <f t="shared" si="122"/>
        <v>5361.2374545950715</v>
      </c>
      <c r="F417" s="14">
        <f t="shared" si="132"/>
        <v>1109833.7331846119</v>
      </c>
      <c r="G417" s="15">
        <f t="shared" si="123"/>
        <v>0.1175176132521249</v>
      </c>
      <c r="H417" s="13">
        <f t="shared" si="116"/>
        <v>386702.61991345917</v>
      </c>
      <c r="I417" s="13">
        <f t="shared" si="124"/>
        <v>28998754.85504885</v>
      </c>
      <c r="J417" s="15">
        <f t="shared" si="119"/>
        <v>0.88248238674787505</v>
      </c>
      <c r="K417" s="13">
        <f t="shared" si="125"/>
        <v>8334144.0882807542</v>
      </c>
      <c r="L417" s="13">
        <f t="shared" si="133"/>
        <v>726524645.6519078</v>
      </c>
      <c r="M417" s="15">
        <f t="shared" si="126"/>
        <v>0.88248238674787516</v>
      </c>
      <c r="N417" s="13">
        <f t="shared" si="117"/>
        <v>110643.32437792611</v>
      </c>
      <c r="O417" s="13">
        <f t="shared" si="127"/>
        <v>20664610.766768117</v>
      </c>
      <c r="P417" s="15">
        <f t="shared" si="120"/>
        <v>0.68633608334745733</v>
      </c>
      <c r="Q417" s="7">
        <f t="shared" si="128"/>
        <v>30108588.588233482</v>
      </c>
      <c r="R417" s="7">
        <f t="shared" si="118"/>
        <v>9443977.8214653656</v>
      </c>
      <c r="S417" s="13">
        <f>IF('Calc (2)'!$AD$32="Sim",R417,Q417)</f>
        <v>9443977.8214653656</v>
      </c>
      <c r="T417" s="9">
        <f t="shared" si="129"/>
        <v>413</v>
      </c>
      <c r="U417" s="17">
        <f t="shared" ca="1" si="130"/>
        <v>58076</v>
      </c>
    </row>
    <row r="418" spans="2:21" x14ac:dyDescent="0.2">
      <c r="B418" s="17">
        <f t="shared" ca="1" si="121"/>
        <v>58076</v>
      </c>
      <c r="C418" s="9">
        <f t="shared" si="131"/>
        <v>414</v>
      </c>
      <c r="D418" s="9"/>
      <c r="E418" s="13">
        <f t="shared" si="122"/>
        <v>5383.0797996186238</v>
      </c>
      <c r="F418" s="14">
        <f t="shared" si="132"/>
        <v>1115216.8129842305</v>
      </c>
      <c r="G418" s="15">
        <f t="shared" si="123"/>
        <v>0.11693239795149432</v>
      </c>
      <c r="H418" s="13">
        <f t="shared" si="116"/>
        <v>391804.56646308815</v>
      </c>
      <c r="I418" s="13">
        <f t="shared" si="124"/>
        <v>29390559.421511937</v>
      </c>
      <c r="J418" s="15">
        <f t="shared" si="119"/>
        <v>0.88306760204850565</v>
      </c>
      <c r="K418" s="13">
        <f t="shared" si="125"/>
        <v>8422061.4137638658</v>
      </c>
      <c r="L418" s="13">
        <f t="shared" si="133"/>
        <v>734946707.06567168</v>
      </c>
      <c r="M418" s="15">
        <f t="shared" si="126"/>
        <v>0.88306760204850576</v>
      </c>
      <c r="N418" s="13">
        <f t="shared" si="117"/>
        <v>112102.91327414969</v>
      </c>
      <c r="O418" s="13">
        <f t="shared" si="127"/>
        <v>20968498.00774809</v>
      </c>
      <c r="P418" s="15">
        <f t="shared" si="120"/>
        <v>0.68736156216987965</v>
      </c>
      <c r="Q418" s="7">
        <f t="shared" si="128"/>
        <v>30505776.234496187</v>
      </c>
      <c r="R418" s="7">
        <f t="shared" si="118"/>
        <v>9537278.2267480958</v>
      </c>
      <c r="S418" s="13">
        <f>IF('Calc (2)'!$AD$32="Sim",R418,Q418)</f>
        <v>9537278.2267480958</v>
      </c>
      <c r="T418" s="9">
        <f t="shared" si="129"/>
        <v>414</v>
      </c>
      <c r="U418" s="17">
        <f t="shared" ca="1" si="130"/>
        <v>58107</v>
      </c>
    </row>
    <row r="419" spans="2:21" x14ac:dyDescent="0.2">
      <c r="B419" s="17">
        <f t="shared" ca="1" si="121"/>
        <v>58107</v>
      </c>
      <c r="C419" s="9">
        <f t="shared" si="131"/>
        <v>415</v>
      </c>
      <c r="D419" s="9"/>
      <c r="E419" s="13">
        <f t="shared" si="122"/>
        <v>5405.0111330595273</v>
      </c>
      <c r="F419" s="14">
        <f t="shared" si="132"/>
        <v>1120621.8241172901</v>
      </c>
      <c r="G419" s="15">
        <f t="shared" si="123"/>
        <v>0.11635004409449176</v>
      </c>
      <c r="H419" s="13">
        <f t="shared" si="116"/>
        <v>396973.18913340726</v>
      </c>
      <c r="I419" s="13">
        <f t="shared" si="124"/>
        <v>29787532.610645343</v>
      </c>
      <c r="J419" s="15">
        <f t="shared" si="119"/>
        <v>0.88364995590550821</v>
      </c>
      <c r="K419" s="13">
        <f t="shared" si="125"/>
        <v>8510847.0149249677</v>
      </c>
      <c r="L419" s="13">
        <f t="shared" si="133"/>
        <v>743457554.08059669</v>
      </c>
      <c r="M419" s="15">
        <f t="shared" si="126"/>
        <v>0.88364995590550821</v>
      </c>
      <c r="N419" s="13">
        <f t="shared" si="117"/>
        <v>113581.57646701975</v>
      </c>
      <c r="O419" s="13">
        <f t="shared" si="127"/>
        <v>21276685.595720395</v>
      </c>
      <c r="P419" s="15">
        <f t="shared" si="120"/>
        <v>0.68838421396621252</v>
      </c>
      <c r="Q419" s="7">
        <f t="shared" si="128"/>
        <v>30908154.434762653</v>
      </c>
      <c r="R419" s="7">
        <f t="shared" si="118"/>
        <v>9631468.8390422575</v>
      </c>
      <c r="S419" s="13">
        <f>IF('Calc (2)'!$AD$32="Sim",R419,Q419)</f>
        <v>9631468.8390422575</v>
      </c>
      <c r="T419" s="9">
        <f t="shared" si="129"/>
        <v>415</v>
      </c>
      <c r="U419" s="17">
        <f t="shared" ca="1" si="130"/>
        <v>58135</v>
      </c>
    </row>
    <row r="420" spans="2:21" x14ac:dyDescent="0.2">
      <c r="B420" s="17">
        <f t="shared" ca="1" si="121"/>
        <v>58135</v>
      </c>
      <c r="C420" s="9">
        <f t="shared" si="131"/>
        <v>416</v>
      </c>
      <c r="D420" s="9"/>
      <c r="E420" s="13">
        <f t="shared" si="122"/>
        <v>5427.0318174676095</v>
      </c>
      <c r="F420" s="14">
        <f t="shared" si="132"/>
        <v>1126048.8559347577</v>
      </c>
      <c r="G420" s="15">
        <f t="shared" si="123"/>
        <v>0.11577053797847643</v>
      </c>
      <c r="H420" s="13">
        <f t="shared" si="116"/>
        <v>402209.35674211447</v>
      </c>
      <c r="I420" s="13">
        <f t="shared" si="124"/>
        <v>30189741.967387456</v>
      </c>
      <c r="J420" s="15">
        <f t="shared" si="119"/>
        <v>0.88422946202152353</v>
      </c>
      <c r="K420" s="13">
        <f t="shared" si="125"/>
        <v>8600509.175125856</v>
      </c>
      <c r="L420" s="13">
        <f t="shared" si="133"/>
        <v>752058063.25572252</v>
      </c>
      <c r="M420" s="15">
        <f t="shared" si="126"/>
        <v>0.88422946202152353</v>
      </c>
      <c r="N420" s="13">
        <f t="shared" si="117"/>
        <v>115079.56249965863</v>
      </c>
      <c r="O420" s="13">
        <f t="shared" si="127"/>
        <v>21589232.792261619</v>
      </c>
      <c r="P420" s="15">
        <f t="shared" si="120"/>
        <v>0.68940404264621591</v>
      </c>
      <c r="Q420" s="7">
        <f t="shared" si="128"/>
        <v>31315790.823322233</v>
      </c>
      <c r="R420" s="7">
        <f t="shared" si="118"/>
        <v>9726558.0310606137</v>
      </c>
      <c r="S420" s="13">
        <f>IF('Calc (2)'!$AD$32="Sim",R420,Q420)</f>
        <v>9726558.0310606137</v>
      </c>
      <c r="T420" s="9">
        <f t="shared" si="129"/>
        <v>416</v>
      </c>
      <c r="U420" s="17">
        <f t="shared" ca="1" si="130"/>
        <v>58166</v>
      </c>
    </row>
    <row r="421" spans="2:21" x14ac:dyDescent="0.2">
      <c r="B421" s="17">
        <f t="shared" ca="1" si="121"/>
        <v>58166</v>
      </c>
      <c r="C421" s="9">
        <f t="shared" si="131"/>
        <v>417</v>
      </c>
      <c r="D421" s="9"/>
      <c r="E421" s="13">
        <f t="shared" si="122"/>
        <v>5449.1422168697709</v>
      </c>
      <c r="F421" s="14">
        <f t="shared" si="132"/>
        <v>1131497.9981516276</v>
      </c>
      <c r="G421" s="15">
        <f t="shared" si="123"/>
        <v>0.11519386596574861</v>
      </c>
      <c r="H421" s="13">
        <f t="shared" si="116"/>
        <v>407513.94941759383</v>
      </c>
      <c r="I421" s="13">
        <f t="shared" si="124"/>
        <v>30597255.916805051</v>
      </c>
      <c r="J421" s="15">
        <f t="shared" si="119"/>
        <v>0.88480613403425135</v>
      </c>
      <c r="K421" s="13">
        <f t="shared" si="125"/>
        <v>8691056.2556318473</v>
      </c>
      <c r="L421" s="13">
        <f t="shared" si="133"/>
        <v>760749119.51135433</v>
      </c>
      <c r="M421" s="15">
        <f t="shared" si="126"/>
        <v>0.88480613403425135</v>
      </c>
      <c r="N421" s="13">
        <f t="shared" si="117"/>
        <v>116597.12315083042</v>
      </c>
      <c r="O421" s="13">
        <f t="shared" si="127"/>
        <v>21906199.661173221</v>
      </c>
      <c r="P421" s="15">
        <f t="shared" si="120"/>
        <v>0.69042105214370875</v>
      </c>
      <c r="Q421" s="7">
        <f t="shared" si="128"/>
        <v>31728753.914956696</v>
      </c>
      <c r="R421" s="7">
        <f t="shared" si="118"/>
        <v>9822554.2537834756</v>
      </c>
      <c r="S421" s="13">
        <f>IF('Calc (2)'!$AD$32="Sim",R421,Q421)</f>
        <v>9822554.2537834756</v>
      </c>
      <c r="T421" s="9">
        <f t="shared" si="129"/>
        <v>417</v>
      </c>
      <c r="U421" s="17">
        <f t="shared" ca="1" si="130"/>
        <v>58196</v>
      </c>
    </row>
    <row r="422" spans="2:21" x14ac:dyDescent="0.2">
      <c r="B422" s="17">
        <f t="shared" ca="1" si="121"/>
        <v>58196</v>
      </c>
      <c r="C422" s="9">
        <f t="shared" si="131"/>
        <v>418</v>
      </c>
      <c r="D422" s="9"/>
      <c r="E422" s="13">
        <f t="shared" si="122"/>
        <v>5471.3426967760024</v>
      </c>
      <c r="F422" s="14">
        <f t="shared" si="132"/>
        <v>1136969.3408484035</v>
      </c>
      <c r="G422" s="15">
        <f t="shared" si="123"/>
        <v>0.11462001448322597</v>
      </c>
      <c r="H422" s="13">
        <f t="shared" si="116"/>
        <v>412887.85874612111</v>
      </c>
      <c r="I422" s="13">
        <f t="shared" si="124"/>
        <v>31010143.775551174</v>
      </c>
      <c r="J422" s="15">
        <f t="shared" si="119"/>
        <v>0.88537998551677399</v>
      </c>
      <c r="K422" s="13">
        <f t="shared" si="125"/>
        <v>8782496.6963400058</v>
      </c>
      <c r="L422" s="13">
        <f t="shared" si="133"/>
        <v>769531616.20769429</v>
      </c>
      <c r="M422" s="15">
        <f t="shared" si="126"/>
        <v>0.8853799855167741</v>
      </c>
      <c r="N422" s="13">
        <f t="shared" si="117"/>
        <v>118134.51347705204</v>
      </c>
      <c r="O422" s="13">
        <f t="shared" si="127"/>
        <v>22227647.079211183</v>
      </c>
      <c r="P422" s="15">
        <f t="shared" si="120"/>
        <v>0.69143524641632359</v>
      </c>
      <c r="Q422" s="7">
        <f t="shared" si="128"/>
        <v>32147113.116399594</v>
      </c>
      <c r="R422" s="7">
        <f t="shared" si="118"/>
        <v>9919466.0371884089</v>
      </c>
      <c r="S422" s="13">
        <f>IF('Calc (2)'!$AD$32="Sim",R422,Q422)</f>
        <v>9919466.0371884089</v>
      </c>
      <c r="T422" s="9">
        <f t="shared" si="129"/>
        <v>418</v>
      </c>
      <c r="U422" s="17">
        <f t="shared" ca="1" si="130"/>
        <v>58227</v>
      </c>
    </row>
    <row r="423" spans="2:21" x14ac:dyDescent="0.2">
      <c r="B423" s="17">
        <f t="shared" ca="1" si="121"/>
        <v>58227</v>
      </c>
      <c r="C423" s="9">
        <f t="shared" si="131"/>
        <v>419</v>
      </c>
      <c r="D423" s="9"/>
      <c r="E423" s="13">
        <f t="shared" si="122"/>
        <v>5493.6336241854278</v>
      </c>
      <c r="F423" s="14">
        <f t="shared" si="132"/>
        <v>1142462.9744725889</v>
      </c>
      <c r="G423" s="15">
        <f t="shared" si="123"/>
        <v>0.11404897002212201</v>
      </c>
      <c r="H423" s="13">
        <f t="shared" si="116"/>
        <v>418331.98792098503</v>
      </c>
      <c r="I423" s="13">
        <f t="shared" si="124"/>
        <v>31428475.763472158</v>
      </c>
      <c r="J423" s="15">
        <f t="shared" si="119"/>
        <v>0.885951029977878</v>
      </c>
      <c r="K423" s="13">
        <f t="shared" si="125"/>
        <v>8874839.0165141411</v>
      </c>
      <c r="L423" s="13">
        <f t="shared" si="133"/>
        <v>778406455.22420847</v>
      </c>
      <c r="M423" s="15">
        <f t="shared" si="126"/>
        <v>0.88595102997787789</v>
      </c>
      <c r="N423" s="13">
        <f t="shared" si="117"/>
        <v>119691.99185525221</v>
      </c>
      <c r="O423" s="13">
        <f t="shared" si="127"/>
        <v>22553636.746958032</v>
      </c>
      <c r="P423" s="15">
        <f t="shared" si="120"/>
        <v>0.69244662944526403</v>
      </c>
      <c r="Q423" s="7">
        <f t="shared" si="128"/>
        <v>32570938.737944763</v>
      </c>
      <c r="R423" s="7">
        <f t="shared" si="118"/>
        <v>10017301.990986731</v>
      </c>
      <c r="S423" s="13">
        <f>IF('Calc (2)'!$AD$32="Sim",R423,Q423)</f>
        <v>10017301.990986731</v>
      </c>
      <c r="T423" s="9">
        <f t="shared" si="129"/>
        <v>419</v>
      </c>
      <c r="U423" s="17">
        <f t="shared" ca="1" si="130"/>
        <v>58257</v>
      </c>
    </row>
    <row r="424" spans="2:21" x14ac:dyDescent="0.2">
      <c r="B424" s="17">
        <f t="shared" ca="1" si="121"/>
        <v>58257</v>
      </c>
      <c r="C424" s="9">
        <f t="shared" si="131"/>
        <v>420</v>
      </c>
      <c r="D424" s="9">
        <v>35</v>
      </c>
      <c r="E424" s="13">
        <f t="shared" si="122"/>
        <v>5516.0153675923721</v>
      </c>
      <c r="F424" s="14">
        <f t="shared" si="132"/>
        <v>1147978.9898401813</v>
      </c>
      <c r="G424" s="15">
        <f t="shared" si="123"/>
        <v>0.1134807191376266</v>
      </c>
      <c r="H424" s="13">
        <f t="shared" si="116"/>
        <v>423847.25189354969</v>
      </c>
      <c r="I424" s="13">
        <f t="shared" si="124"/>
        <v>31852323.015365709</v>
      </c>
      <c r="J424" s="15">
        <f t="shared" si="119"/>
        <v>0.88651928086237342</v>
      </c>
      <c r="K424" s="13">
        <f t="shared" si="125"/>
        <v>8968091.8155266829</v>
      </c>
      <c r="L424" s="13">
        <f t="shared" si="133"/>
        <v>787374547.0397352</v>
      </c>
      <c r="M424" s="15">
        <f t="shared" si="126"/>
        <v>0.88651928086237342</v>
      </c>
      <c r="N424" s="13">
        <f t="shared" si="117"/>
        <v>121269.82002598574</v>
      </c>
      <c r="O424" s="13">
        <f t="shared" si="127"/>
        <v>22884231.199839041</v>
      </c>
      <c r="P424" s="15">
        <f t="shared" si="120"/>
        <v>0.69345520523506055</v>
      </c>
      <c r="Q424" s="7">
        <f t="shared" si="128"/>
        <v>33000302.005205907</v>
      </c>
      <c r="R424" s="7">
        <f t="shared" si="118"/>
        <v>10116070.805366864</v>
      </c>
      <c r="S424" s="13">
        <f>IF('Calc (2)'!$AD$32="Sim",R424,Q424)</f>
        <v>10116070.805366864</v>
      </c>
      <c r="T424" s="9">
        <f t="shared" si="129"/>
        <v>420</v>
      </c>
      <c r="U424" s="17">
        <f t="shared" ca="1" si="130"/>
        <v>58288</v>
      </c>
    </row>
    <row r="425" spans="2:21" x14ac:dyDescent="0.2">
      <c r="B425" s="17">
        <f t="shared" ca="1" si="121"/>
        <v>58288</v>
      </c>
      <c r="C425" s="9">
        <f t="shared" si="131"/>
        <v>421</v>
      </c>
      <c r="D425" s="9"/>
      <c r="E425" s="13">
        <f t="shared" si="122"/>
        <v>5538.4882969924502</v>
      </c>
      <c r="F425" s="14">
        <f t="shared" si="132"/>
        <v>1153517.4781371737</v>
      </c>
      <c r="G425" s="15">
        <f t="shared" si="123"/>
        <v>0.11291524844858825</v>
      </c>
      <c r="H425" s="13">
        <f t="shared" si="116"/>
        <v>429434.57752628194</v>
      </c>
      <c r="I425" s="13">
        <f t="shared" si="124"/>
        <v>32281757.592891991</v>
      </c>
      <c r="J425" s="15">
        <f t="shared" si="119"/>
        <v>0.88708475155141175</v>
      </c>
      <c r="K425" s="13">
        <f t="shared" si="125"/>
        <v>9062263.7736074477</v>
      </c>
      <c r="L425" s="13">
        <f t="shared" si="133"/>
        <v>796436810.81334269</v>
      </c>
      <c r="M425" s="15">
        <f t="shared" si="126"/>
        <v>0.88708475155141187</v>
      </c>
      <c r="N425" s="13">
        <f t="shared" si="117"/>
        <v>122868.26313720996</v>
      </c>
      <c r="O425" s="13">
        <f t="shared" si="127"/>
        <v>23219493.819284562</v>
      </c>
      <c r="P425" s="15">
        <f t="shared" si="120"/>
        <v>0.69446097781332938</v>
      </c>
      <c r="Q425" s="7">
        <f t="shared" si="128"/>
        <v>33435275.071029183</v>
      </c>
      <c r="R425" s="7">
        <f t="shared" si="118"/>
        <v>10215781.251744621</v>
      </c>
      <c r="S425" s="13">
        <f>IF('Calc (2)'!$AD$32="Sim",R425,Q425)</f>
        <v>10215781.251744621</v>
      </c>
      <c r="T425" s="9">
        <f t="shared" si="129"/>
        <v>421</v>
      </c>
      <c r="U425" s="17">
        <f t="shared" ca="1" si="130"/>
        <v>58319</v>
      </c>
    </row>
    <row r="426" spans="2:21" x14ac:dyDescent="0.2">
      <c r="B426" s="17">
        <f t="shared" ca="1" si="121"/>
        <v>58319</v>
      </c>
      <c r="C426" s="9">
        <f t="shared" si="131"/>
        <v>422</v>
      </c>
      <c r="D426" s="9"/>
      <c r="E426" s="13">
        <f t="shared" si="122"/>
        <v>5561.0527838886856</v>
      </c>
      <c r="F426" s="14">
        <f t="shared" si="132"/>
        <v>1159078.5309210625</v>
      </c>
      <c r="G426" s="15">
        <f t="shared" si="123"/>
        <v>0.11235254463719879</v>
      </c>
      <c r="H426" s="13">
        <f t="shared" si="116"/>
        <v>435094.90374777117</v>
      </c>
      <c r="I426" s="13">
        <f t="shared" si="124"/>
        <v>32716852.496639762</v>
      </c>
      <c r="J426" s="15">
        <f t="shared" si="119"/>
        <v>0.88764745536280121</v>
      </c>
      <c r="K426" s="13">
        <f t="shared" si="125"/>
        <v>9157363.6525993925</v>
      </c>
      <c r="L426" s="13">
        <f t="shared" si="133"/>
        <v>805594174.46594203</v>
      </c>
      <c r="M426" s="15">
        <f t="shared" si="126"/>
        <v>0.88764745536280121</v>
      </c>
      <c r="N426" s="13">
        <f t="shared" si="117"/>
        <v>124487.589788631</v>
      </c>
      <c r="O426" s="13">
        <f t="shared" si="127"/>
        <v>23559488.84404039</v>
      </c>
      <c r="P426" s="15">
        <f t="shared" si="120"/>
        <v>0.69546395123053051</v>
      </c>
      <c r="Q426" s="7">
        <f t="shared" si="128"/>
        <v>33875931.027560845</v>
      </c>
      <c r="R426" s="7">
        <f t="shared" si="118"/>
        <v>10316442.183520455</v>
      </c>
      <c r="S426" s="13">
        <f>IF('Calc (2)'!$AD$32="Sim",R426,Q426)</f>
        <v>10316442.183520455</v>
      </c>
      <c r="T426" s="9">
        <f t="shared" si="129"/>
        <v>422</v>
      </c>
      <c r="U426" s="17">
        <f t="shared" ca="1" si="130"/>
        <v>58349</v>
      </c>
    </row>
    <row r="427" spans="2:21" x14ac:dyDescent="0.2">
      <c r="B427" s="17">
        <f t="shared" ca="1" si="121"/>
        <v>58349</v>
      </c>
      <c r="C427" s="9">
        <f t="shared" si="131"/>
        <v>423</v>
      </c>
      <c r="D427" s="9"/>
      <c r="E427" s="13">
        <f t="shared" si="122"/>
        <v>5583.70920129765</v>
      </c>
      <c r="F427" s="14">
        <f t="shared" si="132"/>
        <v>1164662.2401223602</v>
      </c>
      <c r="G427" s="15">
        <f t="shared" si="123"/>
        <v>0.11179259444867957</v>
      </c>
      <c r="H427" s="13">
        <f t="shared" si="116"/>
        <v>440829.18170976563</v>
      </c>
      <c r="I427" s="13">
        <f t="shared" si="124"/>
        <v>33157681.678349528</v>
      </c>
      <c r="J427" s="15">
        <f t="shared" si="119"/>
        <v>0.88820740555132038</v>
      </c>
      <c r="K427" s="13">
        <f t="shared" si="125"/>
        <v>9253400.2967214324</v>
      </c>
      <c r="L427" s="13">
        <f t="shared" si="133"/>
        <v>814847574.76266348</v>
      </c>
      <c r="M427" s="15">
        <f t="shared" si="126"/>
        <v>0.88820740555132038</v>
      </c>
      <c r="N427" s="13">
        <f t="shared" si="117"/>
        <v>126128.07207662717</v>
      </c>
      <c r="O427" s="13">
        <f t="shared" si="127"/>
        <v>23904281.381628118</v>
      </c>
      <c r="P427" s="15">
        <f t="shared" si="120"/>
        <v>0.6964641295597267</v>
      </c>
      <c r="Q427" s="7">
        <f t="shared" si="128"/>
        <v>34322343.91847191</v>
      </c>
      <c r="R427" s="7">
        <f t="shared" si="118"/>
        <v>10418062.536843793</v>
      </c>
      <c r="S427" s="13">
        <f>IF('Calc (2)'!$AD$32="Sim",R427,Q427)</f>
        <v>10418062.536843793</v>
      </c>
      <c r="T427" s="9">
        <f t="shared" si="129"/>
        <v>423</v>
      </c>
      <c r="U427" s="17">
        <f t="shared" ca="1" si="130"/>
        <v>58380</v>
      </c>
    </row>
    <row r="428" spans="2:21" x14ac:dyDescent="0.2">
      <c r="B428" s="17">
        <f t="shared" ca="1" si="121"/>
        <v>58380</v>
      </c>
      <c r="C428" s="9">
        <f t="shared" si="131"/>
        <v>424</v>
      </c>
      <c r="D428" s="9"/>
      <c r="E428" s="13">
        <f t="shared" si="122"/>
        <v>5606.4579237556327</v>
      </c>
      <c r="F428" s="14">
        <f t="shared" si="132"/>
        <v>1170268.6980461159</v>
      </c>
      <c r="G428" s="15">
        <f t="shared" si="123"/>
        <v>0.11123538469096995</v>
      </c>
      <c r="H428" s="13">
        <f t="shared" si="116"/>
        <v>446638.37494625291</v>
      </c>
      <c r="I428" s="13">
        <f t="shared" si="124"/>
        <v>33604320.053295784</v>
      </c>
      <c r="J428" s="15">
        <f t="shared" si="119"/>
        <v>0.88876461530903006</v>
      </c>
      <c r="K428" s="13">
        <f t="shared" si="125"/>
        <v>9350382.6333383471</v>
      </c>
      <c r="L428" s="13">
        <f t="shared" si="133"/>
        <v>824197957.39600182</v>
      </c>
      <c r="M428" s="15">
        <f t="shared" si="126"/>
        <v>0.88876461530903006</v>
      </c>
      <c r="N428" s="13">
        <f t="shared" si="117"/>
        <v>127789.98563975687</v>
      </c>
      <c r="O428" s="13">
        <f t="shared" si="127"/>
        <v>24253937.419957452</v>
      </c>
      <c r="P428" s="15">
        <f t="shared" si="120"/>
        <v>0.69746151689634339</v>
      </c>
      <c r="Q428" s="7">
        <f t="shared" si="128"/>
        <v>34774588.751341917</v>
      </c>
      <c r="R428" s="7">
        <f t="shared" si="118"/>
        <v>10520651.331384463</v>
      </c>
      <c r="S428" s="13">
        <f>IF('Calc (2)'!$AD$32="Sim",R428,Q428)</f>
        <v>10520651.331384463</v>
      </c>
      <c r="T428" s="9">
        <f t="shared" si="129"/>
        <v>424</v>
      </c>
      <c r="U428" s="17">
        <f t="shared" ca="1" si="130"/>
        <v>58410</v>
      </c>
    </row>
    <row r="429" spans="2:21" x14ac:dyDescent="0.2">
      <c r="B429" s="17">
        <f t="shared" ca="1" si="121"/>
        <v>58410</v>
      </c>
      <c r="C429" s="9">
        <f t="shared" si="131"/>
        <v>425</v>
      </c>
      <c r="D429" s="9"/>
      <c r="E429" s="13">
        <f t="shared" si="122"/>
        <v>5629.2993273248294</v>
      </c>
      <c r="F429" s="14">
        <f t="shared" si="132"/>
        <v>1175897.9973734408</v>
      </c>
      <c r="G429" s="15">
        <f t="shared" si="123"/>
        <v>0.1106809022344174</v>
      </c>
      <c r="H429" s="13">
        <f t="shared" ref="H429:H492" si="134">Q428*Taxa_2</f>
        <v>452523.45953461021</v>
      </c>
      <c r="I429" s="13">
        <f t="shared" si="124"/>
        <v>34056843.512830392</v>
      </c>
      <c r="J429" s="15">
        <f t="shared" si="119"/>
        <v>0.8893190977655826</v>
      </c>
      <c r="K429" s="13">
        <f t="shared" si="125"/>
        <v>9448319.6737378705</v>
      </c>
      <c r="L429" s="13">
        <f t="shared" si="133"/>
        <v>833646277.0697397</v>
      </c>
      <c r="M429" s="15">
        <f t="shared" si="126"/>
        <v>0.8893190977655826</v>
      </c>
      <c r="N429" s="13">
        <f t="shared" ref="N429:N492" si="135">Q429*Inflação_2</f>
        <v>129473.60970485877</v>
      </c>
      <c r="O429" s="13">
        <f t="shared" si="127"/>
        <v>24608523.839092534</v>
      </c>
      <c r="P429" s="15">
        <f t="shared" si="120"/>
        <v>0.69845611735792956</v>
      </c>
      <c r="Q429" s="7">
        <f t="shared" si="128"/>
        <v>35232741.510203846</v>
      </c>
      <c r="R429" s="7">
        <f t="shared" ref="R429:R492" si="136">(R428+E429)*(1+((1+Taxa_2)/(1+Inflação_2)-1))</f>
        <v>10624217.671111312</v>
      </c>
      <c r="S429" s="13">
        <f>IF('Calc (2)'!$AD$32="Sim",R429,Q429)</f>
        <v>10624217.671111312</v>
      </c>
      <c r="T429" s="9">
        <f t="shared" si="129"/>
        <v>425</v>
      </c>
      <c r="U429" s="17">
        <f t="shared" ca="1" si="130"/>
        <v>58441</v>
      </c>
    </row>
    <row r="430" spans="2:21" x14ac:dyDescent="0.2">
      <c r="B430" s="17">
        <f t="shared" ca="1" si="121"/>
        <v>58441</v>
      </c>
      <c r="C430" s="9">
        <f t="shared" si="131"/>
        <v>426</v>
      </c>
      <c r="D430" s="9"/>
      <c r="E430" s="13">
        <f t="shared" si="122"/>
        <v>5652.2337895995588</v>
      </c>
      <c r="F430" s="14">
        <f t="shared" si="132"/>
        <v>1181550.2311630403</v>
      </c>
      <c r="G430" s="15">
        <f t="shared" si="123"/>
        <v>0.11012913401146986</v>
      </c>
      <c r="H430" s="13">
        <f t="shared" si="134"/>
        <v>458485.42425885232</v>
      </c>
      <c r="I430" s="13">
        <f t="shared" si="124"/>
        <v>34515328.937089242</v>
      </c>
      <c r="J430" s="15">
        <f t="shared" si="119"/>
        <v>0.88987086598853016</v>
      </c>
      <c r="K430" s="13">
        <f t="shared" si="125"/>
        <v>9547220.5139150321</v>
      </c>
      <c r="L430" s="13">
        <f t="shared" si="133"/>
        <v>843193497.58365476</v>
      </c>
      <c r="M430" s="15">
        <f t="shared" si="126"/>
        <v>0.88987086598853016</v>
      </c>
      <c r="N430" s="13">
        <f t="shared" si="135"/>
        <v>131179.22713375196</v>
      </c>
      <c r="O430" s="13">
        <f t="shared" si="127"/>
        <v>24968108.423174225</v>
      </c>
      <c r="P430" s="15">
        <f t="shared" si="120"/>
        <v>0.69944793508391878</v>
      </c>
      <c r="Q430" s="7">
        <f t="shared" si="128"/>
        <v>35696879.168252297</v>
      </c>
      <c r="R430" s="7">
        <f t="shared" si="136"/>
        <v>10728770.745078072</v>
      </c>
      <c r="S430" s="13">
        <f>IF('Calc (2)'!$AD$32="Sim",R430,Q430)</f>
        <v>10728770.745078072</v>
      </c>
      <c r="T430" s="9">
        <f t="shared" si="129"/>
        <v>426</v>
      </c>
      <c r="U430" s="17">
        <f t="shared" ca="1" si="130"/>
        <v>58472</v>
      </c>
    </row>
    <row r="431" spans="2:21" x14ac:dyDescent="0.2">
      <c r="B431" s="17">
        <f t="shared" ca="1" si="121"/>
        <v>58472</v>
      </c>
      <c r="C431" s="9">
        <f t="shared" si="131"/>
        <v>427</v>
      </c>
      <c r="D431" s="9"/>
      <c r="E431" s="13">
        <f t="shared" si="122"/>
        <v>5675.2616897125072</v>
      </c>
      <c r="F431" s="14">
        <f t="shared" si="132"/>
        <v>1187225.4928527528</v>
      </c>
      <c r="G431" s="15">
        <f t="shared" si="123"/>
        <v>0.10958006701636971</v>
      </c>
      <c r="H431" s="13">
        <f t="shared" si="134"/>
        <v>464525.27077500336</v>
      </c>
      <c r="I431" s="13">
        <f t="shared" si="124"/>
        <v>34979854.207864247</v>
      </c>
      <c r="J431" s="15">
        <f t="shared" si="119"/>
        <v>0.89041993298363031</v>
      </c>
      <c r="K431" s="13">
        <f t="shared" si="125"/>
        <v>9647094.3353637978</v>
      </c>
      <c r="L431" s="13">
        <f t="shared" si="133"/>
        <v>852840591.91901851</v>
      </c>
      <c r="M431" s="15">
        <f t="shared" si="126"/>
        <v>0.89041993298363031</v>
      </c>
      <c r="N431" s="13">
        <f t="shared" si="135"/>
        <v>132907.12447054373</v>
      </c>
      <c r="O431" s="13">
        <f t="shared" si="127"/>
        <v>25332759.872500464</v>
      </c>
      <c r="P431" s="15">
        <f t="shared" si="120"/>
        <v>0.7004369742353912</v>
      </c>
      <c r="Q431" s="7">
        <f t="shared" si="128"/>
        <v>36167079.700717017</v>
      </c>
      <c r="R431" s="7">
        <f t="shared" si="136"/>
        <v>10834319.828216551</v>
      </c>
      <c r="S431" s="13">
        <f>IF('Calc (2)'!$AD$32="Sim",R431,Q431)</f>
        <v>10834319.828216551</v>
      </c>
      <c r="T431" s="9">
        <f t="shared" si="129"/>
        <v>427</v>
      </c>
      <c r="U431" s="17">
        <f t="shared" ca="1" si="130"/>
        <v>58501</v>
      </c>
    </row>
    <row r="432" spans="2:21" x14ac:dyDescent="0.2">
      <c r="B432" s="17">
        <f t="shared" ca="1" si="121"/>
        <v>58501</v>
      </c>
      <c r="C432" s="9">
        <f t="shared" si="131"/>
        <v>428</v>
      </c>
      <c r="D432" s="9"/>
      <c r="E432" s="13">
        <f t="shared" si="122"/>
        <v>5698.3834083409929</v>
      </c>
      <c r="F432" s="14">
        <f t="shared" si="132"/>
        <v>1192923.8762610939</v>
      </c>
      <c r="G432" s="15">
        <f t="shared" si="123"/>
        <v>0.10903368830484966</v>
      </c>
      <c r="H432" s="13">
        <f t="shared" si="134"/>
        <v>470644.01377862092</v>
      </c>
      <c r="I432" s="13">
        <f t="shared" si="124"/>
        <v>35450498.221642867</v>
      </c>
      <c r="J432" s="15">
        <f t="shared" si="119"/>
        <v>0.89096631169515028</v>
      </c>
      <c r="K432" s="13">
        <f t="shared" si="125"/>
        <v>9747950.4058761112</v>
      </c>
      <c r="L432" s="13">
        <f t="shared" si="133"/>
        <v>862588542.32489467</v>
      </c>
      <c r="M432" s="15">
        <f t="shared" si="126"/>
        <v>0.89096631169515028</v>
      </c>
      <c r="N432" s="13">
        <f t="shared" si="135"/>
        <v>134657.59198955298</v>
      </c>
      <c r="O432" s="13">
        <f t="shared" si="127"/>
        <v>25702547.815766767</v>
      </c>
      <c r="P432" s="15">
        <f t="shared" si="120"/>
        <v>0.70142323899483638</v>
      </c>
      <c r="Q432" s="7">
        <f t="shared" si="128"/>
        <v>36643422.097903974</v>
      </c>
      <c r="R432" s="7">
        <f t="shared" si="136"/>
        <v>10940874.282137206</v>
      </c>
      <c r="S432" s="13">
        <f>IF('Calc (2)'!$AD$32="Sim",R432,Q432)</f>
        <v>10940874.282137206</v>
      </c>
      <c r="T432" s="9">
        <f t="shared" si="129"/>
        <v>428</v>
      </c>
      <c r="U432" s="17">
        <f t="shared" ca="1" si="130"/>
        <v>58532</v>
      </c>
    </row>
    <row r="433" spans="2:21" x14ac:dyDescent="0.2">
      <c r="B433" s="17">
        <f t="shared" ca="1" si="121"/>
        <v>58532</v>
      </c>
      <c r="C433" s="9">
        <f t="shared" si="131"/>
        <v>429</v>
      </c>
      <c r="D433" s="9"/>
      <c r="E433" s="13">
        <f t="shared" si="122"/>
        <v>5721.599327713262</v>
      </c>
      <c r="F433" s="14">
        <f t="shared" si="132"/>
        <v>1198645.4755888071</v>
      </c>
      <c r="G433" s="15">
        <f t="shared" si="123"/>
        <v>0.10848998499383053</v>
      </c>
      <c r="H433" s="13">
        <f t="shared" si="134"/>
        <v>476842.68117450015</v>
      </c>
      <c r="I433" s="13">
        <f t="shared" si="124"/>
        <v>35927340.902817369</v>
      </c>
      <c r="J433" s="15">
        <f t="shared" si="119"/>
        <v>0.89151001500616944</v>
      </c>
      <c r="K433" s="13">
        <f t="shared" si="125"/>
        <v>9849798.0803483613</v>
      </c>
      <c r="L433" s="13">
        <f t="shared" si="133"/>
        <v>872438340.40524304</v>
      </c>
      <c r="M433" s="15">
        <f t="shared" si="126"/>
        <v>0.89151001500616944</v>
      </c>
      <c r="N433" s="13">
        <f t="shared" si="135"/>
        <v>136430.92374385757</v>
      </c>
      <c r="O433" s="13">
        <f t="shared" si="127"/>
        <v>26077542.822469018</v>
      </c>
      <c r="P433" s="15">
        <f t="shared" si="120"/>
        <v>0.70240673356591699</v>
      </c>
      <c r="Q433" s="7">
        <f t="shared" si="128"/>
        <v>37125986.378406189</v>
      </c>
      <c r="R433" s="7">
        <f t="shared" si="136"/>
        <v>11048443.555937169</v>
      </c>
      <c r="S433" s="13">
        <f>IF('Calc (2)'!$AD$32="Sim",R433,Q433)</f>
        <v>11048443.555937169</v>
      </c>
      <c r="T433" s="9">
        <f t="shared" si="129"/>
        <v>429</v>
      </c>
      <c r="U433" s="17">
        <f t="shared" ca="1" si="130"/>
        <v>58562</v>
      </c>
    </row>
    <row r="434" spans="2:21" x14ac:dyDescent="0.2">
      <c r="B434" s="17">
        <f t="shared" ca="1" si="121"/>
        <v>58562</v>
      </c>
      <c r="C434" s="9">
        <f t="shared" si="131"/>
        <v>430</v>
      </c>
      <c r="D434" s="9"/>
      <c r="E434" s="13">
        <f t="shared" si="122"/>
        <v>5744.9098316148047</v>
      </c>
      <c r="F434" s="14">
        <f t="shared" si="132"/>
        <v>1204390.3854204218</v>
      </c>
      <c r="G434" s="15">
        <f t="shared" si="123"/>
        <v>0.10794894426112091</v>
      </c>
      <c r="H434" s="13">
        <f t="shared" si="134"/>
        <v>483122.31424858689</v>
      </c>
      <c r="I434" s="13">
        <f t="shared" si="124"/>
        <v>36410463.217065953</v>
      </c>
      <c r="J434" s="15">
        <f t="shared" si="119"/>
        <v>0.89205105573887911</v>
      </c>
      <c r="K434" s="13">
        <f t="shared" si="125"/>
        <v>9952646.8015953787</v>
      </c>
      <c r="L434" s="13">
        <f t="shared" si="133"/>
        <v>882390987.20683837</v>
      </c>
      <c r="M434" s="15">
        <f t="shared" si="126"/>
        <v>0.89205105573887911</v>
      </c>
      <c r="N434" s="13">
        <f t="shared" si="135"/>
        <v>138227.41761447294</v>
      </c>
      <c r="O434" s="13">
        <f t="shared" si="127"/>
        <v>26457816.415470585</v>
      </c>
      <c r="P434" s="15">
        <f t="shared" si="120"/>
        <v>0.70338746217323289</v>
      </c>
      <c r="Q434" s="7">
        <f t="shared" si="128"/>
        <v>37614853.602486387</v>
      </c>
      <c r="R434" s="7">
        <f t="shared" si="136"/>
        <v>11157037.1870158</v>
      </c>
      <c r="S434" s="13">
        <f>IF('Calc (2)'!$AD$32="Sim",R434,Q434)</f>
        <v>11157037.1870158</v>
      </c>
      <c r="T434" s="9">
        <f t="shared" si="129"/>
        <v>430</v>
      </c>
      <c r="U434" s="17">
        <f t="shared" ca="1" si="130"/>
        <v>58593</v>
      </c>
    </row>
    <row r="435" spans="2:21" x14ac:dyDescent="0.2">
      <c r="B435" s="17">
        <f t="shared" ca="1" si="121"/>
        <v>58593</v>
      </c>
      <c r="C435" s="9">
        <f t="shared" si="131"/>
        <v>431</v>
      </c>
      <c r="D435" s="9"/>
      <c r="E435" s="13">
        <f t="shared" si="122"/>
        <v>5768.3153053947017</v>
      </c>
      <c r="F435" s="14">
        <f t="shared" si="132"/>
        <v>1210158.7007258164</v>
      </c>
      <c r="G435" s="15">
        <f t="shared" si="123"/>
        <v>0.10741055334511854</v>
      </c>
      <c r="H435" s="13">
        <f t="shared" si="134"/>
        <v>489483.96784212696</v>
      </c>
      <c r="I435" s="13">
        <f t="shared" si="124"/>
        <v>36899947.184908077</v>
      </c>
      <c r="J435" s="15">
        <f t="shared" si="119"/>
        <v>0.89258944665488149</v>
      </c>
      <c r="K435" s="13">
        <f t="shared" si="125"/>
        <v>10056506.101172015</v>
      </c>
      <c r="L435" s="13">
        <f t="shared" si="133"/>
        <v>892447493.30801034</v>
      </c>
      <c r="M435" s="15">
        <f t="shared" si="126"/>
        <v>0.89258944665488149</v>
      </c>
      <c r="N435" s="13">
        <f t="shared" si="135"/>
        <v>140047.37536017125</v>
      </c>
      <c r="O435" s="13">
        <f t="shared" si="127"/>
        <v>26843441.083736077</v>
      </c>
      <c r="P435" s="15">
        <f t="shared" si="120"/>
        <v>0.70436542906208655</v>
      </c>
      <c r="Q435" s="7">
        <f t="shared" si="128"/>
        <v>38110105.885633908</v>
      </c>
      <c r="R435" s="7">
        <f t="shared" si="136"/>
        <v>11266664.801897831</v>
      </c>
      <c r="S435" s="13">
        <f>IF('Calc (2)'!$AD$32="Sim",R435,Q435)</f>
        <v>11266664.801897831</v>
      </c>
      <c r="T435" s="9">
        <f t="shared" si="129"/>
        <v>431</v>
      </c>
      <c r="U435" s="17">
        <f t="shared" ca="1" si="130"/>
        <v>58623</v>
      </c>
    </row>
    <row r="436" spans="2:21" x14ac:dyDescent="0.2">
      <c r="B436" s="17">
        <f t="shared" ca="1" si="121"/>
        <v>58623</v>
      </c>
      <c r="C436" s="9">
        <f t="shared" si="131"/>
        <v>432</v>
      </c>
      <c r="D436" s="9">
        <v>36</v>
      </c>
      <c r="E436" s="13">
        <f t="shared" si="122"/>
        <v>5791.8161359719934</v>
      </c>
      <c r="F436" s="14">
        <f t="shared" si="132"/>
        <v>1215950.5168617885</v>
      </c>
      <c r="G436" s="15">
        <f t="shared" si="123"/>
        <v>0.10687479954451352</v>
      </c>
      <c r="H436" s="13">
        <f t="shared" si="134"/>
        <v>495928.71052808274</v>
      </c>
      <c r="I436" s="13">
        <f t="shared" si="124"/>
        <v>37395875.89543616</v>
      </c>
      <c r="J436" s="15">
        <f t="shared" si="119"/>
        <v>0.89312520045548649</v>
      </c>
      <c r="K436" s="13">
        <f t="shared" si="125"/>
        <v>10161385.600202395</v>
      </c>
      <c r="L436" s="13">
        <f t="shared" si="133"/>
        <v>902608878.90821278</v>
      </c>
      <c r="M436" s="15">
        <f t="shared" si="126"/>
        <v>0.89312520045548649</v>
      </c>
      <c r="N436" s="13">
        <f t="shared" si="135"/>
        <v>141891.10266794846</v>
      </c>
      <c r="O436" s="13">
        <f t="shared" si="127"/>
        <v>27234490.295233779</v>
      </c>
      <c r="P436" s="15">
        <f t="shared" si="120"/>
        <v>0.70534063849824846</v>
      </c>
      <c r="Q436" s="7">
        <f t="shared" si="128"/>
        <v>38611826.412297964</v>
      </c>
      <c r="R436" s="7">
        <f t="shared" si="136"/>
        <v>11377336.117064184</v>
      </c>
      <c r="S436" s="13">
        <f>IF('Calc (2)'!$AD$32="Sim",R436,Q436)</f>
        <v>11377336.117064184</v>
      </c>
      <c r="T436" s="9">
        <f t="shared" si="129"/>
        <v>432</v>
      </c>
      <c r="U436" s="17">
        <f t="shared" ca="1" si="130"/>
        <v>58654</v>
      </c>
    </row>
    <row r="437" spans="2:21" x14ac:dyDescent="0.2">
      <c r="B437" s="17">
        <f t="shared" ca="1" si="121"/>
        <v>58654</v>
      </c>
      <c r="C437" s="9">
        <f t="shared" si="131"/>
        <v>433</v>
      </c>
      <c r="D437" s="9"/>
      <c r="E437" s="13">
        <f t="shared" si="122"/>
        <v>5815.4127118420756</v>
      </c>
      <c r="F437" s="14">
        <f t="shared" si="132"/>
        <v>1221765.9295736304</v>
      </c>
      <c r="G437" s="15">
        <f t="shared" si="123"/>
        <v>0.1063416702179933</v>
      </c>
      <c r="H437" s="13">
        <f t="shared" si="134"/>
        <v>502457.62478984473</v>
      </c>
      <c r="I437" s="13">
        <f t="shared" si="124"/>
        <v>37898333.520226002</v>
      </c>
      <c r="J437" s="15">
        <f t="shared" si="119"/>
        <v>0.89365832978200666</v>
      </c>
      <c r="K437" s="13">
        <f t="shared" si="125"/>
        <v>10267295.010216877</v>
      </c>
      <c r="L437" s="13">
        <f t="shared" si="133"/>
        <v>912876173.91842961</v>
      </c>
      <c r="M437" s="15">
        <f t="shared" si="126"/>
        <v>0.89365832978200666</v>
      </c>
      <c r="N437" s="13">
        <f t="shared" si="135"/>
        <v>143758.90920414825</v>
      </c>
      <c r="O437" s="13">
        <f t="shared" si="127"/>
        <v>27631038.51000914</v>
      </c>
      <c r="P437" s="15">
        <f t="shared" si="120"/>
        <v>0.7063130947677243</v>
      </c>
      <c r="Q437" s="7">
        <f t="shared" si="128"/>
        <v>39120099.449799649</v>
      </c>
      <c r="R437" s="7">
        <f t="shared" si="136"/>
        <v>11489060.939790508</v>
      </c>
      <c r="S437" s="13">
        <f>IF('Calc (2)'!$AD$32="Sim",R437,Q437)</f>
        <v>11489060.939790508</v>
      </c>
      <c r="T437" s="9">
        <f t="shared" si="129"/>
        <v>433</v>
      </c>
      <c r="U437" s="17">
        <f t="shared" ca="1" si="130"/>
        <v>58685</v>
      </c>
    </row>
    <row r="438" spans="2:21" x14ac:dyDescent="0.2">
      <c r="B438" s="17">
        <f t="shared" ca="1" si="121"/>
        <v>58685</v>
      </c>
      <c r="C438" s="9">
        <f t="shared" si="131"/>
        <v>434</v>
      </c>
      <c r="D438" s="9"/>
      <c r="E438" s="13">
        <f t="shared" si="122"/>
        <v>5839.1054230831223</v>
      </c>
      <c r="F438" s="14">
        <f t="shared" si="132"/>
        <v>1227605.0349967135</v>
      </c>
      <c r="G438" s="15">
        <f t="shared" si="123"/>
        <v>0.10581115278394948</v>
      </c>
      <c r="H438" s="13">
        <f t="shared" si="134"/>
        <v>509071.80720226944</v>
      </c>
      <c r="I438" s="13">
        <f t="shared" si="124"/>
        <v>38407405.327428274</v>
      </c>
      <c r="J438" s="15">
        <f t="shared" si="119"/>
        <v>0.89418884721605052</v>
      </c>
      <c r="K438" s="13">
        <f t="shared" si="125"/>
        <v>10374244.133996833</v>
      </c>
      <c r="L438" s="13">
        <f t="shared" si="133"/>
        <v>923250418.05242646</v>
      </c>
      <c r="M438" s="15">
        <f t="shared" si="126"/>
        <v>0.89418884721605041</v>
      </c>
      <c r="N438" s="13">
        <f t="shared" si="135"/>
        <v>145651.10866625144</v>
      </c>
      <c r="O438" s="13">
        <f t="shared" si="127"/>
        <v>28033161.193431459</v>
      </c>
      <c r="P438" s="15">
        <f t="shared" si="120"/>
        <v>0.7072828021765224</v>
      </c>
      <c r="Q438" s="7">
        <f t="shared" si="128"/>
        <v>39635010.362425007</v>
      </c>
      <c r="R438" s="7">
        <f t="shared" si="136"/>
        <v>11601849.168993548</v>
      </c>
      <c r="S438" s="13">
        <f>IF('Calc (2)'!$AD$32="Sim",R438,Q438)</f>
        <v>11601849.168993548</v>
      </c>
      <c r="T438" s="9">
        <f t="shared" si="129"/>
        <v>434</v>
      </c>
      <c r="U438" s="17">
        <f t="shared" ca="1" si="130"/>
        <v>58715</v>
      </c>
    </row>
    <row r="439" spans="2:21" x14ac:dyDescent="0.2">
      <c r="B439" s="17">
        <f t="shared" ca="1" si="121"/>
        <v>58715</v>
      </c>
      <c r="C439" s="9">
        <f t="shared" si="131"/>
        <v>435</v>
      </c>
      <c r="D439" s="9"/>
      <c r="E439" s="13">
        <f t="shared" si="122"/>
        <v>5862.8946613625358</v>
      </c>
      <c r="F439" s="14">
        <f t="shared" si="132"/>
        <v>1233467.929658076</v>
      </c>
      <c r="G439" s="15">
        <f t="shared" si="123"/>
        <v>0.10528323472018622</v>
      </c>
      <c r="H439" s="13">
        <f t="shared" si="134"/>
        <v>515772.36861507286</v>
      </c>
      <c r="I439" s="13">
        <f t="shared" si="124"/>
        <v>38923177.69604335</v>
      </c>
      <c r="J439" s="15">
        <f t="shared" si="119"/>
        <v>0.89471676527981381</v>
      </c>
      <c r="K439" s="13">
        <f t="shared" si="125"/>
        <v>10482242.866427297</v>
      </c>
      <c r="L439" s="13">
        <f t="shared" si="133"/>
        <v>933732660.91885376</v>
      </c>
      <c r="M439" s="15">
        <f t="shared" si="126"/>
        <v>0.89471676527981381</v>
      </c>
      <c r="N439" s="13">
        <f t="shared" si="135"/>
        <v>147568.01883533903</v>
      </c>
      <c r="O439" s="13">
        <f t="shared" si="127"/>
        <v>28440934.82961607</v>
      </c>
      <c r="P439" s="15">
        <f t="shared" si="120"/>
        <v>0.70824976505042114</v>
      </c>
      <c r="Q439" s="7">
        <f t="shared" si="128"/>
        <v>40156645.625701442</v>
      </c>
      <c r="R439" s="7">
        <f t="shared" si="136"/>
        <v>11715710.796085373</v>
      </c>
      <c r="S439" s="13">
        <f>IF('Calc (2)'!$AD$32="Sim",R439,Q439)</f>
        <v>11715710.796085373</v>
      </c>
      <c r="T439" s="9">
        <f t="shared" si="129"/>
        <v>435</v>
      </c>
      <c r="U439" s="17">
        <f t="shared" ca="1" si="130"/>
        <v>58746</v>
      </c>
    </row>
    <row r="440" spans="2:21" x14ac:dyDescent="0.2">
      <c r="B440" s="17">
        <f t="shared" ca="1" si="121"/>
        <v>58746</v>
      </c>
      <c r="C440" s="9">
        <f t="shared" si="131"/>
        <v>436</v>
      </c>
      <c r="D440" s="9"/>
      <c r="E440" s="13">
        <f t="shared" si="122"/>
        <v>5886.7808199434176</v>
      </c>
      <c r="F440" s="14">
        <f t="shared" si="132"/>
        <v>1239354.7104780194</v>
      </c>
      <c r="G440" s="15">
        <f t="shared" si="123"/>
        <v>0.10475790356363061</v>
      </c>
      <c r="H440" s="13">
        <f t="shared" si="134"/>
        <v>522560.4343386105</v>
      </c>
      <c r="I440" s="13">
        <f t="shared" si="124"/>
        <v>39445738.130381957</v>
      </c>
      <c r="J440" s="15">
        <f t="shared" si="119"/>
        <v>0.89524209643636943</v>
      </c>
      <c r="K440" s="13">
        <f t="shared" si="125"/>
        <v>10591301.19535755</v>
      </c>
      <c r="L440" s="13">
        <f t="shared" si="133"/>
        <v>944323962.11421132</v>
      </c>
      <c r="M440" s="15">
        <f t="shared" si="126"/>
        <v>0.89524209643636943</v>
      </c>
      <c r="N440" s="13">
        <f t="shared" si="135"/>
        <v>149509.96162923836</v>
      </c>
      <c r="O440" s="13">
        <f t="shared" si="127"/>
        <v>28854436.935024425</v>
      </c>
      <c r="P440" s="15">
        <f t="shared" si="120"/>
        <v>0.70921398773473965</v>
      </c>
      <c r="Q440" s="7">
        <f t="shared" si="128"/>
        <v>40685092.840859994</v>
      </c>
      <c r="R440" s="7">
        <f t="shared" si="136"/>
        <v>11830655.905835569</v>
      </c>
      <c r="S440" s="13">
        <f>IF('Calc (2)'!$AD$32="Sim",R440,Q440)</f>
        <v>11830655.905835569</v>
      </c>
      <c r="T440" s="9">
        <f t="shared" si="129"/>
        <v>436</v>
      </c>
      <c r="U440" s="17">
        <f t="shared" ca="1" si="130"/>
        <v>58776</v>
      </c>
    </row>
    <row r="441" spans="2:21" x14ac:dyDescent="0.2">
      <c r="B441" s="17">
        <f t="shared" ca="1" si="121"/>
        <v>58776</v>
      </c>
      <c r="C441" s="9">
        <f t="shared" si="131"/>
        <v>437</v>
      </c>
      <c r="D441" s="9"/>
      <c r="E441" s="13">
        <f t="shared" si="122"/>
        <v>5910.7642936910743</v>
      </c>
      <c r="F441" s="14">
        <f t="shared" si="132"/>
        <v>1245265.4747717106</v>
      </c>
      <c r="G441" s="15">
        <f t="shared" si="123"/>
        <v>0.10423514691004448</v>
      </c>
      <c r="H441" s="13">
        <f t="shared" si="134"/>
        <v>529437.14433207514</v>
      </c>
      <c r="I441" s="13">
        <f t="shared" si="124"/>
        <v>39975175.27471403</v>
      </c>
      <c r="J441" s="15">
        <f t="shared" si="119"/>
        <v>0.89576485308995557</v>
      </c>
      <c r="K441" s="13">
        <f t="shared" si="125"/>
        <v>10701429.202469755</v>
      </c>
      <c r="L441" s="13">
        <f t="shared" si="133"/>
        <v>955025391.31668103</v>
      </c>
      <c r="M441" s="15">
        <f t="shared" si="126"/>
        <v>0.89576485308995557</v>
      </c>
      <c r="N441" s="13">
        <f t="shared" si="135"/>
        <v>151477.26315636054</v>
      </c>
      <c r="O441" s="13">
        <f t="shared" si="127"/>
        <v>29273746.072244294</v>
      </c>
      <c r="P441" s="15">
        <f t="shared" si="120"/>
        <v>0.71017547459410646</v>
      </c>
      <c r="Q441" s="7">
        <f t="shared" si="128"/>
        <v>41220440.749485761</v>
      </c>
      <c r="R441" s="7">
        <f t="shared" si="136"/>
        <v>11946694.677241465</v>
      </c>
      <c r="S441" s="13">
        <f>IF('Calc (2)'!$AD$32="Sim",R441,Q441)</f>
        <v>11946694.677241465</v>
      </c>
      <c r="T441" s="9">
        <f t="shared" si="129"/>
        <v>437</v>
      </c>
      <c r="U441" s="17">
        <f t="shared" ca="1" si="130"/>
        <v>58807</v>
      </c>
    </row>
    <row r="442" spans="2:21" x14ac:dyDescent="0.2">
      <c r="B442" s="17">
        <f t="shared" ca="1" si="121"/>
        <v>58807</v>
      </c>
      <c r="C442" s="9">
        <f t="shared" si="131"/>
        <v>438</v>
      </c>
      <c r="D442" s="9"/>
      <c r="E442" s="13">
        <f t="shared" si="122"/>
        <v>5934.8454790795404</v>
      </c>
      <c r="F442" s="14">
        <f t="shared" si="132"/>
        <v>1251200.3202507901</v>
      </c>
      <c r="G442" s="15">
        <f t="shared" si="123"/>
        <v>0.10371495241373814</v>
      </c>
      <c r="H442" s="13">
        <f t="shared" si="134"/>
        <v>536403.65339414426</v>
      </c>
      <c r="I442" s="13">
        <f t="shared" si="124"/>
        <v>40511578.928108178</v>
      </c>
      <c r="J442" s="15">
        <f t="shared" si="119"/>
        <v>0.89628504758626182</v>
      </c>
      <c r="K442" s="13">
        <f t="shared" si="125"/>
        <v>10812637.064155659</v>
      </c>
      <c r="L442" s="13">
        <f t="shared" si="133"/>
        <v>965838028.38083673</v>
      </c>
      <c r="M442" s="15">
        <f t="shared" si="126"/>
        <v>0.89628504758626182</v>
      </c>
      <c r="N442" s="13">
        <f t="shared" si="135"/>
        <v>153470.25377023866</v>
      </c>
      <c r="O442" s="13">
        <f t="shared" si="127"/>
        <v>29698941.86395254</v>
      </c>
      <c r="P442" s="15">
        <f t="shared" si="120"/>
        <v>0.71113423001223086</v>
      </c>
      <c r="Q442" s="7">
        <f t="shared" si="128"/>
        <v>41762779.248358987</v>
      </c>
      <c r="R442" s="7">
        <f t="shared" si="136"/>
        <v>12063837.384406449</v>
      </c>
      <c r="S442" s="13">
        <f>IF('Calc (2)'!$AD$32="Sim",R442,Q442)</f>
        <v>12063837.384406449</v>
      </c>
      <c r="T442" s="9">
        <f t="shared" si="129"/>
        <v>438</v>
      </c>
      <c r="U442" s="17">
        <f t="shared" ca="1" si="130"/>
        <v>58838</v>
      </c>
    </row>
    <row r="443" spans="2:21" x14ac:dyDescent="0.2">
      <c r="B443" s="17">
        <f t="shared" ca="1" si="121"/>
        <v>58838</v>
      </c>
      <c r="C443" s="9">
        <f t="shared" si="131"/>
        <v>439</v>
      </c>
      <c r="D443" s="9"/>
      <c r="E443" s="13">
        <f t="shared" si="122"/>
        <v>5959.0247741981366</v>
      </c>
      <c r="F443" s="14">
        <f t="shared" si="132"/>
        <v>1257159.3450249883</v>
      </c>
      <c r="G443" s="15">
        <f t="shared" si="123"/>
        <v>0.10319730778728568</v>
      </c>
      <c r="H443" s="13">
        <f t="shared" si="134"/>
        <v>543461.13135610719</v>
      </c>
      <c r="I443" s="13">
        <f t="shared" si="124"/>
        <v>41055040.059464283</v>
      </c>
      <c r="J443" s="15">
        <f t="shared" si="119"/>
        <v>0.89680269221271436</v>
      </c>
      <c r="K443" s="13">
        <f t="shared" si="125"/>
        <v>10924935.052401485</v>
      </c>
      <c r="L443" s="13">
        <f t="shared" si="133"/>
        <v>976762963.43323827</v>
      </c>
      <c r="M443" s="15">
        <f t="shared" si="126"/>
        <v>0.89680269221271436</v>
      </c>
      <c r="N443" s="13">
        <f t="shared" si="135"/>
        <v>155489.26812477582</v>
      </c>
      <c r="O443" s="13">
        <f t="shared" si="127"/>
        <v>30130105.007062823</v>
      </c>
      <c r="P443" s="15">
        <f t="shared" si="120"/>
        <v>0.71209025839167417</v>
      </c>
      <c r="Q443" s="7">
        <f t="shared" si="128"/>
        <v>42312199.404489294</v>
      </c>
      <c r="R443" s="7">
        <f t="shared" si="136"/>
        <v>12182094.397426473</v>
      </c>
      <c r="S443" s="13">
        <f>IF('Calc (2)'!$AD$32="Sim",R443,Q443)</f>
        <v>12182094.397426473</v>
      </c>
      <c r="T443" s="9">
        <f t="shared" si="129"/>
        <v>439</v>
      </c>
      <c r="U443" s="17">
        <f t="shared" ca="1" si="130"/>
        <v>58866</v>
      </c>
    </row>
    <row r="444" spans="2:21" x14ac:dyDescent="0.2">
      <c r="B444" s="17">
        <f t="shared" ca="1" si="121"/>
        <v>58866</v>
      </c>
      <c r="C444" s="9">
        <f t="shared" si="131"/>
        <v>440</v>
      </c>
      <c r="D444" s="9"/>
      <c r="E444" s="13">
        <f t="shared" si="122"/>
        <v>5983.3025787580473</v>
      </c>
      <c r="F444" s="14">
        <f t="shared" si="132"/>
        <v>1263142.6476037463</v>
      </c>
      <c r="G444" s="15">
        <f t="shared" si="123"/>
        <v>0.10268220080124194</v>
      </c>
      <c r="H444" s="13">
        <f t="shared" si="134"/>
        <v>550610.76327750669</v>
      </c>
      <c r="I444" s="13">
        <f t="shared" si="124"/>
        <v>41605650.822741792</v>
      </c>
      <c r="J444" s="15">
        <f t="shared" si="119"/>
        <v>0.89731779919875809</v>
      </c>
      <c r="K444" s="13">
        <f t="shared" si="125"/>
        <v>11038333.535681065</v>
      </c>
      <c r="L444" s="13">
        <f t="shared" si="133"/>
        <v>987801296.96891928</v>
      </c>
      <c r="M444" s="15">
        <f t="shared" si="126"/>
        <v>0.89731779919875809</v>
      </c>
      <c r="N444" s="13">
        <f t="shared" si="135"/>
        <v>157534.64523021175</v>
      </c>
      <c r="O444" s="13">
        <f t="shared" si="127"/>
        <v>30567317.287060745</v>
      </c>
      <c r="P444" s="15">
        <f t="shared" si="120"/>
        <v>0.71304356415362269</v>
      </c>
      <c r="Q444" s="7">
        <f t="shared" si="128"/>
        <v>42868793.470345557</v>
      </c>
      <c r="R444" s="7">
        <f t="shared" si="136"/>
        <v>12301476.183284812</v>
      </c>
      <c r="S444" s="13">
        <f>IF('Calc (2)'!$AD$32="Sim",R444,Q444)</f>
        <v>12301476.183284812</v>
      </c>
      <c r="T444" s="9">
        <f t="shared" si="129"/>
        <v>440</v>
      </c>
      <c r="U444" s="17">
        <f t="shared" ca="1" si="130"/>
        <v>58897</v>
      </c>
    </row>
    <row r="445" spans="2:21" x14ac:dyDescent="0.2">
      <c r="B445" s="17">
        <f t="shared" ca="1" si="121"/>
        <v>58897</v>
      </c>
      <c r="C445" s="9">
        <f t="shared" si="131"/>
        <v>441</v>
      </c>
      <c r="D445" s="9"/>
      <c r="E445" s="13">
        <f t="shared" si="122"/>
        <v>6007.6792940989299</v>
      </c>
      <c r="F445" s="14">
        <f t="shared" si="132"/>
        <v>1269150.3268978451</v>
      </c>
      <c r="G445" s="15">
        <f t="shared" si="123"/>
        <v>0.1021696192838612</v>
      </c>
      <c r="H445" s="13">
        <f t="shared" si="134"/>
        <v>557853.74964432581</v>
      </c>
      <c r="I445" s="13">
        <f t="shared" si="124"/>
        <v>42163504.572386116</v>
      </c>
      <c r="J445" s="15">
        <f t="shared" si="119"/>
        <v>0.89783038071613874</v>
      </c>
      <c r="K445" s="13">
        <f t="shared" si="125"/>
        <v>11152842.979857299</v>
      </c>
      <c r="L445" s="13">
        <f t="shared" si="133"/>
        <v>998954139.9487766</v>
      </c>
      <c r="M445" s="15">
        <f t="shared" si="126"/>
        <v>0.89783038071613885</v>
      </c>
      <c r="N445" s="13">
        <f t="shared" si="135"/>
        <v>159606.72850981847</v>
      </c>
      <c r="O445" s="13">
        <f t="shared" si="127"/>
        <v>31010661.592528839</v>
      </c>
      <c r="P445" s="15">
        <f t="shared" si="120"/>
        <v>0.71399415173766112</v>
      </c>
      <c r="Q445" s="7">
        <f t="shared" si="128"/>
        <v>43432654.899283983</v>
      </c>
      <c r="R445" s="7">
        <f t="shared" si="136"/>
        <v>12421993.306755144</v>
      </c>
      <c r="S445" s="13">
        <f>IF('Calc (2)'!$AD$32="Sim",R445,Q445)</f>
        <v>12421993.306755144</v>
      </c>
      <c r="T445" s="9">
        <f t="shared" si="129"/>
        <v>441</v>
      </c>
      <c r="U445" s="17">
        <f t="shared" ca="1" si="130"/>
        <v>58927</v>
      </c>
    </row>
    <row r="446" spans="2:21" x14ac:dyDescent="0.2">
      <c r="B446" s="17">
        <f t="shared" ca="1" si="121"/>
        <v>58927</v>
      </c>
      <c r="C446" s="9">
        <f t="shared" si="131"/>
        <v>442</v>
      </c>
      <c r="D446" s="9"/>
      <c r="E446" s="13">
        <f t="shared" si="122"/>
        <v>6032.1553231955504</v>
      </c>
      <c r="F446" s="14">
        <f t="shared" si="132"/>
        <v>1275182.4822210406</v>
      </c>
      <c r="G446" s="15">
        <f t="shared" si="123"/>
        <v>0.10165955112081745</v>
      </c>
      <c r="H446" s="13">
        <f t="shared" si="134"/>
        <v>565191.3065697545</v>
      </c>
      <c r="I446" s="13">
        <f t="shared" si="124"/>
        <v>42728695.878955871</v>
      </c>
      <c r="J446" s="15">
        <f t="shared" si="119"/>
        <v>0.89834044887918252</v>
      </c>
      <c r="K446" s="13">
        <f t="shared" si="125"/>
        <v>11268473.949092019</v>
      </c>
      <c r="L446" s="13">
        <f t="shared" si="133"/>
        <v>1010222613.8978686</v>
      </c>
      <c r="M446" s="15">
        <f t="shared" si="126"/>
        <v>0.89834044887918252</v>
      </c>
      <c r="N446" s="13">
        <f t="shared" si="135"/>
        <v>161705.86585733274</v>
      </c>
      <c r="O446" s="13">
        <f t="shared" si="127"/>
        <v>31460221.92986387</v>
      </c>
      <c r="P446" s="15">
        <f t="shared" si="120"/>
        <v>0.71494202560154596</v>
      </c>
      <c r="Q446" s="7">
        <f t="shared" si="128"/>
        <v>44003878.36117693</v>
      </c>
      <c r="R446" s="7">
        <f t="shared" si="136"/>
        <v>12543656.43131306</v>
      </c>
      <c r="S446" s="13">
        <f>IF('Calc (2)'!$AD$32="Sim",R446,Q446)</f>
        <v>12543656.43131306</v>
      </c>
      <c r="T446" s="9">
        <f t="shared" si="129"/>
        <v>442</v>
      </c>
      <c r="U446" s="17">
        <f t="shared" ca="1" si="130"/>
        <v>58958</v>
      </c>
    </row>
    <row r="447" spans="2:21" x14ac:dyDescent="0.2">
      <c r="B447" s="17">
        <f t="shared" ca="1" si="121"/>
        <v>58958</v>
      </c>
      <c r="C447" s="9">
        <f t="shared" si="131"/>
        <v>443</v>
      </c>
      <c r="D447" s="9"/>
      <c r="E447" s="13">
        <f t="shared" si="122"/>
        <v>6056.7310706644421</v>
      </c>
      <c r="F447" s="14">
        <f t="shared" si="132"/>
        <v>1281239.2132917051</v>
      </c>
      <c r="G447" s="15">
        <f t="shared" si="123"/>
        <v>0.10115198425492633</v>
      </c>
      <c r="H447" s="13">
        <f t="shared" si="134"/>
        <v>572624.66599756829</v>
      </c>
      <c r="I447" s="13">
        <f t="shared" si="124"/>
        <v>43301320.544953436</v>
      </c>
      <c r="J447" s="15">
        <f t="shared" si="119"/>
        <v>0.89884801574507367</v>
      </c>
      <c r="K447" s="13">
        <f t="shared" si="125"/>
        <v>11385237.10676433</v>
      </c>
      <c r="L447" s="13">
        <f t="shared" si="133"/>
        <v>1021607851.0046329</v>
      </c>
      <c r="M447" s="15">
        <f t="shared" si="126"/>
        <v>0.89884801574507367</v>
      </c>
      <c r="N447" s="13">
        <f t="shared" si="135"/>
        <v>163832.409695137</v>
      </c>
      <c r="O447" s="13">
        <f t="shared" si="127"/>
        <v>31916083.438189127</v>
      </c>
      <c r="P447" s="15">
        <f t="shared" si="120"/>
        <v>0.71588719022098146</v>
      </c>
      <c r="Q447" s="7">
        <f t="shared" si="128"/>
        <v>44582559.758245163</v>
      </c>
      <c r="R447" s="7">
        <f t="shared" si="136"/>
        <v>12666476.320056034</v>
      </c>
      <c r="S447" s="13">
        <f>IF('Calc (2)'!$AD$32="Sim",R447,Q447)</f>
        <v>12666476.320056034</v>
      </c>
      <c r="T447" s="9">
        <f t="shared" si="129"/>
        <v>443</v>
      </c>
      <c r="U447" s="17">
        <f t="shared" ca="1" si="130"/>
        <v>58988</v>
      </c>
    </row>
    <row r="448" spans="2:21" x14ac:dyDescent="0.2">
      <c r="B448" s="17">
        <f t="shared" ca="1" si="121"/>
        <v>58988</v>
      </c>
      <c r="C448" s="9">
        <f t="shared" si="131"/>
        <v>444</v>
      </c>
      <c r="D448" s="9">
        <v>37</v>
      </c>
      <c r="E448" s="13">
        <f t="shared" si="122"/>
        <v>6081.4069427705981</v>
      </c>
      <c r="F448" s="14">
        <f t="shared" si="132"/>
        <v>1287320.6202344757</v>
      </c>
      <c r="G448" s="15">
        <f t="shared" si="123"/>
        <v>0.10064690668586854</v>
      </c>
      <c r="H448" s="13">
        <f t="shared" si="134"/>
        <v>580155.07590815367</v>
      </c>
      <c r="I448" s="13">
        <f t="shared" si="124"/>
        <v>43881475.62086159</v>
      </c>
      <c r="J448" s="15">
        <f t="shared" si="119"/>
        <v>0.89935309331413149</v>
      </c>
      <c r="K448" s="13">
        <f t="shared" si="125"/>
        <v>11503143.216397511</v>
      </c>
      <c r="L448" s="13">
        <f t="shared" si="133"/>
        <v>1033110994.2210305</v>
      </c>
      <c r="M448" s="15">
        <f t="shared" si="126"/>
        <v>0.89935309331413138</v>
      </c>
      <c r="N448" s="13">
        <f t="shared" si="135"/>
        <v>165986.71703319662</v>
      </c>
      <c r="O448" s="13">
        <f t="shared" si="127"/>
        <v>32378332.4044641</v>
      </c>
      <c r="P448" s="15">
        <f t="shared" si="120"/>
        <v>0.71682965008939525</v>
      </c>
      <c r="Q448" s="7">
        <f t="shared" si="128"/>
        <v>45168796.241096087</v>
      </c>
      <c r="R448" s="7">
        <f t="shared" si="136"/>
        <v>12790463.836631987</v>
      </c>
      <c r="S448" s="13">
        <f>IF('Calc (2)'!$AD$32="Sim",R448,Q448)</f>
        <v>12790463.836631987</v>
      </c>
      <c r="T448" s="9">
        <f t="shared" si="129"/>
        <v>444</v>
      </c>
      <c r="U448" s="17">
        <f t="shared" ca="1" si="130"/>
        <v>59019</v>
      </c>
    </row>
    <row r="449" spans="2:21" x14ac:dyDescent="0.2">
      <c r="B449" s="17">
        <f t="shared" ca="1" si="121"/>
        <v>59019</v>
      </c>
      <c r="C449" s="9">
        <f t="shared" si="131"/>
        <v>445</v>
      </c>
      <c r="D449" s="9"/>
      <c r="E449" s="13">
        <f t="shared" si="122"/>
        <v>6106.1833474341838</v>
      </c>
      <c r="F449" s="14">
        <f t="shared" si="132"/>
        <v>1293426.80358191</v>
      </c>
      <c r="G449" s="15">
        <f t="shared" si="123"/>
        <v>0.10014430646991508</v>
      </c>
      <c r="H449" s="13">
        <f t="shared" si="134"/>
        <v>587783.80052721524</v>
      </c>
      <c r="I449" s="13">
        <f t="shared" si="124"/>
        <v>44469259.421388805</v>
      </c>
      <c r="J449" s="15">
        <f t="shared" si="119"/>
        <v>0.89985569353008488</v>
      </c>
      <c r="K449" s="13">
        <f t="shared" si="125"/>
        <v>11622203.142594567</v>
      </c>
      <c r="L449" s="13">
        <f t="shared" si="133"/>
        <v>1044733197.363625</v>
      </c>
      <c r="M449" s="15">
        <f t="shared" si="126"/>
        <v>0.89985569353008488</v>
      </c>
      <c r="N449" s="13">
        <f t="shared" si="135"/>
        <v>168169.14952876448</v>
      </c>
      <c r="O449" s="13">
        <f t="shared" si="127"/>
        <v>32847056.278794259</v>
      </c>
      <c r="P449" s="15">
        <f t="shared" si="120"/>
        <v>0.71776940971771519</v>
      </c>
      <c r="Q449" s="7">
        <f t="shared" si="128"/>
        <v>45762686.224970736</v>
      </c>
      <c r="R449" s="7">
        <f t="shared" si="136"/>
        <v>12915629.946176477</v>
      </c>
      <c r="S449" s="13">
        <f>IF('Calc (2)'!$AD$32="Sim",R449,Q449)</f>
        <v>12915629.946176477</v>
      </c>
      <c r="T449" s="9">
        <f t="shared" si="129"/>
        <v>445</v>
      </c>
      <c r="U449" s="17">
        <f t="shared" ca="1" si="130"/>
        <v>59050</v>
      </c>
    </row>
    <row r="450" spans="2:21" x14ac:dyDescent="0.2">
      <c r="B450" s="17">
        <f t="shared" ca="1" si="121"/>
        <v>59050</v>
      </c>
      <c r="C450" s="9">
        <f t="shared" si="131"/>
        <v>446</v>
      </c>
      <c r="D450" s="9"/>
      <c r="E450" s="13">
        <f t="shared" si="122"/>
        <v>6131.0606942372833</v>
      </c>
      <c r="F450" s="14">
        <f t="shared" si="132"/>
        <v>1299557.8642761472</v>
      </c>
      <c r="G450" s="15">
        <f t="shared" si="123"/>
        <v>9.9644171719653882E-2</v>
      </c>
      <c r="H450" s="13">
        <f t="shared" si="134"/>
        <v>595512.1205371978</v>
      </c>
      <c r="I450" s="13">
        <f t="shared" si="124"/>
        <v>45064771.541926004</v>
      </c>
      <c r="J450" s="15">
        <f t="shared" si="119"/>
        <v>0.9003558282803461</v>
      </c>
      <c r="K450" s="13">
        <f t="shared" si="125"/>
        <v>11742427.851982474</v>
      </c>
      <c r="L450" s="13">
        <f t="shared" si="133"/>
        <v>1056475625.2156075</v>
      </c>
      <c r="M450" s="15">
        <f t="shared" si="126"/>
        <v>0.90035582828034622</v>
      </c>
      <c r="N450" s="13">
        <f t="shared" si="135"/>
        <v>170380.07354686249</v>
      </c>
      <c r="O450" s="13">
        <f t="shared" si="127"/>
        <v>33322343.689943552</v>
      </c>
      <c r="P450" s="15">
        <f t="shared" si="120"/>
        <v>0.71870647363414708</v>
      </c>
      <c r="Q450" s="7">
        <f t="shared" si="128"/>
        <v>46364329.406202175</v>
      </c>
      <c r="R450" s="7">
        <f t="shared" si="136"/>
        <v>13041985.716258621</v>
      </c>
      <c r="S450" s="13">
        <f>IF('Calc (2)'!$AD$32="Sim",R450,Q450)</f>
        <v>13041985.716258621</v>
      </c>
      <c r="T450" s="9">
        <f t="shared" si="129"/>
        <v>446</v>
      </c>
      <c r="U450" s="17">
        <f t="shared" ca="1" si="130"/>
        <v>59080</v>
      </c>
    </row>
    <row r="451" spans="2:21" x14ac:dyDescent="0.2">
      <c r="B451" s="17">
        <f t="shared" ca="1" si="121"/>
        <v>59080</v>
      </c>
      <c r="C451" s="9">
        <f t="shared" si="131"/>
        <v>447</v>
      </c>
      <c r="D451" s="9"/>
      <c r="E451" s="13">
        <f t="shared" si="122"/>
        <v>6156.039394430667</v>
      </c>
      <c r="F451" s="14">
        <f t="shared" si="132"/>
        <v>1305713.9036705778</v>
      </c>
      <c r="G451" s="15">
        <f t="shared" si="123"/>
        <v>9.9146490603718093E-2</v>
      </c>
      <c r="H451" s="13">
        <f t="shared" si="134"/>
        <v>603341.33329146088</v>
      </c>
      <c r="I451" s="13">
        <f t="shared" si="124"/>
        <v>45668112.875217468</v>
      </c>
      <c r="J451" s="15">
        <f t="shared" si="119"/>
        <v>0.90085350939628195</v>
      </c>
      <c r="K451" s="13">
        <f t="shared" si="125"/>
        <v>11863828.414165251</v>
      </c>
      <c r="L451" s="13">
        <f t="shared" si="133"/>
        <v>1068339453.6297728</v>
      </c>
      <c r="M451" s="15">
        <f t="shared" si="126"/>
        <v>0.90085350939628195</v>
      </c>
      <c r="N451" s="13">
        <f t="shared" si="135"/>
        <v>172619.86022155019</v>
      </c>
      <c r="O451" s="13">
        <f t="shared" si="127"/>
        <v>33804284.461052239</v>
      </c>
      <c r="P451" s="15">
        <f t="shared" si="120"/>
        <v>0.71964084638395365</v>
      </c>
      <c r="Q451" s="7">
        <f t="shared" si="128"/>
        <v>46973826.778888069</v>
      </c>
      <c r="R451" s="7">
        <f t="shared" si="136"/>
        <v>13169542.317835828</v>
      </c>
      <c r="S451" s="13">
        <f>IF('Calc (2)'!$AD$32="Sim",R451,Q451)</f>
        <v>13169542.317835828</v>
      </c>
      <c r="T451" s="9">
        <f t="shared" si="129"/>
        <v>447</v>
      </c>
      <c r="U451" s="17">
        <f t="shared" ca="1" si="130"/>
        <v>59111</v>
      </c>
    </row>
    <row r="452" spans="2:21" x14ac:dyDescent="0.2">
      <c r="B452" s="17">
        <f t="shared" ca="1" si="121"/>
        <v>59111</v>
      </c>
      <c r="C452" s="9">
        <f t="shared" si="131"/>
        <v>448</v>
      </c>
      <c r="D452" s="9"/>
      <c r="E452" s="13">
        <f t="shared" si="122"/>
        <v>6181.1198609405928</v>
      </c>
      <c r="F452" s="14">
        <f t="shared" si="132"/>
        <v>1311895.0235315184</v>
      </c>
      <c r="G452" s="15">
        <f t="shared" si="123"/>
        <v>9.8651251346515867E-2</v>
      </c>
      <c r="H452" s="13">
        <f t="shared" si="134"/>
        <v>611272.7530312395</v>
      </c>
      <c r="I452" s="13">
        <f t="shared" si="124"/>
        <v>46279385.628248706</v>
      </c>
      <c r="J452" s="15">
        <f t="shared" si="119"/>
        <v>0.90134874865348413</v>
      </c>
      <c r="K452" s="13">
        <f t="shared" si="125"/>
        <v>11986416.002685905</v>
      </c>
      <c r="L452" s="13">
        <f t="shared" si="133"/>
        <v>1080325869.6324587</v>
      </c>
      <c r="M452" s="15">
        <f t="shared" si="126"/>
        <v>0.90134874865348413</v>
      </c>
      <c r="N452" s="13">
        <f t="shared" si="135"/>
        <v>174888.88551799051</v>
      </c>
      <c r="O452" s="13">
        <f t="shared" si="127"/>
        <v>34292969.625562824</v>
      </c>
      <c r="P452" s="15">
        <f t="shared" si="120"/>
        <v>0.72057253252923392</v>
      </c>
      <c r="Q452" s="7">
        <f t="shared" si="128"/>
        <v>47591280.651780248</v>
      </c>
      <c r="R452" s="7">
        <f t="shared" si="136"/>
        <v>13298311.026217423</v>
      </c>
      <c r="S452" s="13">
        <f>IF('Calc (2)'!$AD$32="Sim",R452,Q452)</f>
        <v>13298311.026217423</v>
      </c>
      <c r="T452" s="9">
        <f t="shared" si="129"/>
        <v>448</v>
      </c>
      <c r="U452" s="17">
        <f t="shared" ca="1" si="130"/>
        <v>59141</v>
      </c>
    </row>
    <row r="453" spans="2:21" x14ac:dyDescent="0.2">
      <c r="B453" s="17">
        <f t="shared" ca="1" si="121"/>
        <v>59141</v>
      </c>
      <c r="C453" s="9">
        <f t="shared" si="131"/>
        <v>449</v>
      </c>
      <c r="D453" s="9"/>
      <c r="E453" s="13">
        <f t="shared" si="122"/>
        <v>6206.302508375632</v>
      </c>
      <c r="F453" s="14">
        <f t="shared" si="132"/>
        <v>1318101.326039894</v>
      </c>
      <c r="G453" s="15">
        <f t="shared" si="123"/>
        <v>9.8158442227961676E-2</v>
      </c>
      <c r="H453" s="13">
        <f t="shared" si="134"/>
        <v>619307.71110542899</v>
      </c>
      <c r="I453" s="13">
        <f t="shared" si="124"/>
        <v>46898693.339354135</v>
      </c>
      <c r="J453" s="15">
        <f t="shared" ref="J453:J516" si="137">1-G453</f>
        <v>0.90184155777203834</v>
      </c>
      <c r="K453" s="13">
        <f t="shared" si="125"/>
        <v>12110201.895997345</v>
      </c>
      <c r="L453" s="13">
        <f t="shared" si="133"/>
        <v>1092436071.528456</v>
      </c>
      <c r="M453" s="15">
        <f t="shared" si="126"/>
        <v>0.90184155777203834</v>
      </c>
      <c r="N453" s="13">
        <f t="shared" si="135"/>
        <v>177187.53029532349</v>
      </c>
      <c r="O453" s="13">
        <f t="shared" si="127"/>
        <v>34788491.443356812</v>
      </c>
      <c r="P453" s="15">
        <f t="shared" ref="P453:P516" si="138">O453/Q453</f>
        <v>0.72150153664870331</v>
      </c>
      <c r="Q453" s="7">
        <f t="shared" si="128"/>
        <v>48216794.665394053</v>
      </c>
      <c r="R453" s="7">
        <f t="shared" si="136"/>
        <v>13428303.222037239</v>
      </c>
      <c r="S453" s="13">
        <f>IF('Calc (2)'!$AD$32="Sim",R453,Q453)</f>
        <v>13428303.222037239</v>
      </c>
      <c r="T453" s="9">
        <f t="shared" si="129"/>
        <v>449</v>
      </c>
      <c r="U453" s="17">
        <f t="shared" ca="1" si="130"/>
        <v>59172</v>
      </c>
    </row>
    <row r="454" spans="2:21" x14ac:dyDescent="0.2">
      <c r="B454" s="17">
        <f t="shared" ref="B454:B517" ca="1" si="139">DATE(YEAR(B453),MONTH(B453)+1,1)</f>
        <v>59172</v>
      </c>
      <c r="C454" s="9">
        <f t="shared" si="131"/>
        <v>450</v>
      </c>
      <c r="D454" s="9"/>
      <c r="E454" s="13">
        <f t="shared" ref="E454:E517" si="140">IF($AE$33,IF($AE$34,$E453*(1+Inflação_2)*(1+Crescimento_Salário_2),$E453*(1+Inflação_2)),IF($AE$34,$E453*(1+Crescimento_Salário_2),$E453))</f>
        <v>6231.5877530335219</v>
      </c>
      <c r="F454" s="14">
        <f t="shared" si="132"/>
        <v>1324332.9137929275</v>
      </c>
      <c r="G454" s="15">
        <f t="shared" ref="G454:G517" si="141">IF(F454&lt;=0,0,F454/S454)</f>
        <v>9.7668051583209292E-2</v>
      </c>
      <c r="H454" s="13">
        <f t="shared" si="134"/>
        <v>627447.55619322963</v>
      </c>
      <c r="I454" s="13">
        <f t="shared" ref="I454:I517" si="142">I453+H454</f>
        <v>47526140.895547368</v>
      </c>
      <c r="J454" s="15">
        <f t="shared" si="137"/>
        <v>0.90233194841679065</v>
      </c>
      <c r="K454" s="13">
        <f t="shared" ref="K454:K517" si="143">R454-F454</f>
        <v>12235197.478442334</v>
      </c>
      <c r="L454" s="13">
        <f t="shared" si="133"/>
        <v>1104671269.0068984</v>
      </c>
      <c r="M454" s="15">
        <f t="shared" ref="M454:M517" si="144">K454/R454</f>
        <v>0.90233194841679076</v>
      </c>
      <c r="N454" s="13">
        <f t="shared" si="135"/>
        <v>179516.18037035802</v>
      </c>
      <c r="O454" s="13">
        <f t="shared" ref="O454:O517" si="145">Q454-R454</f>
        <v>35290943.417105064</v>
      </c>
      <c r="P454" s="15">
        <f t="shared" si="138"/>
        <v>0.72242786333747611</v>
      </c>
      <c r="Q454" s="7">
        <f t="shared" ref="Q454:Q517" si="146">Q453+E454+H454</f>
        <v>48850473.809340321</v>
      </c>
      <c r="R454" s="7">
        <f t="shared" si="136"/>
        <v>13559530.39223526</v>
      </c>
      <c r="S454" s="13">
        <f>IF('Calc (2)'!$AD$32="Sim",R454,Q454)</f>
        <v>13559530.39223526</v>
      </c>
      <c r="T454" s="9">
        <f t="shared" ref="T454:T517" si="147">C454</f>
        <v>450</v>
      </c>
      <c r="U454" s="17">
        <f t="shared" ref="U454:U517" ca="1" si="148">DATE(YEAR(U453),MONTH(U453)+1,1)</f>
        <v>59203</v>
      </c>
    </row>
    <row r="455" spans="2:21" x14ac:dyDescent="0.2">
      <c r="B455" s="17">
        <f t="shared" ca="1" si="139"/>
        <v>59203</v>
      </c>
      <c r="C455" s="9">
        <f t="shared" ref="C455:C518" si="149">C454+1</f>
        <v>451</v>
      </c>
      <c r="D455" s="9"/>
      <c r="E455" s="13">
        <f t="shared" si="140"/>
        <v>6256.9760129080478</v>
      </c>
      <c r="F455" s="14">
        <f t="shared" ref="F455:F518" si="150">F454+E455</f>
        <v>1330589.8898058357</v>
      </c>
      <c r="G455" s="15">
        <f t="shared" si="141"/>
        <v>9.7180067802386055E-2</v>
      </c>
      <c r="H455" s="13">
        <f t="shared" si="134"/>
        <v>635693.65452968888</v>
      </c>
      <c r="I455" s="13">
        <f t="shared" si="142"/>
        <v>48161834.550077058</v>
      </c>
      <c r="J455" s="15">
        <f t="shared" si="137"/>
        <v>0.90281993219761392</v>
      </c>
      <c r="K455" s="13">
        <f t="shared" si="143"/>
        <v>12361414.241242588</v>
      </c>
      <c r="L455" s="13">
        <f t="shared" ref="L455:L518" si="151">L454+K455</f>
        <v>1117032683.2481411</v>
      </c>
      <c r="M455" s="15">
        <f t="shared" si="144"/>
        <v>0.90281993219761403</v>
      </c>
      <c r="N455" s="13">
        <f t="shared" si="135"/>
        <v>181875.22658209232</v>
      </c>
      <c r="O455" s="13">
        <f t="shared" si="145"/>
        <v>35800420.308834493</v>
      </c>
      <c r="P455" s="15">
        <f t="shared" si="138"/>
        <v>0.72335151720684598</v>
      </c>
      <c r="Q455" s="7">
        <f t="shared" si="146"/>
        <v>49492424.439882919</v>
      </c>
      <c r="R455" s="7">
        <f t="shared" si="136"/>
        <v>13692004.131048422</v>
      </c>
      <c r="S455" s="13">
        <f>IF('Calc (2)'!$AD$32="Sim",R455,Q455)</f>
        <v>13692004.131048422</v>
      </c>
      <c r="T455" s="9">
        <f t="shared" si="147"/>
        <v>451</v>
      </c>
      <c r="U455" s="17">
        <f t="shared" ca="1" si="148"/>
        <v>59231</v>
      </c>
    </row>
    <row r="456" spans="2:21" x14ac:dyDescent="0.2">
      <c r="B456" s="17">
        <f t="shared" ca="1" si="139"/>
        <v>59231</v>
      </c>
      <c r="C456" s="9">
        <f t="shared" si="149"/>
        <v>452</v>
      </c>
      <c r="D456" s="9"/>
      <c r="E456" s="13">
        <f t="shared" si="140"/>
        <v>6282.4677076959533</v>
      </c>
      <c r="F456" s="14">
        <f t="shared" si="150"/>
        <v>1336872.3575135316</v>
      </c>
      <c r="G456" s="15">
        <f t="shared" si="141"/>
        <v>9.6694479330328847E-2</v>
      </c>
      <c r="H456" s="13">
        <f t="shared" si="134"/>
        <v>644047.39013417822</v>
      </c>
      <c r="I456" s="13">
        <f t="shared" si="142"/>
        <v>48805881.940211236</v>
      </c>
      <c r="J456" s="15">
        <f t="shared" si="137"/>
        <v>0.90330552066967118</v>
      </c>
      <c r="K456" s="13">
        <f t="shared" si="143"/>
        <v>12488863.783497084</v>
      </c>
      <c r="L456" s="13">
        <f t="shared" si="151"/>
        <v>1129521547.0316381</v>
      </c>
      <c r="M456" s="15">
        <f t="shared" si="144"/>
        <v>0.90330552066967107</v>
      </c>
      <c r="N456" s="13">
        <f t="shared" si="135"/>
        <v>184265.06485707441</v>
      </c>
      <c r="O456" s="13">
        <f t="shared" si="145"/>
        <v>36317018.156714171</v>
      </c>
      <c r="P456" s="15">
        <f t="shared" si="138"/>
        <v>0.72427250288407163</v>
      </c>
      <c r="Q456" s="7">
        <f t="shared" si="146"/>
        <v>50142754.297724791</v>
      </c>
      <c r="R456" s="7">
        <f t="shared" si="136"/>
        <v>13825736.141010616</v>
      </c>
      <c r="S456" s="13">
        <f>IF('Calc (2)'!$AD$32="Sim",R456,Q456)</f>
        <v>13825736.141010616</v>
      </c>
      <c r="T456" s="9">
        <f t="shared" si="147"/>
        <v>452</v>
      </c>
      <c r="U456" s="17">
        <f t="shared" ca="1" si="148"/>
        <v>59262</v>
      </c>
    </row>
    <row r="457" spans="2:21" x14ac:dyDescent="0.2">
      <c r="B457" s="17">
        <f t="shared" ca="1" si="139"/>
        <v>59262</v>
      </c>
      <c r="C457" s="9">
        <f t="shared" si="149"/>
        <v>453</v>
      </c>
      <c r="D457" s="9"/>
      <c r="E457" s="13">
        <f t="shared" si="140"/>
        <v>6308.0632588038798</v>
      </c>
      <c r="F457" s="14">
        <f t="shared" si="150"/>
        <v>1343180.4207723355</v>
      </c>
      <c r="G457" s="15">
        <f t="shared" si="141"/>
        <v>9.6211274666321428E-2</v>
      </c>
      <c r="H457" s="13">
        <f t="shared" si="134"/>
        <v>652510.16504184401</v>
      </c>
      <c r="I457" s="13">
        <f t="shared" si="142"/>
        <v>49458392.105253078</v>
      </c>
      <c r="J457" s="15">
        <f t="shared" si="137"/>
        <v>0.9037887253336786</v>
      </c>
      <c r="K457" s="13">
        <f t="shared" si="143"/>
        <v>12617557.813189689</v>
      </c>
      <c r="L457" s="13">
        <f t="shared" si="151"/>
        <v>1142139104.8448279</v>
      </c>
      <c r="M457" s="15">
        <f t="shared" si="144"/>
        <v>0.90378872533367849</v>
      </c>
      <c r="N457" s="13">
        <f t="shared" si="135"/>
        <v>186686.09627561277</v>
      </c>
      <c r="O457" s="13">
        <f t="shared" si="145"/>
        <v>36840834.292063415</v>
      </c>
      <c r="P457" s="15">
        <f t="shared" si="138"/>
        <v>0.72519082501215892</v>
      </c>
      <c r="Q457" s="7">
        <f t="shared" si="146"/>
        <v>50801572.526025437</v>
      </c>
      <c r="R457" s="7">
        <f t="shared" si="136"/>
        <v>13960738.233962025</v>
      </c>
      <c r="S457" s="13">
        <f>IF('Calc (2)'!$AD$32="Sim",R457,Q457)</f>
        <v>13960738.233962025</v>
      </c>
      <c r="T457" s="9">
        <f t="shared" si="147"/>
        <v>453</v>
      </c>
      <c r="U457" s="17">
        <f t="shared" ca="1" si="148"/>
        <v>59292</v>
      </c>
    </row>
    <row r="458" spans="2:21" x14ac:dyDescent="0.2">
      <c r="B458" s="17">
        <f t="shared" ca="1" si="139"/>
        <v>59292</v>
      </c>
      <c r="C458" s="9">
        <f t="shared" si="149"/>
        <v>454</v>
      </c>
      <c r="D458" s="9"/>
      <c r="E458" s="13">
        <f t="shared" si="140"/>
        <v>6333.7630893553314</v>
      </c>
      <c r="F458" s="14">
        <f t="shared" si="150"/>
        <v>1349514.1838616908</v>
      </c>
      <c r="G458" s="15">
        <f t="shared" si="141"/>
        <v>9.5730442363833268E-2</v>
      </c>
      <c r="H458" s="13">
        <f t="shared" si="134"/>
        <v>661083.39953806985</v>
      </c>
      <c r="I458" s="13">
        <f t="shared" si="142"/>
        <v>50119475.504791148</v>
      </c>
      <c r="J458" s="15">
        <f t="shared" si="137"/>
        <v>0.90426955763616679</v>
      </c>
      <c r="K458" s="13">
        <f t="shared" si="143"/>
        <v>12747508.148206148</v>
      </c>
      <c r="L458" s="13">
        <f t="shared" si="151"/>
        <v>1154886612.9930341</v>
      </c>
      <c r="M458" s="15">
        <f t="shared" si="144"/>
        <v>0.90426955763616668</v>
      </c>
      <c r="N458" s="13">
        <f t="shared" si="135"/>
        <v>189138.72713884892</v>
      </c>
      <c r="O458" s="13">
        <f t="shared" si="145"/>
        <v>37371967.356585026</v>
      </c>
      <c r="P458" s="15">
        <f t="shared" si="138"/>
        <v>0.72610648824964708</v>
      </c>
      <c r="Q458" s="7">
        <f t="shared" si="146"/>
        <v>51468989.688652866</v>
      </c>
      <c r="R458" s="7">
        <f t="shared" si="136"/>
        <v>14097022.33206784</v>
      </c>
      <c r="S458" s="13">
        <f>IF('Calc (2)'!$AD$32="Sim",R458,Q458)</f>
        <v>14097022.33206784</v>
      </c>
      <c r="T458" s="9">
        <f t="shared" si="147"/>
        <v>454</v>
      </c>
      <c r="U458" s="17">
        <f t="shared" ca="1" si="148"/>
        <v>59323</v>
      </c>
    </row>
    <row r="459" spans="2:21" x14ac:dyDescent="0.2">
      <c r="B459" s="17">
        <f t="shared" ca="1" si="139"/>
        <v>59323</v>
      </c>
      <c r="C459" s="9">
        <f t="shared" si="149"/>
        <v>455</v>
      </c>
      <c r="D459" s="9"/>
      <c r="E459" s="13">
        <f t="shared" si="140"/>
        <v>6359.567624197668</v>
      </c>
      <c r="F459" s="14">
        <f t="shared" si="150"/>
        <v>1355873.7514858884</v>
      </c>
      <c r="G459" s="15">
        <f t="shared" si="141"/>
        <v>9.525197103025991E-2</v>
      </c>
      <c r="H459" s="13">
        <f t="shared" si="134"/>
        <v>669768.53239598998</v>
      </c>
      <c r="I459" s="13">
        <f t="shared" si="142"/>
        <v>50789244.037187137</v>
      </c>
      <c r="J459" s="15">
        <f t="shared" si="137"/>
        <v>0.90474802896974005</v>
      </c>
      <c r="K459" s="13">
        <f t="shared" si="143"/>
        <v>12878726.717360584</v>
      </c>
      <c r="L459" s="13">
        <f t="shared" si="151"/>
        <v>1167765339.7103946</v>
      </c>
      <c r="M459" s="15">
        <f t="shared" si="144"/>
        <v>0.90474802896974016</v>
      </c>
      <c r="N459" s="13">
        <f t="shared" si="135"/>
        <v>191623.36903670261</v>
      </c>
      <c r="O459" s="13">
        <f t="shared" si="145"/>
        <v>37910517.319826581</v>
      </c>
      <c r="P459" s="15">
        <f t="shared" si="138"/>
        <v>0.72701949727039439</v>
      </c>
      <c r="Q459" s="7">
        <f t="shared" si="146"/>
        <v>52145117.788673051</v>
      </c>
      <c r="R459" s="7">
        <f t="shared" si="136"/>
        <v>14234600.468846472</v>
      </c>
      <c r="S459" s="13">
        <f>IF('Calc (2)'!$AD$32="Sim",R459,Q459)</f>
        <v>14234600.468846472</v>
      </c>
      <c r="T459" s="9">
        <f t="shared" si="147"/>
        <v>455</v>
      </c>
      <c r="U459" s="17">
        <f t="shared" ca="1" si="148"/>
        <v>59353</v>
      </c>
    </row>
    <row r="460" spans="2:21" x14ac:dyDescent="0.2">
      <c r="B460" s="17">
        <f t="shared" ca="1" si="139"/>
        <v>59353</v>
      </c>
      <c r="C460" s="9">
        <f t="shared" si="149"/>
        <v>456</v>
      </c>
      <c r="D460" s="9">
        <v>38</v>
      </c>
      <c r="E460" s="13">
        <f t="shared" si="140"/>
        <v>6385.4772899091322</v>
      </c>
      <c r="F460" s="14">
        <f t="shared" si="150"/>
        <v>1362259.2287757974</v>
      </c>
      <c r="G460" s="15">
        <f t="shared" si="141"/>
        <v>9.4775849326664718E-2</v>
      </c>
      <c r="H460" s="13">
        <f t="shared" si="134"/>
        <v>678567.02111709351</v>
      </c>
      <c r="I460" s="13">
        <f t="shared" si="142"/>
        <v>51467811.058304228</v>
      </c>
      <c r="J460" s="15">
        <f t="shared" si="137"/>
        <v>0.90522415067333528</v>
      </c>
      <c r="K460" s="13">
        <f t="shared" si="143"/>
        <v>13011225.561431538</v>
      </c>
      <c r="L460" s="13">
        <f t="shared" si="151"/>
        <v>1180776565.2718263</v>
      </c>
      <c r="M460" s="15">
        <f t="shared" si="144"/>
        <v>0.90522415067333528</v>
      </c>
      <c r="N460" s="13">
        <f t="shared" si="135"/>
        <v>194140.43891670136</v>
      </c>
      <c r="O460" s="13">
        <f t="shared" si="145"/>
        <v>38456585.496872716</v>
      </c>
      <c r="P460" s="15">
        <f t="shared" si="138"/>
        <v>0.72792985676336552</v>
      </c>
      <c r="Q460" s="7">
        <f t="shared" si="146"/>
        <v>52830070.28708005</v>
      </c>
      <c r="R460" s="7">
        <f t="shared" si="136"/>
        <v>14373484.790207336</v>
      </c>
      <c r="S460" s="13">
        <f>IF('Calc (2)'!$AD$32="Sim",R460,Q460)</f>
        <v>14373484.790207336</v>
      </c>
      <c r="T460" s="9">
        <f t="shared" si="147"/>
        <v>456</v>
      </c>
      <c r="U460" s="17">
        <f t="shared" ca="1" si="148"/>
        <v>59384</v>
      </c>
    </row>
    <row r="461" spans="2:21" x14ac:dyDescent="0.2">
      <c r="B461" s="17">
        <f t="shared" ca="1" si="139"/>
        <v>59384</v>
      </c>
      <c r="C461" s="9">
        <f t="shared" si="149"/>
        <v>457</v>
      </c>
      <c r="D461" s="9"/>
      <c r="E461" s="13">
        <f t="shared" si="140"/>
        <v>6411.4925148058974</v>
      </c>
      <c r="F461" s="14">
        <f t="shared" si="150"/>
        <v>1368670.7212906033</v>
      </c>
      <c r="G461" s="15">
        <f t="shared" si="141"/>
        <v>9.4302065967521997E-2</v>
      </c>
      <c r="H461" s="13">
        <f t="shared" si="134"/>
        <v>687480.34217496077</v>
      </c>
      <c r="I461" s="13">
        <f t="shared" si="142"/>
        <v>52155291.40047919</v>
      </c>
      <c r="J461" s="15">
        <f t="shared" si="137"/>
        <v>0.905697934032478</v>
      </c>
      <c r="K461" s="13">
        <f t="shared" si="143"/>
        <v>13145016.834207691</v>
      </c>
      <c r="L461" s="13">
        <f t="shared" si="151"/>
        <v>1193921582.106034</v>
      </c>
      <c r="M461" s="15">
        <f t="shared" si="144"/>
        <v>0.905697934032478</v>
      </c>
      <c r="N461" s="13">
        <f t="shared" si="135"/>
        <v>196690.35915370568</v>
      </c>
      <c r="O461" s="13">
        <f t="shared" si="145"/>
        <v>39010274.566271521</v>
      </c>
      <c r="P461" s="15">
        <f t="shared" si="138"/>
        <v>0.72883757143241945</v>
      </c>
      <c r="Q461" s="7">
        <f t="shared" si="146"/>
        <v>53523962.121769816</v>
      </c>
      <c r="R461" s="7">
        <f t="shared" si="136"/>
        <v>14513687.555498295</v>
      </c>
      <c r="S461" s="13">
        <f>IF('Calc (2)'!$AD$32="Sim",R461,Q461)</f>
        <v>14513687.555498295</v>
      </c>
      <c r="T461" s="9">
        <f t="shared" si="147"/>
        <v>457</v>
      </c>
      <c r="U461" s="17">
        <f t="shared" ca="1" si="148"/>
        <v>59415</v>
      </c>
    </row>
    <row r="462" spans="2:21" x14ac:dyDescent="0.2">
      <c r="B462" s="17">
        <f t="shared" ca="1" si="139"/>
        <v>59415</v>
      </c>
      <c r="C462" s="9">
        <f t="shared" si="149"/>
        <v>458</v>
      </c>
      <c r="D462" s="9"/>
      <c r="E462" s="13">
        <f t="shared" si="140"/>
        <v>6437.6137289491517</v>
      </c>
      <c r="F462" s="14">
        <f t="shared" si="150"/>
        <v>1375108.3350195524</v>
      </c>
      <c r="G462" s="15">
        <f t="shared" si="141"/>
        <v>9.3830609720461727E-2</v>
      </c>
      <c r="H462" s="13">
        <f t="shared" si="134"/>
        <v>696509.99126217002</v>
      </c>
      <c r="I462" s="13">
        <f t="shared" si="142"/>
        <v>52851801.391741358</v>
      </c>
      <c r="J462" s="15">
        <f t="shared" si="137"/>
        <v>0.90616939027953824</v>
      </c>
      <c r="K462" s="13">
        <f t="shared" si="143"/>
        <v>13280112.803543307</v>
      </c>
      <c r="L462" s="13">
        <f t="shared" si="151"/>
        <v>1207201694.9095774</v>
      </c>
      <c r="M462" s="15">
        <f t="shared" si="144"/>
        <v>0.90616939027953824</v>
      </c>
      <c r="N462" s="13">
        <f t="shared" si="135"/>
        <v>199273.5576205416</v>
      </c>
      <c r="O462" s="13">
        <f t="shared" si="145"/>
        <v>39571688.588198073</v>
      </c>
      <c r="P462" s="15">
        <f t="shared" si="138"/>
        <v>0.72974264599609817</v>
      </c>
      <c r="Q462" s="7">
        <f t="shared" si="146"/>
        <v>54226909.726760931</v>
      </c>
      <c r="R462" s="7">
        <f t="shared" si="136"/>
        <v>14655221.13856286</v>
      </c>
      <c r="S462" s="13">
        <f>IF('Calc (2)'!$AD$32="Sim",R462,Q462)</f>
        <v>14655221.13856286</v>
      </c>
      <c r="T462" s="9">
        <f t="shared" si="147"/>
        <v>458</v>
      </c>
      <c r="U462" s="17">
        <f t="shared" ca="1" si="148"/>
        <v>59445</v>
      </c>
    </row>
    <row r="463" spans="2:21" x14ac:dyDescent="0.2">
      <c r="B463" s="17">
        <f t="shared" ca="1" si="139"/>
        <v>59445</v>
      </c>
      <c r="C463" s="9">
        <f t="shared" si="149"/>
        <v>459</v>
      </c>
      <c r="D463" s="9"/>
      <c r="E463" s="13">
        <f t="shared" si="140"/>
        <v>6463.8413641522047</v>
      </c>
      <c r="F463" s="14">
        <f t="shared" si="150"/>
        <v>1381572.1763837046</v>
      </c>
      <c r="G463" s="15">
        <f t="shared" si="141"/>
        <v>9.3361469406015501E-2</v>
      </c>
      <c r="H463" s="13">
        <f t="shared" si="134"/>
        <v>705657.48354041798</v>
      </c>
      <c r="I463" s="13">
        <f t="shared" si="142"/>
        <v>53557458.875281774</v>
      </c>
      <c r="J463" s="15">
        <f t="shared" si="137"/>
        <v>0.90663853059398447</v>
      </c>
      <c r="K463" s="13">
        <f t="shared" si="143"/>
        <v>13416525.852423528</v>
      </c>
      <c r="L463" s="13">
        <f t="shared" si="151"/>
        <v>1220618220.7620008</v>
      </c>
      <c r="M463" s="15">
        <f t="shared" si="144"/>
        <v>0.90663853059398458</v>
      </c>
      <c r="N463" s="13">
        <f t="shared" si="135"/>
        <v>201890.46775955247</v>
      </c>
      <c r="O463" s="13">
        <f t="shared" si="145"/>
        <v>40140933.02285827</v>
      </c>
      <c r="P463" s="15">
        <f t="shared" si="138"/>
        <v>0.73064508518741667</v>
      </c>
      <c r="Q463" s="7">
        <f t="shared" si="146"/>
        <v>54939031.0516655</v>
      </c>
      <c r="R463" s="7">
        <f t="shared" si="136"/>
        <v>14798098.028807232</v>
      </c>
      <c r="S463" s="13">
        <f>IF('Calc (2)'!$AD$32="Sim",R463,Q463)</f>
        <v>14798098.028807232</v>
      </c>
      <c r="T463" s="9">
        <f t="shared" si="147"/>
        <v>459</v>
      </c>
      <c r="U463" s="17">
        <f t="shared" ca="1" si="148"/>
        <v>59476</v>
      </c>
    </row>
    <row r="464" spans="2:21" x14ac:dyDescent="0.2">
      <c r="B464" s="17">
        <f t="shared" ca="1" si="139"/>
        <v>59476</v>
      </c>
      <c r="C464" s="9">
        <f t="shared" si="149"/>
        <v>460</v>
      </c>
      <c r="D464" s="9"/>
      <c r="E464" s="13">
        <f t="shared" si="140"/>
        <v>6490.1758539876273</v>
      </c>
      <c r="F464" s="14">
        <f t="shared" si="150"/>
        <v>1388062.3522376923</v>
      </c>
      <c r="G464" s="15">
        <f t="shared" si="141"/>
        <v>9.2894633897364048E-2</v>
      </c>
      <c r="H464" s="13">
        <f t="shared" si="134"/>
        <v>714924.35389389552</v>
      </c>
      <c r="I464" s="13">
        <f t="shared" si="142"/>
        <v>54272383.229175672</v>
      </c>
      <c r="J464" s="15">
        <f t="shared" si="137"/>
        <v>0.90710536610263592</v>
      </c>
      <c r="K464" s="13">
        <f t="shared" si="143"/>
        <v>13554268.480039582</v>
      </c>
      <c r="L464" s="13">
        <f t="shared" si="151"/>
        <v>1234172489.2420404</v>
      </c>
      <c r="M464" s="15">
        <f t="shared" si="144"/>
        <v>0.90710536610263592</v>
      </c>
      <c r="N464" s="13">
        <f t="shared" si="135"/>
        <v>204541.52865508173</v>
      </c>
      <c r="O464" s="13">
        <f t="shared" si="145"/>
        <v>40718114.749136113</v>
      </c>
      <c r="P464" s="15">
        <f t="shared" si="138"/>
        <v>0.73154489375365428</v>
      </c>
      <c r="Q464" s="7">
        <f t="shared" si="146"/>
        <v>55660445.581413388</v>
      </c>
      <c r="R464" s="7">
        <f t="shared" si="136"/>
        <v>14942330.832277274</v>
      </c>
      <c r="S464" s="13">
        <f>IF('Calc (2)'!$AD$32="Sim",R464,Q464)</f>
        <v>14942330.832277274</v>
      </c>
      <c r="T464" s="9">
        <f t="shared" si="147"/>
        <v>460</v>
      </c>
      <c r="U464" s="17">
        <f t="shared" ca="1" si="148"/>
        <v>59506</v>
      </c>
    </row>
    <row r="465" spans="2:21" x14ac:dyDescent="0.2">
      <c r="B465" s="17">
        <f t="shared" ca="1" si="139"/>
        <v>59506</v>
      </c>
      <c r="C465" s="9">
        <f t="shared" si="149"/>
        <v>461</v>
      </c>
      <c r="D465" s="9"/>
      <c r="E465" s="13">
        <f t="shared" si="140"/>
        <v>6516.6176337944189</v>
      </c>
      <c r="F465" s="14">
        <f t="shared" si="150"/>
        <v>1394578.9698714868</v>
      </c>
      <c r="G465" s="15">
        <f t="shared" si="141"/>
        <v>9.2430092120086016E-2</v>
      </c>
      <c r="H465" s="13">
        <f t="shared" si="134"/>
        <v>724312.15718596044</v>
      </c>
      <c r="I465" s="13">
        <f t="shared" si="142"/>
        <v>54996695.386361629</v>
      </c>
      <c r="J465" s="15">
        <f t="shared" si="137"/>
        <v>0.90756990787991398</v>
      </c>
      <c r="K465" s="13">
        <f t="shared" si="143"/>
        <v>13693353.302874029</v>
      </c>
      <c r="L465" s="13">
        <f t="shared" si="151"/>
        <v>1247865842.5449145</v>
      </c>
      <c r="M465" s="15">
        <f t="shared" si="144"/>
        <v>0.90756990787991398</v>
      </c>
      <c r="N465" s="13">
        <f t="shared" si="135"/>
        <v>207227.18510689912</v>
      </c>
      <c r="O465" s="13">
        <f t="shared" si="145"/>
        <v>41303342.08348763</v>
      </c>
      <c r="P465" s="15">
        <f t="shared" si="138"/>
        <v>0.73244207645614612</v>
      </c>
      <c r="Q465" s="7">
        <f t="shared" si="146"/>
        <v>56391274.356233142</v>
      </c>
      <c r="R465" s="7">
        <f t="shared" si="136"/>
        <v>15087932.272745516</v>
      </c>
      <c r="S465" s="13">
        <f>IF('Calc (2)'!$AD$32="Sim",R465,Q465)</f>
        <v>15087932.272745516</v>
      </c>
      <c r="T465" s="9">
        <f t="shared" si="147"/>
        <v>461</v>
      </c>
      <c r="U465" s="17">
        <f t="shared" ca="1" si="148"/>
        <v>59537</v>
      </c>
    </row>
    <row r="466" spans="2:21" x14ac:dyDescent="0.2">
      <c r="B466" s="17">
        <f t="shared" ca="1" si="139"/>
        <v>59537</v>
      </c>
      <c r="C466" s="9">
        <f t="shared" si="149"/>
        <v>462</v>
      </c>
      <c r="D466" s="9"/>
      <c r="E466" s="13">
        <f t="shared" si="140"/>
        <v>6543.1671406852029</v>
      </c>
      <c r="F466" s="14">
        <f t="shared" si="150"/>
        <v>1401122.137012172</v>
      </c>
      <c r="G466" s="15">
        <f t="shared" si="141"/>
        <v>9.1967833051908157E-2</v>
      </c>
      <c r="H466" s="13">
        <f t="shared" si="134"/>
        <v>733822.46851914946</v>
      </c>
      <c r="I466" s="13">
        <f t="shared" si="142"/>
        <v>55730517.85488078</v>
      </c>
      <c r="J466" s="15">
        <f t="shared" si="137"/>
        <v>0.90803216694809186</v>
      </c>
      <c r="K466" s="13">
        <f t="shared" si="143"/>
        <v>13833793.055796118</v>
      </c>
      <c r="L466" s="13">
        <f t="shared" si="151"/>
        <v>1261699635.6007106</v>
      </c>
      <c r="M466" s="15">
        <f t="shared" si="144"/>
        <v>0.90803216694809186</v>
      </c>
      <c r="N466" s="13">
        <f t="shared" si="135"/>
        <v>209947.88770458227</v>
      </c>
      <c r="O466" s="13">
        <f t="shared" si="145"/>
        <v>41896724.799084686</v>
      </c>
      <c r="P466" s="15">
        <f t="shared" si="138"/>
        <v>0.73333663807007576</v>
      </c>
      <c r="Q466" s="7">
        <f t="shared" si="146"/>
        <v>57131639.991892979</v>
      </c>
      <c r="R466" s="7">
        <f t="shared" si="136"/>
        <v>15234915.192808291</v>
      </c>
      <c r="S466" s="13">
        <f>IF('Calc (2)'!$AD$32="Sim",R466,Q466)</f>
        <v>15234915.192808291</v>
      </c>
      <c r="T466" s="9">
        <f t="shared" si="147"/>
        <v>462</v>
      </c>
      <c r="U466" s="17">
        <f t="shared" ca="1" si="148"/>
        <v>59568</v>
      </c>
    </row>
    <row r="467" spans="2:21" x14ac:dyDescent="0.2">
      <c r="B467" s="17">
        <f t="shared" ca="1" si="139"/>
        <v>59568</v>
      </c>
      <c r="C467" s="9">
        <f t="shared" si="149"/>
        <v>463</v>
      </c>
      <c r="D467" s="9"/>
      <c r="E467" s="13">
        <f t="shared" si="140"/>
        <v>6569.824813553455</v>
      </c>
      <c r="F467" s="14">
        <f t="shared" si="150"/>
        <v>1407691.9618257254</v>
      </c>
      <c r="G467" s="15">
        <f t="shared" si="141"/>
        <v>9.1507845722456946E-2</v>
      </c>
      <c r="H467" s="13">
        <f t="shared" si="134"/>
        <v>743456.88349857612</v>
      </c>
      <c r="I467" s="13">
        <f t="shared" si="142"/>
        <v>56473974.738379359</v>
      </c>
      <c r="J467" s="15">
        <f t="shared" si="137"/>
        <v>0.90849215427754304</v>
      </c>
      <c r="K467" s="13">
        <f t="shared" si="143"/>
        <v>13975600.593167335</v>
      </c>
      <c r="L467" s="13">
        <f t="shared" si="151"/>
        <v>1275675236.1938779</v>
      </c>
      <c r="M467" s="15">
        <f t="shared" si="144"/>
        <v>0.90849215427754315</v>
      </c>
      <c r="N467" s="13">
        <f t="shared" si="135"/>
        <v>212704.0929028664</v>
      </c>
      <c r="O467" s="13">
        <f t="shared" si="145"/>
        <v>42498374.145212054</v>
      </c>
      <c r="P467" s="15">
        <f t="shared" si="138"/>
        <v>0.73422858338426966</v>
      </c>
      <c r="Q467" s="7">
        <f t="shared" si="146"/>
        <v>57881666.70020511</v>
      </c>
      <c r="R467" s="7">
        <f t="shared" si="136"/>
        <v>15383292.554993059</v>
      </c>
      <c r="S467" s="13">
        <f>IF('Calc (2)'!$AD$32="Sim",R467,Q467)</f>
        <v>15383292.554993059</v>
      </c>
      <c r="T467" s="9">
        <f t="shared" si="147"/>
        <v>463</v>
      </c>
      <c r="U467" s="17">
        <f t="shared" ca="1" si="148"/>
        <v>59596</v>
      </c>
    </row>
    <row r="468" spans="2:21" x14ac:dyDescent="0.2">
      <c r="B468" s="17">
        <f t="shared" ca="1" si="139"/>
        <v>59596</v>
      </c>
      <c r="C468" s="9">
        <f t="shared" si="149"/>
        <v>464</v>
      </c>
      <c r="D468" s="9"/>
      <c r="E468" s="13">
        <f t="shared" si="140"/>
        <v>6596.5910930807559</v>
      </c>
      <c r="F468" s="14">
        <f t="shared" si="150"/>
        <v>1414288.5529188062</v>
      </c>
      <c r="G468" s="15">
        <f t="shared" si="141"/>
        <v>9.1050119213011538E-2</v>
      </c>
      <c r="H468" s="13">
        <f t="shared" si="134"/>
        <v>753217.0184987539</v>
      </c>
      <c r="I468" s="13">
        <f t="shared" si="142"/>
        <v>57227191.756878115</v>
      </c>
      <c r="J468" s="15">
        <f t="shared" si="137"/>
        <v>0.90894988078698846</v>
      </c>
      <c r="K468" s="13">
        <f t="shared" si="143"/>
        <v>14118788.889957258</v>
      </c>
      <c r="L468" s="13">
        <f t="shared" si="151"/>
        <v>1289794025.0838351</v>
      </c>
      <c r="M468" s="15">
        <f t="shared" si="144"/>
        <v>0.90894988078698846</v>
      </c>
      <c r="N468" s="13">
        <f t="shared" si="135"/>
        <v>215496.26309797433</v>
      </c>
      <c r="O468" s="13">
        <f t="shared" si="145"/>
        <v>43108402.866920881</v>
      </c>
      <c r="P468" s="15">
        <f t="shared" si="138"/>
        <v>0.73511791720099151</v>
      </c>
      <c r="Q468" s="7">
        <f t="shared" si="146"/>
        <v>58641480.309796944</v>
      </c>
      <c r="R468" s="7">
        <f t="shared" si="136"/>
        <v>15533077.442876065</v>
      </c>
      <c r="S468" s="13">
        <f>IF('Calc (2)'!$AD$32="Sim",R468,Q468)</f>
        <v>15533077.442876065</v>
      </c>
      <c r="T468" s="9">
        <f t="shared" si="147"/>
        <v>464</v>
      </c>
      <c r="U468" s="17">
        <f t="shared" ca="1" si="148"/>
        <v>59627</v>
      </c>
    </row>
    <row r="469" spans="2:21" x14ac:dyDescent="0.2">
      <c r="B469" s="17">
        <f t="shared" ca="1" si="139"/>
        <v>59627</v>
      </c>
      <c r="C469" s="9">
        <f t="shared" si="149"/>
        <v>465</v>
      </c>
      <c r="D469" s="9"/>
      <c r="E469" s="13">
        <f t="shared" si="140"/>
        <v>6623.4664217440786</v>
      </c>
      <c r="F469" s="14">
        <f t="shared" si="150"/>
        <v>1420912.0193405503</v>
      </c>
      <c r="G469" s="15">
        <f t="shared" si="141"/>
        <v>9.0594642656257954E-2</v>
      </c>
      <c r="H469" s="13">
        <f t="shared" si="134"/>
        <v>763104.51093389327</v>
      </c>
      <c r="I469" s="13">
        <f t="shared" si="142"/>
        <v>57990296.267812006</v>
      </c>
      <c r="J469" s="15">
        <f t="shared" si="137"/>
        <v>0.90940535734374206</v>
      </c>
      <c r="K469" s="13">
        <f t="shared" si="143"/>
        <v>14263371.042869847</v>
      </c>
      <c r="L469" s="13">
        <f t="shared" si="151"/>
        <v>1304057396.1267049</v>
      </c>
      <c r="M469" s="15">
        <f t="shared" si="144"/>
        <v>0.90940535734374206</v>
      </c>
      <c r="N469" s="13">
        <f t="shared" si="135"/>
        <v>218324.86670494007</v>
      </c>
      <c r="O469" s="13">
        <f t="shared" si="145"/>
        <v>43726925.224942185</v>
      </c>
      <c r="P469" s="15">
        <f t="shared" si="138"/>
        <v>0.73600464433573798</v>
      </c>
      <c r="Q469" s="7">
        <f t="shared" si="146"/>
        <v>59411208.287152581</v>
      </c>
      <c r="R469" s="7">
        <f t="shared" si="136"/>
        <v>15684283.062210398</v>
      </c>
      <c r="S469" s="13">
        <f>IF('Calc (2)'!$AD$32="Sim",R469,Q469)</f>
        <v>15684283.062210398</v>
      </c>
      <c r="T469" s="9">
        <f t="shared" si="147"/>
        <v>465</v>
      </c>
      <c r="U469" s="17">
        <f t="shared" ca="1" si="148"/>
        <v>59657</v>
      </c>
    </row>
    <row r="470" spans="2:21" x14ac:dyDescent="0.2">
      <c r="B470" s="17">
        <f t="shared" ca="1" si="139"/>
        <v>59657</v>
      </c>
      <c r="C470" s="9">
        <f t="shared" si="149"/>
        <v>466</v>
      </c>
      <c r="D470" s="9"/>
      <c r="E470" s="13">
        <f t="shared" si="140"/>
        <v>6650.4512438231022</v>
      </c>
      <c r="F470" s="14">
        <f t="shared" si="150"/>
        <v>1427562.4705843735</v>
      </c>
      <c r="G470" s="15">
        <f t="shared" si="141"/>
        <v>9.0141405236044775E-2</v>
      </c>
      <c r="H470" s="13">
        <f t="shared" si="134"/>
        <v>773121.01953171554</v>
      </c>
      <c r="I470" s="13">
        <f t="shared" si="142"/>
        <v>58763417.287343718</v>
      </c>
      <c r="J470" s="15">
        <f t="shared" si="137"/>
        <v>0.90985859476395525</v>
      </c>
      <c r="K470" s="13">
        <f t="shared" si="143"/>
        <v>14409360.271480169</v>
      </c>
      <c r="L470" s="13">
        <f t="shared" si="151"/>
        <v>1318466756.398185</v>
      </c>
      <c r="M470" s="15">
        <f t="shared" si="144"/>
        <v>0.90985859476395514</v>
      </c>
      <c r="N470" s="13">
        <f t="shared" si="135"/>
        <v>221190.37823593849</v>
      </c>
      <c r="O470" s="13">
        <f t="shared" si="145"/>
        <v>44354057.015863575</v>
      </c>
      <c r="P470" s="15">
        <f t="shared" si="138"/>
        <v>0.73688876961703609</v>
      </c>
      <c r="Q470" s="7">
        <f t="shared" si="146"/>
        <v>60190979.757928118</v>
      </c>
      <c r="R470" s="7">
        <f t="shared" si="136"/>
        <v>15836922.742064543</v>
      </c>
      <c r="S470" s="13">
        <f>IF('Calc (2)'!$AD$32="Sim",R470,Q470)</f>
        <v>15836922.742064543</v>
      </c>
      <c r="T470" s="9">
        <f t="shared" si="147"/>
        <v>466</v>
      </c>
      <c r="U470" s="17">
        <f t="shared" ca="1" si="148"/>
        <v>59688</v>
      </c>
    </row>
    <row r="471" spans="2:21" x14ac:dyDescent="0.2">
      <c r="B471" s="17">
        <f t="shared" ca="1" si="139"/>
        <v>59688</v>
      </c>
      <c r="C471" s="9">
        <f t="shared" si="149"/>
        <v>467</v>
      </c>
      <c r="D471" s="9"/>
      <c r="E471" s="13">
        <f t="shared" si="140"/>
        <v>6677.5460054075556</v>
      </c>
      <c r="F471" s="14">
        <f t="shared" si="150"/>
        <v>1434240.016589781</v>
      </c>
      <c r="G471" s="15">
        <f t="shared" si="141"/>
        <v>8.9690396187140059E-2</v>
      </c>
      <c r="H471" s="13">
        <f t="shared" si="134"/>
        <v>783268.22461083019</v>
      </c>
      <c r="I471" s="13">
        <f t="shared" si="142"/>
        <v>59546685.511954546</v>
      </c>
      <c r="J471" s="15">
        <f t="shared" si="137"/>
        <v>0.91030960381285997</v>
      </c>
      <c r="K471" s="13">
        <f t="shared" si="143"/>
        <v>14556769.919381764</v>
      </c>
      <c r="L471" s="13">
        <f t="shared" si="151"/>
        <v>1333023526.3175669</v>
      </c>
      <c r="M471" s="15">
        <f t="shared" si="144"/>
        <v>0.91030960381285997</v>
      </c>
      <c r="N471" s="13">
        <f t="shared" si="135"/>
        <v>224093.27837963434</v>
      </c>
      <c r="O471" s="13">
        <f t="shared" si="145"/>
        <v>44989915.592572808</v>
      </c>
      <c r="P471" s="15">
        <f t="shared" si="138"/>
        <v>0.73777029788624038</v>
      </c>
      <c r="Q471" s="7">
        <f t="shared" si="146"/>
        <v>60980925.528544351</v>
      </c>
      <c r="R471" s="7">
        <f t="shared" si="136"/>
        <v>15991009.935971545</v>
      </c>
      <c r="S471" s="13">
        <f>IF('Calc (2)'!$AD$32="Sim",R471,Q471)</f>
        <v>15991009.935971545</v>
      </c>
      <c r="T471" s="9">
        <f t="shared" si="147"/>
        <v>467</v>
      </c>
      <c r="U471" s="17">
        <f t="shared" ca="1" si="148"/>
        <v>59718</v>
      </c>
    </row>
    <row r="472" spans="2:21" x14ac:dyDescent="0.2">
      <c r="B472" s="17">
        <f t="shared" ca="1" si="139"/>
        <v>59718</v>
      </c>
      <c r="C472" s="9">
        <f t="shared" si="149"/>
        <v>468</v>
      </c>
      <c r="D472" s="9">
        <v>39</v>
      </c>
      <c r="E472" s="13">
        <f t="shared" si="140"/>
        <v>6704.7511544045929</v>
      </c>
      <c r="F472" s="14">
        <f t="shared" si="150"/>
        <v>1440944.7677441856</v>
      </c>
      <c r="G472" s="15">
        <f t="shared" si="141"/>
        <v>8.9241604794989576E-2</v>
      </c>
      <c r="H472" s="13">
        <f t="shared" si="134"/>
        <v>793547.82836172136</v>
      </c>
      <c r="I472" s="13">
        <f t="shared" si="142"/>
        <v>60340233.340316266</v>
      </c>
      <c r="J472" s="15">
        <f t="shared" si="137"/>
        <v>0.91075839520501045</v>
      </c>
      <c r="K472" s="13">
        <f t="shared" si="143"/>
        <v>14705613.455344679</v>
      </c>
      <c r="L472" s="13">
        <f t="shared" si="151"/>
        <v>1347729139.7729115</v>
      </c>
      <c r="M472" s="15">
        <f t="shared" si="144"/>
        <v>0.91075839520501045</v>
      </c>
      <c r="N472" s="13">
        <f t="shared" si="135"/>
        <v>227034.05408156407</v>
      </c>
      <c r="O472" s="13">
        <f t="shared" si="145"/>
        <v>45634619.884971619</v>
      </c>
      <c r="P472" s="15">
        <f t="shared" si="138"/>
        <v>0.73864923399733218</v>
      </c>
      <c r="Q472" s="7">
        <f t="shared" si="146"/>
        <v>61781178.108060479</v>
      </c>
      <c r="R472" s="7">
        <f t="shared" si="136"/>
        <v>16146558.223088864</v>
      </c>
      <c r="S472" s="13">
        <f>IF('Calc (2)'!$AD$32="Sim",R472,Q472)</f>
        <v>16146558.223088864</v>
      </c>
      <c r="T472" s="9">
        <f t="shared" si="147"/>
        <v>468</v>
      </c>
      <c r="U472" s="17">
        <f t="shared" ca="1" si="148"/>
        <v>59749</v>
      </c>
    </row>
    <row r="473" spans="2:21" x14ac:dyDescent="0.2">
      <c r="B473" s="17">
        <f t="shared" ca="1" si="139"/>
        <v>59749</v>
      </c>
      <c r="C473" s="9">
        <f t="shared" si="149"/>
        <v>469</v>
      </c>
      <c r="D473" s="9"/>
      <c r="E473" s="13">
        <f t="shared" si="140"/>
        <v>6732.0671405461962</v>
      </c>
      <c r="F473" s="14">
        <f t="shared" si="150"/>
        <v>1447676.8348847318</v>
      </c>
      <c r="G473" s="15">
        <f t="shared" si="141"/>
        <v>8.8795020395476404E-2</v>
      </c>
      <c r="H473" s="13">
        <f t="shared" si="134"/>
        <v>803961.55513139185</v>
      </c>
      <c r="I473" s="13">
        <f t="shared" si="142"/>
        <v>61144194.895447657</v>
      </c>
      <c r="J473" s="15">
        <f t="shared" si="137"/>
        <v>0.91120497960452362</v>
      </c>
      <c r="K473" s="13">
        <f t="shared" si="143"/>
        <v>14855904.474484308</v>
      </c>
      <c r="L473" s="13">
        <f t="shared" si="151"/>
        <v>1362585044.2473958</v>
      </c>
      <c r="M473" s="15">
        <f t="shared" si="144"/>
        <v>0.91120497960452362</v>
      </c>
      <c r="N473" s="13">
        <f t="shared" si="135"/>
        <v>230013.19862556318</v>
      </c>
      <c r="O473" s="13">
        <f t="shared" si="145"/>
        <v>46288290.420963377</v>
      </c>
      <c r="P473" s="15">
        <f t="shared" si="138"/>
        <v>0.73952558281671865</v>
      </c>
      <c r="Q473" s="7">
        <f t="shared" si="146"/>
        <v>62591871.730332419</v>
      </c>
      <c r="R473" s="7">
        <f t="shared" si="136"/>
        <v>16303581.309369039</v>
      </c>
      <c r="S473" s="13">
        <f>IF('Calc (2)'!$AD$32="Sim",R473,Q473)</f>
        <v>16303581.309369039</v>
      </c>
      <c r="T473" s="9">
        <f t="shared" si="147"/>
        <v>469</v>
      </c>
      <c r="U473" s="17">
        <f t="shared" ca="1" si="148"/>
        <v>59780</v>
      </c>
    </row>
    <row r="474" spans="2:21" x14ac:dyDescent="0.2">
      <c r="B474" s="17">
        <f t="shared" ca="1" si="139"/>
        <v>59780</v>
      </c>
      <c r="C474" s="9">
        <f t="shared" si="149"/>
        <v>470</v>
      </c>
      <c r="D474" s="9"/>
      <c r="E474" s="13">
        <f t="shared" si="140"/>
        <v>6759.4944153966135</v>
      </c>
      <c r="F474" s="14">
        <f t="shared" si="150"/>
        <v>1454436.3293001284</v>
      </c>
      <c r="G474" s="15">
        <f t="shared" si="141"/>
        <v>8.8350632374681742E-2</v>
      </c>
      <c r="H474" s="13">
        <f t="shared" si="134"/>
        <v>814511.1517117105</v>
      </c>
      <c r="I474" s="13">
        <f t="shared" si="142"/>
        <v>61958706.047159366</v>
      </c>
      <c r="J474" s="15">
        <f t="shared" si="137"/>
        <v>0.91164936762531823</v>
      </c>
      <c r="K474" s="13">
        <f t="shared" si="143"/>
        <v>15007656.699441111</v>
      </c>
      <c r="L474" s="13">
        <f t="shared" si="151"/>
        <v>1377592700.9468369</v>
      </c>
      <c r="M474" s="15">
        <f t="shared" si="144"/>
        <v>0.91164936762531823</v>
      </c>
      <c r="N474" s="13">
        <f t="shared" si="135"/>
        <v>233031.21171625392</v>
      </c>
      <c r="O474" s="13">
        <f t="shared" si="145"/>
        <v>46951049.347718284</v>
      </c>
      <c r="P474" s="15">
        <f t="shared" si="138"/>
        <v>0.74039934922303485</v>
      </c>
      <c r="Q474" s="7">
        <f t="shared" si="146"/>
        <v>63413142.376459524</v>
      </c>
      <c r="R474" s="7">
        <f t="shared" si="136"/>
        <v>16462093.028741239</v>
      </c>
      <c r="S474" s="13">
        <f>IF('Calc (2)'!$AD$32="Sim",R474,Q474)</f>
        <v>16462093.028741239</v>
      </c>
      <c r="T474" s="9">
        <f t="shared" si="147"/>
        <v>470</v>
      </c>
      <c r="U474" s="17">
        <f t="shared" ca="1" si="148"/>
        <v>59810</v>
      </c>
    </row>
    <row r="475" spans="2:21" x14ac:dyDescent="0.2">
      <c r="B475" s="17">
        <f t="shared" ca="1" si="139"/>
        <v>59810</v>
      </c>
      <c r="C475" s="9">
        <f t="shared" si="149"/>
        <v>471</v>
      </c>
      <c r="D475" s="9"/>
      <c r="E475" s="13">
        <f t="shared" si="140"/>
        <v>6787.033432359819</v>
      </c>
      <c r="F475" s="14">
        <f t="shared" si="150"/>
        <v>1461223.3627324882</v>
      </c>
      <c r="G475" s="15">
        <f t="shared" si="141"/>
        <v>8.7908430168647064E-2</v>
      </c>
      <c r="H475" s="13">
        <f t="shared" si="134"/>
        <v>825198.3876315119</v>
      </c>
      <c r="I475" s="13">
        <f t="shared" si="142"/>
        <v>62783904.434790879</v>
      </c>
      <c r="J475" s="15">
        <f t="shared" si="137"/>
        <v>0.91209156983135298</v>
      </c>
      <c r="K475" s="13">
        <f t="shared" si="143"/>
        <v>15160883.981571335</v>
      </c>
      <c r="L475" s="13">
        <f t="shared" si="151"/>
        <v>1392753584.9284084</v>
      </c>
      <c r="M475" s="15">
        <f t="shared" si="144"/>
        <v>0.91209156983135287</v>
      </c>
      <c r="N475" s="13">
        <f t="shared" si="135"/>
        <v>236088.59956260584</v>
      </c>
      <c r="O475" s="13">
        <f t="shared" si="145"/>
        <v>47623020.45321957</v>
      </c>
      <c r="P475" s="15">
        <f t="shared" si="138"/>
        <v>0.74127053810694432</v>
      </c>
      <c r="Q475" s="7">
        <f t="shared" si="146"/>
        <v>64245127.797523394</v>
      </c>
      <c r="R475" s="7">
        <f t="shared" si="136"/>
        <v>16622107.344303824</v>
      </c>
      <c r="S475" s="13">
        <f>IF('Calc (2)'!$AD$32="Sim",R475,Q475)</f>
        <v>16622107.344303824</v>
      </c>
      <c r="T475" s="9">
        <f t="shared" si="147"/>
        <v>471</v>
      </c>
      <c r="U475" s="17">
        <f t="shared" ca="1" si="148"/>
        <v>59841</v>
      </c>
    </row>
    <row r="476" spans="2:21" x14ac:dyDescent="0.2">
      <c r="B476" s="17">
        <f t="shared" ca="1" si="139"/>
        <v>59841</v>
      </c>
      <c r="C476" s="9">
        <f t="shared" si="149"/>
        <v>472</v>
      </c>
      <c r="D476" s="9"/>
      <c r="E476" s="13">
        <f t="shared" si="140"/>
        <v>6814.6846466870129</v>
      </c>
      <c r="F476" s="14">
        <f t="shared" si="150"/>
        <v>1468038.0473791752</v>
      </c>
      <c r="G476" s="15">
        <f t="shared" si="141"/>
        <v>8.746840326313754E-2</v>
      </c>
      <c r="H476" s="13">
        <f t="shared" si="134"/>
        <v>836025.05545249803</v>
      </c>
      <c r="I476" s="13">
        <f t="shared" si="142"/>
        <v>63619929.490243375</v>
      </c>
      <c r="J476" s="15">
        <f t="shared" si="137"/>
        <v>0.91253159673686246</v>
      </c>
      <c r="K476" s="13">
        <f t="shared" si="143"/>
        <v>15315600.302148825</v>
      </c>
      <c r="L476" s="13">
        <f t="shared" si="151"/>
        <v>1408069185.2305572</v>
      </c>
      <c r="M476" s="15">
        <f t="shared" si="144"/>
        <v>0.91253159673686246</v>
      </c>
      <c r="N476" s="13">
        <f t="shared" si="135"/>
        <v>239185.87496258409</v>
      </c>
      <c r="O476" s="13">
        <f t="shared" si="145"/>
        <v>48304329.188094579</v>
      </c>
      <c r="P476" s="15">
        <f t="shared" si="138"/>
        <v>0.74213915437094258</v>
      </c>
      <c r="Q476" s="7">
        <f t="shared" si="146"/>
        <v>65087967.537622578</v>
      </c>
      <c r="R476" s="7">
        <f t="shared" si="136"/>
        <v>16783638.349528</v>
      </c>
      <c r="S476" s="13">
        <f>IF('Calc (2)'!$AD$32="Sim",R476,Q476)</f>
        <v>16783638.349528</v>
      </c>
      <c r="T476" s="9">
        <f t="shared" si="147"/>
        <v>472</v>
      </c>
      <c r="U476" s="17">
        <f t="shared" ca="1" si="148"/>
        <v>59871</v>
      </c>
    </row>
    <row r="477" spans="2:21" x14ac:dyDescent="0.2">
      <c r="B477" s="17">
        <f t="shared" ca="1" si="139"/>
        <v>59871</v>
      </c>
      <c r="C477" s="9">
        <f t="shared" si="149"/>
        <v>473</v>
      </c>
      <c r="D477" s="9"/>
      <c r="E477" s="13">
        <f t="shared" si="140"/>
        <v>6842.4485154841441</v>
      </c>
      <c r="F477" s="14">
        <f t="shared" si="150"/>
        <v>1474880.4958946593</v>
      </c>
      <c r="G477" s="15">
        <f t="shared" si="141"/>
        <v>8.7030541193406627E-2</v>
      </c>
      <c r="H477" s="13">
        <f t="shared" si="134"/>
        <v>846992.97106899018</v>
      </c>
      <c r="I477" s="13">
        <f t="shared" si="142"/>
        <v>64466922.461312369</v>
      </c>
      <c r="J477" s="15">
        <f t="shared" si="137"/>
        <v>0.91296945880659341</v>
      </c>
      <c r="K477" s="13">
        <f t="shared" si="143"/>
        <v>15471819.773578044</v>
      </c>
      <c r="L477" s="13">
        <f t="shared" si="151"/>
        <v>1423541005.0041351</v>
      </c>
      <c r="M477" s="15">
        <f t="shared" si="144"/>
        <v>0.91296945880659341</v>
      </c>
      <c r="N477" s="13">
        <f t="shared" si="135"/>
        <v>242323.55738889906</v>
      </c>
      <c r="O477" s="13">
        <f t="shared" si="145"/>
        <v>48995102.687734351</v>
      </c>
      <c r="P477" s="15">
        <f t="shared" si="138"/>
        <v>0.74300520292916061</v>
      </c>
      <c r="Q477" s="7">
        <f t="shared" si="146"/>
        <v>65941802.957207054</v>
      </c>
      <c r="R477" s="7">
        <f t="shared" si="136"/>
        <v>16946700.269472703</v>
      </c>
      <c r="S477" s="13">
        <f>IF('Calc (2)'!$AD$32="Sim",R477,Q477)</f>
        <v>16946700.269472703</v>
      </c>
      <c r="T477" s="9">
        <f t="shared" si="147"/>
        <v>473</v>
      </c>
      <c r="U477" s="17">
        <f t="shared" ca="1" si="148"/>
        <v>59902</v>
      </c>
    </row>
    <row r="478" spans="2:21" x14ac:dyDescent="0.2">
      <c r="B478" s="17">
        <f t="shared" ca="1" si="139"/>
        <v>59902</v>
      </c>
      <c r="C478" s="9">
        <f t="shared" si="149"/>
        <v>474</v>
      </c>
      <c r="D478" s="9"/>
      <c r="E478" s="13">
        <f t="shared" si="140"/>
        <v>6870.3254977194674</v>
      </c>
      <c r="F478" s="14">
        <f t="shared" si="150"/>
        <v>1481750.8213923788</v>
      </c>
      <c r="G478" s="15">
        <f t="shared" si="141"/>
        <v>8.6594833543962163E-2</v>
      </c>
      <c r="H478" s="13">
        <f t="shared" si="134"/>
        <v>858103.97401158116</v>
      </c>
      <c r="I478" s="13">
        <f t="shared" si="142"/>
        <v>65325026.435323946</v>
      </c>
      <c r="J478" s="15">
        <f t="shared" si="137"/>
        <v>0.91340516645603786</v>
      </c>
      <c r="K478" s="13">
        <f t="shared" si="143"/>
        <v>15629556.640618373</v>
      </c>
      <c r="L478" s="13">
        <f t="shared" si="151"/>
        <v>1439170561.6447535</v>
      </c>
      <c r="M478" s="15">
        <f t="shared" si="144"/>
        <v>0.91340516645603775</v>
      </c>
      <c r="N478" s="13">
        <f t="shared" si="135"/>
        <v>245502.1730758721</v>
      </c>
      <c r="O478" s="13">
        <f t="shared" si="145"/>
        <v>49695469.7947056</v>
      </c>
      <c r="P478" s="15">
        <f t="shared" si="138"/>
        <v>0.74386868870717038</v>
      </c>
      <c r="Q478" s="7">
        <f t="shared" si="146"/>
        <v>66806777.256716348</v>
      </c>
      <c r="R478" s="7">
        <f t="shared" si="136"/>
        <v>17111307.462010752</v>
      </c>
      <c r="S478" s="13">
        <f>IF('Calc (2)'!$AD$32="Sim",R478,Q478)</f>
        <v>17111307.462010752</v>
      </c>
      <c r="T478" s="9">
        <f t="shared" si="147"/>
        <v>474</v>
      </c>
      <c r="U478" s="17">
        <f t="shared" ca="1" si="148"/>
        <v>59933</v>
      </c>
    </row>
    <row r="479" spans="2:21" x14ac:dyDescent="0.2">
      <c r="B479" s="17">
        <f t="shared" ca="1" si="139"/>
        <v>59933</v>
      </c>
      <c r="C479" s="9">
        <f t="shared" si="149"/>
        <v>475</v>
      </c>
      <c r="D479" s="9"/>
      <c r="E479" s="13">
        <f t="shared" si="140"/>
        <v>6898.3160542311316</v>
      </c>
      <c r="F479" s="14">
        <f t="shared" si="150"/>
        <v>1488649.1374466098</v>
      </c>
      <c r="G479" s="15">
        <f t="shared" si="141"/>
        <v>8.6161269948333355E-2</v>
      </c>
      <c r="H479" s="13">
        <f t="shared" si="134"/>
        <v>869359.92775473988</v>
      </c>
      <c r="I479" s="13">
        <f t="shared" si="142"/>
        <v>66194386.363078684</v>
      </c>
      <c r="J479" s="15">
        <f t="shared" si="137"/>
        <v>0.9138387300516666</v>
      </c>
      <c r="K479" s="13">
        <f t="shared" si="143"/>
        <v>15788825.281619856</v>
      </c>
      <c r="L479" s="13">
        <f t="shared" si="151"/>
        <v>1454959386.9263732</v>
      </c>
      <c r="M479" s="15">
        <f t="shared" si="144"/>
        <v>0.9138387300516666</v>
      </c>
      <c r="N479" s="13">
        <f t="shared" si="135"/>
        <v>248722.25510743161</v>
      </c>
      <c r="O479" s="13">
        <f t="shared" si="145"/>
        <v>50405561.081458859</v>
      </c>
      <c r="P479" s="15">
        <f t="shared" si="138"/>
        <v>0.7447296166417896</v>
      </c>
      <c r="Q479" s="7">
        <f t="shared" si="146"/>
        <v>67683035.500525326</v>
      </c>
      <c r="R479" s="7">
        <f t="shared" si="136"/>
        <v>17277474.419066466</v>
      </c>
      <c r="S479" s="13">
        <f>IF('Calc (2)'!$AD$32="Sim",R479,Q479)</f>
        <v>17277474.419066466</v>
      </c>
      <c r="T479" s="9">
        <f t="shared" si="147"/>
        <v>475</v>
      </c>
      <c r="U479" s="17">
        <f t="shared" ca="1" si="148"/>
        <v>59962</v>
      </c>
    </row>
    <row r="480" spans="2:21" x14ac:dyDescent="0.2">
      <c r="B480" s="17">
        <f t="shared" ca="1" si="139"/>
        <v>59962</v>
      </c>
      <c r="C480" s="9">
        <f t="shared" si="149"/>
        <v>476</v>
      </c>
      <c r="D480" s="9"/>
      <c r="E480" s="13">
        <f t="shared" si="140"/>
        <v>6926.420647734798</v>
      </c>
      <c r="F480" s="14">
        <f t="shared" si="150"/>
        <v>1495575.5580943446</v>
      </c>
      <c r="G480" s="15">
        <f t="shared" si="141"/>
        <v>8.5729840088839285E-2</v>
      </c>
      <c r="H480" s="13">
        <f t="shared" si="134"/>
        <v>880762.7200284187</v>
      </c>
      <c r="I480" s="13">
        <f t="shared" si="142"/>
        <v>67075149.083107099</v>
      </c>
      <c r="J480" s="15">
        <f t="shared" si="137"/>
        <v>0.91427015991116067</v>
      </c>
      <c r="K480" s="13">
        <f t="shared" si="143"/>
        <v>15949640.209770426</v>
      </c>
      <c r="L480" s="13">
        <f t="shared" si="151"/>
        <v>1470909027.1361437</v>
      </c>
      <c r="M480" s="15">
        <f t="shared" si="144"/>
        <v>0.91427015991116067</v>
      </c>
      <c r="N480" s="13">
        <f t="shared" si="135"/>
        <v>251984.34350625405</v>
      </c>
      <c r="O480" s="13">
        <f t="shared" si="145"/>
        <v>51125508.87333671</v>
      </c>
      <c r="P480" s="15">
        <f t="shared" si="138"/>
        <v>0.74558799168088974</v>
      </c>
      <c r="Q480" s="7">
        <f t="shared" si="146"/>
        <v>68570724.641201481</v>
      </c>
      <c r="R480" s="7">
        <f t="shared" si="136"/>
        <v>17445215.767864771</v>
      </c>
      <c r="S480" s="13">
        <f>IF('Calc (2)'!$AD$32="Sim",R480,Q480)</f>
        <v>17445215.767864771</v>
      </c>
      <c r="T480" s="9">
        <f t="shared" si="147"/>
        <v>476</v>
      </c>
      <c r="U480" s="17">
        <f t="shared" ca="1" si="148"/>
        <v>59993</v>
      </c>
    </row>
    <row r="481" spans="2:21" x14ac:dyDescent="0.2">
      <c r="B481" s="17">
        <f t="shared" ca="1" si="139"/>
        <v>59993</v>
      </c>
      <c r="C481" s="9">
        <f t="shared" si="149"/>
        <v>477</v>
      </c>
      <c r="D481" s="9"/>
      <c r="E481" s="13">
        <f t="shared" si="140"/>
        <v>6954.6397428312875</v>
      </c>
      <c r="F481" s="14">
        <f t="shared" si="150"/>
        <v>1502530.1978371758</v>
      </c>
      <c r="G481" s="15">
        <f t="shared" si="141"/>
        <v>8.5300533696358538E-2</v>
      </c>
      <c r="H481" s="13">
        <f t="shared" si="134"/>
        <v>892314.26313371514</v>
      </c>
      <c r="I481" s="13">
        <f t="shared" si="142"/>
        <v>67967463.346240819</v>
      </c>
      <c r="J481" s="15">
        <f t="shared" si="137"/>
        <v>0.91469946630364141</v>
      </c>
      <c r="K481" s="13">
        <f t="shared" si="143"/>
        <v>16112016.07435477</v>
      </c>
      <c r="L481" s="13">
        <f t="shared" si="151"/>
        <v>1487021043.2104986</v>
      </c>
      <c r="M481" s="15">
        <f t="shared" si="144"/>
        <v>0.91469946630364141</v>
      </c>
      <c r="N481" s="13">
        <f t="shared" si="135"/>
        <v>255288.98532406535</v>
      </c>
      <c r="O481" s="13">
        <f t="shared" si="145"/>
        <v>51855447.271886095</v>
      </c>
      <c r="P481" s="15">
        <f t="shared" si="138"/>
        <v>0.74644381878320343</v>
      </c>
      <c r="Q481" s="7">
        <f t="shared" si="146"/>
        <v>69469993.544078037</v>
      </c>
      <c r="R481" s="7">
        <f t="shared" si="136"/>
        <v>17614546.272191945</v>
      </c>
      <c r="S481" s="13">
        <f>IF('Calc (2)'!$AD$32="Sim",R481,Q481)</f>
        <v>17614546.272191945</v>
      </c>
      <c r="T481" s="9">
        <f t="shared" si="147"/>
        <v>477</v>
      </c>
      <c r="U481" s="17">
        <f t="shared" ca="1" si="148"/>
        <v>60023</v>
      </c>
    </row>
    <row r="482" spans="2:21" x14ac:dyDescent="0.2">
      <c r="B482" s="17">
        <f t="shared" ca="1" si="139"/>
        <v>60023</v>
      </c>
      <c r="C482" s="9">
        <f t="shared" si="149"/>
        <v>478</v>
      </c>
      <c r="D482" s="9"/>
      <c r="E482" s="13">
        <f t="shared" si="140"/>
        <v>6982.9738060142627</v>
      </c>
      <c r="F482" s="14">
        <f t="shared" si="150"/>
        <v>1509513.1716431901</v>
      </c>
      <c r="G482" s="15">
        <f t="shared" si="141"/>
        <v>8.4873340550100054E-2</v>
      </c>
      <c r="H482" s="13">
        <f t="shared" si="134"/>
        <v>904016.49426264223</v>
      </c>
      <c r="I482" s="13">
        <f t="shared" si="142"/>
        <v>68871479.840503454</v>
      </c>
      <c r="J482" s="15">
        <f t="shared" si="137"/>
        <v>0.9151266594498999</v>
      </c>
      <c r="K482" s="13">
        <f t="shared" si="143"/>
        <v>16275967.662024911</v>
      </c>
      <c r="L482" s="13">
        <f t="shared" si="151"/>
        <v>1503297010.8725235</v>
      </c>
      <c r="M482" s="15">
        <f t="shared" si="144"/>
        <v>0.9151266594498999</v>
      </c>
      <c r="N482" s="13">
        <f t="shared" si="135"/>
        <v>258636.73473311699</v>
      </c>
      <c r="O482" s="13">
        <f t="shared" si="145"/>
        <v>52595512.178478584</v>
      </c>
      <c r="P482" s="15">
        <f t="shared" si="138"/>
        <v>0.74729710291813312</v>
      </c>
      <c r="Q482" s="7">
        <f t="shared" si="146"/>
        <v>70380993.012146682</v>
      </c>
      <c r="R482" s="7">
        <f t="shared" si="136"/>
        <v>17785480.833668102</v>
      </c>
      <c r="S482" s="13">
        <f>IF('Calc (2)'!$AD$32="Sim",R482,Q482)</f>
        <v>17785480.833668102</v>
      </c>
      <c r="T482" s="9">
        <f t="shared" si="147"/>
        <v>478</v>
      </c>
      <c r="U482" s="17">
        <f t="shared" ca="1" si="148"/>
        <v>60054</v>
      </c>
    </row>
    <row r="483" spans="2:21" x14ac:dyDescent="0.2">
      <c r="B483" s="17">
        <f t="shared" ca="1" si="139"/>
        <v>60054</v>
      </c>
      <c r="C483" s="9">
        <f t="shared" si="149"/>
        <v>479</v>
      </c>
      <c r="D483" s="9"/>
      <c r="E483" s="13">
        <f t="shared" si="140"/>
        <v>7011.4233056779385</v>
      </c>
      <c r="F483" s="14">
        <f t="shared" si="150"/>
        <v>1516524.594948868</v>
      </c>
      <c r="G483" s="15">
        <f t="shared" si="141"/>
        <v>8.4448250477375073E-2</v>
      </c>
      <c r="H483" s="13">
        <f t="shared" si="134"/>
        <v>915871.37582205981</v>
      </c>
      <c r="I483" s="13">
        <f t="shared" si="142"/>
        <v>69787351.216325521</v>
      </c>
      <c r="J483" s="15">
        <f t="shared" si="137"/>
        <v>0.91555174952262497</v>
      </c>
      <c r="K483" s="13">
        <f t="shared" si="143"/>
        <v>16441509.898082664</v>
      </c>
      <c r="L483" s="13">
        <f t="shared" si="151"/>
        <v>1519738520.7706063</v>
      </c>
      <c r="M483" s="15">
        <f t="shared" si="144"/>
        <v>0.91555174952262497</v>
      </c>
      <c r="N483" s="13">
        <f t="shared" si="135"/>
        <v>262028.15311885302</v>
      </c>
      <c r="O483" s="13">
        <f t="shared" si="145"/>
        <v>53345841.318242878</v>
      </c>
      <c r="P483" s="15">
        <f t="shared" si="138"/>
        <v>0.74814784906556164</v>
      </c>
      <c r="Q483" s="7">
        <f t="shared" si="146"/>
        <v>71303875.811274409</v>
      </c>
      <c r="R483" s="7">
        <f t="shared" si="136"/>
        <v>17958034.493031532</v>
      </c>
      <c r="S483" s="13">
        <f>IF('Calc (2)'!$AD$32="Sim",R483,Q483)</f>
        <v>17958034.493031532</v>
      </c>
      <c r="T483" s="9">
        <f t="shared" si="147"/>
        <v>479</v>
      </c>
      <c r="U483" s="17">
        <f t="shared" ca="1" si="148"/>
        <v>60084</v>
      </c>
    </row>
    <row r="484" spans="2:21" x14ac:dyDescent="0.2">
      <c r="B484" s="17">
        <f t="shared" ca="1" si="139"/>
        <v>60084</v>
      </c>
      <c r="C484" s="9">
        <f t="shared" si="149"/>
        <v>480</v>
      </c>
      <c r="D484" s="9">
        <v>40</v>
      </c>
      <c r="E484" s="13">
        <f t="shared" si="140"/>
        <v>7039.9887121248275</v>
      </c>
      <c r="F484" s="14">
        <f t="shared" si="150"/>
        <v>1523564.5836609928</v>
      </c>
      <c r="G484" s="15">
        <f t="shared" si="141"/>
        <v>8.4025253353370563E-2</v>
      </c>
      <c r="H484" s="13">
        <f t="shared" si="134"/>
        <v>927880.89576182177</v>
      </c>
      <c r="I484" s="13">
        <f t="shared" si="142"/>
        <v>70715232.112087339</v>
      </c>
      <c r="J484" s="15">
        <f t="shared" si="137"/>
        <v>0.91597474664662948</v>
      </c>
      <c r="K484" s="13">
        <f t="shared" si="143"/>
        <v>16608657.847773984</v>
      </c>
      <c r="L484" s="13">
        <f t="shared" si="151"/>
        <v>1536347178.6183803</v>
      </c>
      <c r="M484" s="15">
        <f t="shared" si="144"/>
        <v>0.91597474664662937</v>
      </c>
      <c r="N484" s="13">
        <f t="shared" si="135"/>
        <v>265463.80917378265</v>
      </c>
      <c r="O484" s="13">
        <f t="shared" si="145"/>
        <v>54106574.264313385</v>
      </c>
      <c r="P484" s="15">
        <f t="shared" si="138"/>
        <v>0.74899606221566317</v>
      </c>
      <c r="Q484" s="7">
        <f t="shared" si="146"/>
        <v>72238796.695748359</v>
      </c>
      <c r="R484" s="7">
        <f t="shared" si="136"/>
        <v>18132222.431434978</v>
      </c>
      <c r="S484" s="13">
        <f>IF('Calc (2)'!$AD$32="Sim",R484,Q484)</f>
        <v>18132222.431434978</v>
      </c>
      <c r="T484" s="9">
        <f t="shared" si="147"/>
        <v>480</v>
      </c>
      <c r="U484" s="17">
        <f t="shared" ca="1" si="148"/>
        <v>60115</v>
      </c>
    </row>
    <row r="485" spans="2:21" x14ac:dyDescent="0.2">
      <c r="B485" s="17">
        <f t="shared" ca="1" si="139"/>
        <v>60115</v>
      </c>
      <c r="C485" s="9">
        <f t="shared" si="149"/>
        <v>481</v>
      </c>
      <c r="D485" s="9"/>
      <c r="E485" s="13">
        <f t="shared" si="140"/>
        <v>7068.6704975735111</v>
      </c>
      <c r="F485" s="14">
        <f t="shared" si="150"/>
        <v>1530633.2541585662</v>
      </c>
      <c r="G485" s="15">
        <f t="shared" si="141"/>
        <v>8.3604339100923533E-2</v>
      </c>
      <c r="H485" s="13">
        <f t="shared" si="134"/>
        <v>940047.06790719286</v>
      </c>
      <c r="I485" s="13">
        <f t="shared" si="142"/>
        <v>71655279.179994538</v>
      </c>
      <c r="J485" s="15">
        <f t="shared" si="137"/>
        <v>0.91639566089907643</v>
      </c>
      <c r="K485" s="13">
        <f t="shared" si="143"/>
        <v>16777426.717595436</v>
      </c>
      <c r="L485" s="13">
        <f t="shared" si="151"/>
        <v>1553124605.3359756</v>
      </c>
      <c r="M485" s="15">
        <f t="shared" si="144"/>
        <v>0.91639566089907643</v>
      </c>
      <c r="N485" s="13">
        <f t="shared" si="135"/>
        <v>268944.27899257414</v>
      </c>
      <c r="O485" s="13">
        <f t="shared" si="145"/>
        <v>54877852.462399125</v>
      </c>
      <c r="P485" s="15">
        <f t="shared" si="138"/>
        <v>0.74984174736871467</v>
      </c>
      <c r="Q485" s="7">
        <f t="shared" si="146"/>
        <v>73185912.434153125</v>
      </c>
      <c r="R485" s="7">
        <f t="shared" si="136"/>
        <v>18308059.971754003</v>
      </c>
      <c r="S485" s="13">
        <f>IF('Calc (2)'!$AD$32="Sim",R485,Q485)</f>
        <v>18308059.971754003</v>
      </c>
      <c r="T485" s="9">
        <f t="shared" si="147"/>
        <v>481</v>
      </c>
      <c r="U485" s="17">
        <f t="shared" ca="1" si="148"/>
        <v>60146</v>
      </c>
    </row>
    <row r="486" spans="2:21" x14ac:dyDescent="0.2">
      <c r="B486" s="17">
        <f t="shared" ca="1" si="139"/>
        <v>60146</v>
      </c>
      <c r="C486" s="9">
        <f t="shared" si="149"/>
        <v>482</v>
      </c>
      <c r="D486" s="9"/>
      <c r="E486" s="13">
        <f t="shared" si="140"/>
        <v>7097.4691361664491</v>
      </c>
      <c r="F486" s="14">
        <f t="shared" si="150"/>
        <v>1537730.7232947326</v>
      </c>
      <c r="G486" s="15">
        <f t="shared" si="141"/>
        <v>8.318549769029672E-2</v>
      </c>
      <c r="H486" s="13">
        <f t="shared" si="134"/>
        <v>952371.93229559087</v>
      </c>
      <c r="I486" s="13">
        <f t="shared" si="142"/>
        <v>72607651.112290129</v>
      </c>
      <c r="J486" s="15">
        <f t="shared" si="137"/>
        <v>0.91681450230970329</v>
      </c>
      <c r="K486" s="13">
        <f t="shared" si="143"/>
        <v>16947831.85661279</v>
      </c>
      <c r="L486" s="13">
        <f t="shared" si="151"/>
        <v>1570072437.1925883</v>
      </c>
      <c r="M486" s="15">
        <f t="shared" si="144"/>
        <v>0.91681450230970341</v>
      </c>
      <c r="N486" s="13">
        <f t="shared" si="135"/>
        <v>272470.14616838709</v>
      </c>
      <c r="O486" s="13">
        <f t="shared" si="145"/>
        <v>55659819.255677357</v>
      </c>
      <c r="P486" s="15">
        <f t="shared" si="138"/>
        <v>0.75068490953490952</v>
      </c>
      <c r="Q486" s="7">
        <f t="shared" si="146"/>
        <v>74145381.835584879</v>
      </c>
      <c r="R486" s="7">
        <f t="shared" si="136"/>
        <v>18485562.579907522</v>
      </c>
      <c r="S486" s="13">
        <f>IF('Calc (2)'!$AD$32="Sim",R486,Q486)</f>
        <v>18485562.579907522</v>
      </c>
      <c r="T486" s="9">
        <f t="shared" si="147"/>
        <v>482</v>
      </c>
      <c r="U486" s="17">
        <f t="shared" ca="1" si="148"/>
        <v>60176</v>
      </c>
    </row>
    <row r="487" spans="2:21" x14ac:dyDescent="0.2">
      <c r="B487" s="17">
        <f t="shared" ca="1" si="139"/>
        <v>60176</v>
      </c>
      <c r="C487" s="9">
        <f t="shared" si="149"/>
        <v>483</v>
      </c>
      <c r="D487" s="9"/>
      <c r="E487" s="13">
        <f t="shared" si="140"/>
        <v>7126.3851039778147</v>
      </c>
      <c r="F487" s="14">
        <f t="shared" si="150"/>
        <v>1544857.1083987104</v>
      </c>
      <c r="G487" s="15">
        <f t="shared" si="141"/>
        <v>8.2768719138955379E-2</v>
      </c>
      <c r="H487" s="13">
        <f t="shared" si="134"/>
        <v>964857.55551771296</v>
      </c>
      <c r="I487" s="13">
        <f t="shared" si="142"/>
        <v>73572508.667807847</v>
      </c>
      <c r="J487" s="15">
        <f t="shared" si="137"/>
        <v>0.91723128086104466</v>
      </c>
      <c r="K487" s="13">
        <f t="shared" si="143"/>
        <v>17119888.757791918</v>
      </c>
      <c r="L487" s="13">
        <f t="shared" si="151"/>
        <v>1587192325.9503803</v>
      </c>
      <c r="M487" s="15">
        <f t="shared" si="144"/>
        <v>0.91723128086104466</v>
      </c>
      <c r="N487" s="13">
        <f t="shared" si="135"/>
        <v>276042.00189045729</v>
      </c>
      <c r="O487" s="13">
        <f t="shared" si="145"/>
        <v>56452619.910015941</v>
      </c>
      <c r="P487" s="15">
        <f t="shared" si="138"/>
        <v>0.7515255537341714</v>
      </c>
      <c r="Q487" s="7">
        <f t="shared" si="146"/>
        <v>75117365.776206568</v>
      </c>
      <c r="R487" s="7">
        <f t="shared" si="136"/>
        <v>18664745.866190627</v>
      </c>
      <c r="S487" s="13">
        <f>IF('Calc (2)'!$AD$32="Sim",R487,Q487)</f>
        <v>18664745.866190627</v>
      </c>
      <c r="T487" s="9">
        <f t="shared" si="147"/>
        <v>483</v>
      </c>
      <c r="U487" s="17">
        <f t="shared" ca="1" si="148"/>
        <v>60207</v>
      </c>
    </row>
    <row r="488" spans="2:21" x14ac:dyDescent="0.2">
      <c r="B488" s="17">
        <f t="shared" ca="1" si="139"/>
        <v>60207</v>
      </c>
      <c r="C488" s="9">
        <f t="shared" si="149"/>
        <v>484</v>
      </c>
      <c r="D488" s="9"/>
      <c r="E488" s="13">
        <f t="shared" si="140"/>
        <v>7155.4188790213684</v>
      </c>
      <c r="F488" s="14">
        <f t="shared" si="150"/>
        <v>1552012.5272777318</v>
      </c>
      <c r="G488" s="15">
        <f t="shared" si="141"/>
        <v>8.2353993511345217E-2</v>
      </c>
      <c r="H488" s="13">
        <f t="shared" si="134"/>
        <v>977506.03106309916</v>
      </c>
      <c r="I488" s="13">
        <f t="shared" si="142"/>
        <v>74550014.698870942</v>
      </c>
      <c r="J488" s="15">
        <f t="shared" si="137"/>
        <v>0.9176460064886548</v>
      </c>
      <c r="K488" s="13">
        <f t="shared" si="143"/>
        <v>17293613.059342112</v>
      </c>
      <c r="L488" s="13">
        <f t="shared" si="151"/>
        <v>1604485939.0097225</v>
      </c>
      <c r="M488" s="15">
        <f t="shared" si="144"/>
        <v>0.91764600648865491</v>
      </c>
      <c r="N488" s="13">
        <f t="shared" si="135"/>
        <v>279660.44504295237</v>
      </c>
      <c r="O488" s="13">
        <f t="shared" si="145"/>
        <v>57256401.639528841</v>
      </c>
      <c r="P488" s="15">
        <f t="shared" si="138"/>
        <v>0.75236368499596973</v>
      </c>
      <c r="Q488" s="7">
        <f t="shared" si="146"/>
        <v>76102027.22614868</v>
      </c>
      <c r="R488" s="7">
        <f t="shared" si="136"/>
        <v>18845625.586619843</v>
      </c>
      <c r="S488" s="13">
        <f>IF('Calc (2)'!$AD$32="Sim",R488,Q488)</f>
        <v>18845625.586619843</v>
      </c>
      <c r="T488" s="9">
        <f t="shared" si="147"/>
        <v>484</v>
      </c>
      <c r="U488" s="17">
        <f t="shared" ca="1" si="148"/>
        <v>60237</v>
      </c>
    </row>
    <row r="489" spans="2:21" x14ac:dyDescent="0.2">
      <c r="B489" s="17">
        <f t="shared" ca="1" si="139"/>
        <v>60237</v>
      </c>
      <c r="C489" s="9">
        <f t="shared" si="149"/>
        <v>485</v>
      </c>
      <c r="D489" s="9"/>
      <c r="E489" s="13">
        <f t="shared" si="140"/>
        <v>7184.5709412583556</v>
      </c>
      <c r="F489" s="14">
        <f t="shared" si="150"/>
        <v>1559197.0982189903</v>
      </c>
      <c r="G489" s="15">
        <f t="shared" si="141"/>
        <v>8.1941310918671489E-2</v>
      </c>
      <c r="H489" s="13">
        <f t="shared" si="134"/>
        <v>990319.47967019374</v>
      </c>
      <c r="I489" s="13">
        <f t="shared" si="142"/>
        <v>75540334.178541139</v>
      </c>
      <c r="J489" s="15">
        <f t="shared" si="137"/>
        <v>0.91805868908132848</v>
      </c>
      <c r="K489" s="13">
        <f t="shared" si="143"/>
        <v>17469020.546071898</v>
      </c>
      <c r="L489" s="13">
        <f t="shared" si="151"/>
        <v>1621954959.5557945</v>
      </c>
      <c r="M489" s="15">
        <f t="shared" si="144"/>
        <v>0.91805868908132859</v>
      </c>
      <c r="N489" s="13">
        <f t="shared" si="135"/>
        <v>283326.08230511314</v>
      </c>
      <c r="O489" s="13">
        <f t="shared" si="145"/>
        <v>58071313.632469244</v>
      </c>
      <c r="P489" s="15">
        <f t="shared" si="138"/>
        <v>0.75319930835913518</v>
      </c>
      <c r="Q489" s="7">
        <f t="shared" si="146"/>
        <v>77099531.276760131</v>
      </c>
      <c r="R489" s="7">
        <f t="shared" si="136"/>
        <v>19028217.644290887</v>
      </c>
      <c r="S489" s="13">
        <f>IF('Calc (2)'!$AD$32="Sim",R489,Q489)</f>
        <v>19028217.644290887</v>
      </c>
      <c r="T489" s="9">
        <f t="shared" si="147"/>
        <v>485</v>
      </c>
      <c r="U489" s="17">
        <f t="shared" ca="1" si="148"/>
        <v>60268</v>
      </c>
    </row>
    <row r="490" spans="2:21" x14ac:dyDescent="0.2">
      <c r="B490" s="17">
        <f t="shared" ca="1" si="139"/>
        <v>60268</v>
      </c>
      <c r="C490" s="9">
        <f t="shared" si="149"/>
        <v>486</v>
      </c>
      <c r="D490" s="9"/>
      <c r="E490" s="13">
        <f t="shared" si="140"/>
        <v>7213.8417726054449</v>
      </c>
      <c r="F490" s="14">
        <f t="shared" si="150"/>
        <v>1566410.9399915957</v>
      </c>
      <c r="G490" s="15">
        <f t="shared" si="141"/>
        <v>8.1530661518679312E-2</v>
      </c>
      <c r="H490" s="13">
        <f t="shared" si="134"/>
        <v>1003300.0496809623</v>
      </c>
      <c r="I490" s="13">
        <f t="shared" si="142"/>
        <v>76543634.228222102</v>
      </c>
      <c r="J490" s="15">
        <f t="shared" si="137"/>
        <v>0.91846933848132073</v>
      </c>
      <c r="K490" s="13">
        <f t="shared" si="143"/>
        <v>17646127.150757473</v>
      </c>
      <c r="L490" s="13">
        <f t="shared" si="151"/>
        <v>1639601086.706552</v>
      </c>
      <c r="M490" s="15">
        <f t="shared" si="144"/>
        <v>0.91846933848132062</v>
      </c>
      <c r="N490" s="13">
        <f t="shared" si="135"/>
        <v>287039.52825269877</v>
      </c>
      <c r="O490" s="13">
        <f t="shared" si="145"/>
        <v>58897507.077464625</v>
      </c>
      <c r="P490" s="15">
        <f t="shared" si="138"/>
        <v>0.75403242887167765</v>
      </c>
      <c r="Q490" s="7">
        <f t="shared" si="146"/>
        <v>78110045.168213695</v>
      </c>
      <c r="R490" s="7">
        <f t="shared" si="136"/>
        <v>19212538.09074907</v>
      </c>
      <c r="S490" s="13">
        <f>IF('Calc (2)'!$AD$32="Sim",R490,Q490)</f>
        <v>19212538.09074907</v>
      </c>
      <c r="T490" s="9">
        <f t="shared" si="147"/>
        <v>486</v>
      </c>
      <c r="U490" s="17">
        <f t="shared" ca="1" si="148"/>
        <v>60299</v>
      </c>
    </row>
    <row r="491" spans="2:21" x14ac:dyDescent="0.2">
      <c r="B491" s="17">
        <f t="shared" ca="1" si="139"/>
        <v>60299</v>
      </c>
      <c r="C491" s="9">
        <f t="shared" si="149"/>
        <v>487</v>
      </c>
      <c r="D491" s="9"/>
      <c r="E491" s="13">
        <f t="shared" si="140"/>
        <v>7243.2318569426925</v>
      </c>
      <c r="F491" s="14">
        <f t="shared" si="150"/>
        <v>1573654.1718485383</v>
      </c>
      <c r="G491" s="15">
        <f t="shared" si="141"/>
        <v>8.1122035515435037E-2</v>
      </c>
      <c r="H491" s="13">
        <f t="shared" si="134"/>
        <v>1016449.9174001227</v>
      </c>
      <c r="I491" s="13">
        <f t="shared" si="142"/>
        <v>77560084.145622224</v>
      </c>
      <c r="J491" s="15">
        <f t="shared" si="137"/>
        <v>0.91887796448456494</v>
      </c>
      <c r="K491" s="13">
        <f t="shared" si="143"/>
        <v>17824948.955523927</v>
      </c>
      <c r="L491" s="13">
        <f t="shared" si="151"/>
        <v>1657426035.662076</v>
      </c>
      <c r="M491" s="15">
        <f t="shared" si="144"/>
        <v>0.91887796448456494</v>
      </c>
      <c r="N491" s="13">
        <f t="shared" si="135"/>
        <v>290801.40546075144</v>
      </c>
      <c r="O491" s="13">
        <f t="shared" si="145"/>
        <v>59735135.190098293</v>
      </c>
      <c r="P491" s="15">
        <f t="shared" si="138"/>
        <v>0.75486305159060407</v>
      </c>
      <c r="Q491" s="7">
        <f t="shared" si="146"/>
        <v>79133738.317470759</v>
      </c>
      <c r="R491" s="7">
        <f t="shared" si="136"/>
        <v>19398603.127372466</v>
      </c>
      <c r="S491" s="13">
        <f>IF('Calc (2)'!$AD$32="Sim",R491,Q491)</f>
        <v>19398603.127372466</v>
      </c>
      <c r="T491" s="9">
        <f t="shared" si="147"/>
        <v>487</v>
      </c>
      <c r="U491" s="17">
        <f t="shared" ca="1" si="148"/>
        <v>60327</v>
      </c>
    </row>
    <row r="492" spans="2:21" x14ac:dyDescent="0.2">
      <c r="B492" s="17">
        <f t="shared" ca="1" si="139"/>
        <v>60327</v>
      </c>
      <c r="C492" s="9">
        <f t="shared" si="149"/>
        <v>488</v>
      </c>
      <c r="D492" s="9"/>
      <c r="E492" s="13">
        <f t="shared" si="140"/>
        <v>7272.7416801215422</v>
      </c>
      <c r="F492" s="14">
        <f t="shared" si="150"/>
        <v>1580926.9135286598</v>
      </c>
      <c r="G492" s="15">
        <f t="shared" si="141"/>
        <v>8.0715423159108762E-2</v>
      </c>
      <c r="H492" s="13">
        <f t="shared" si="134"/>
        <v>1029771.2874590515</v>
      </c>
      <c r="I492" s="13">
        <f t="shared" si="142"/>
        <v>78589855.433081269</v>
      </c>
      <c r="J492" s="15">
        <f t="shared" si="137"/>
        <v>0.91928457684089127</v>
      </c>
      <c r="K492" s="13">
        <f t="shared" si="143"/>
        <v>18005502.193239294</v>
      </c>
      <c r="L492" s="13">
        <f t="shared" si="151"/>
        <v>1675431537.8553152</v>
      </c>
      <c r="M492" s="15">
        <f t="shared" si="144"/>
        <v>0.91928457684089127</v>
      </c>
      <c r="N492" s="13">
        <f t="shared" si="135"/>
        <v>294612.34460769891</v>
      </c>
      <c r="O492" s="13">
        <f t="shared" si="145"/>
        <v>60584353.239841968</v>
      </c>
      <c r="P492" s="15">
        <f t="shared" si="138"/>
        <v>0.75569118158173765</v>
      </c>
      <c r="Q492" s="7">
        <f t="shared" si="146"/>
        <v>80170782.34660992</v>
      </c>
      <c r="R492" s="7">
        <f t="shared" si="136"/>
        <v>19586429.106767952</v>
      </c>
      <c r="S492" s="13">
        <f>IF('Calc (2)'!$AD$32="Sim",R492,Q492)</f>
        <v>19586429.106767952</v>
      </c>
      <c r="T492" s="9">
        <f t="shared" si="147"/>
        <v>488</v>
      </c>
      <c r="U492" s="17">
        <f t="shared" ca="1" si="148"/>
        <v>60358</v>
      </c>
    </row>
    <row r="493" spans="2:21" x14ac:dyDescent="0.2">
      <c r="B493" s="17">
        <f t="shared" ca="1" si="139"/>
        <v>60358</v>
      </c>
      <c r="C493" s="9">
        <f t="shared" si="149"/>
        <v>489</v>
      </c>
      <c r="D493" s="9"/>
      <c r="E493" s="13">
        <f t="shared" si="140"/>
        <v>7302.371729972856</v>
      </c>
      <c r="F493" s="14">
        <f t="shared" si="150"/>
        <v>1588229.2852586326</v>
      </c>
      <c r="G493" s="15">
        <f t="shared" si="141"/>
        <v>8.0310814745758019E-2</v>
      </c>
      <c r="H493" s="13">
        <f t="shared" ref="H493:H556" si="152">Q492*Taxa_2</f>
        <v>1043266.3931844255</v>
      </c>
      <c r="I493" s="13">
        <f t="shared" si="142"/>
        <v>79633121.826265693</v>
      </c>
      <c r="J493" s="15">
        <f t="shared" si="137"/>
        <v>0.91968918525424193</v>
      </c>
      <c r="K493" s="13">
        <f t="shared" si="143"/>
        <v>18187803.248921607</v>
      </c>
      <c r="L493" s="13">
        <f t="shared" si="151"/>
        <v>1693619341.1042368</v>
      </c>
      <c r="M493" s="15">
        <f t="shared" si="144"/>
        <v>0.91968918525424204</v>
      </c>
      <c r="N493" s="13">
        <f t="shared" ref="N493:N556" si="153">Q493*Inflação_2</f>
        <v>298472.98458081164</v>
      </c>
      <c r="O493" s="13">
        <f t="shared" si="145"/>
        <v>61445318.577344075</v>
      </c>
      <c r="P493" s="15">
        <f t="shared" si="138"/>
        <v>0.75651682391953878</v>
      </c>
      <c r="Q493" s="7">
        <f t="shared" si="146"/>
        <v>81221351.111524314</v>
      </c>
      <c r="R493" s="7">
        <f t="shared" ref="R493:R556" si="154">(R492+E493)*(1+((1+Taxa_2)/(1+Inflação_2)-1))</f>
        <v>19776032.534180239</v>
      </c>
      <c r="S493" s="13">
        <f>IF('Calc (2)'!$AD$32="Sim",R493,Q493)</f>
        <v>19776032.534180239</v>
      </c>
      <c r="T493" s="9">
        <f t="shared" si="147"/>
        <v>489</v>
      </c>
      <c r="U493" s="17">
        <f t="shared" ca="1" si="148"/>
        <v>60388</v>
      </c>
    </row>
    <row r="494" spans="2:21" x14ac:dyDescent="0.2">
      <c r="B494" s="17">
        <f t="shared" ca="1" si="139"/>
        <v>60388</v>
      </c>
      <c r="C494" s="9">
        <f t="shared" si="149"/>
        <v>490</v>
      </c>
      <c r="D494" s="9"/>
      <c r="E494" s="13">
        <f t="shared" si="140"/>
        <v>7332.1224963149798</v>
      </c>
      <c r="F494" s="14">
        <f t="shared" si="150"/>
        <v>1595561.4077549477</v>
      </c>
      <c r="G494" s="15">
        <f t="shared" si="141"/>
        <v>7.9908200617112513E-2</v>
      </c>
      <c r="H494" s="13">
        <f t="shared" si="152"/>
        <v>1056937.4969716622</v>
      </c>
      <c r="I494" s="13">
        <f t="shared" si="142"/>
        <v>80690059.32323736</v>
      </c>
      <c r="J494" s="15">
        <f t="shared" si="137"/>
        <v>0.92009179938288743</v>
      </c>
      <c r="K494" s="13">
        <f t="shared" si="143"/>
        <v>18371868.661159091</v>
      </c>
      <c r="L494" s="13">
        <f t="shared" si="151"/>
        <v>1711991209.7653959</v>
      </c>
      <c r="M494" s="15">
        <f t="shared" si="144"/>
        <v>0.92009179938288754</v>
      </c>
      <c r="N494" s="13">
        <f t="shared" si="153"/>
        <v>302383.97258303198</v>
      </c>
      <c r="O494" s="13">
        <f t="shared" si="145"/>
        <v>62318190.662078261</v>
      </c>
      <c r="P494" s="15">
        <f t="shared" si="138"/>
        <v>0.75733998368692568</v>
      </c>
      <c r="Q494" s="7">
        <f t="shared" si="146"/>
        <v>82285620.730992302</v>
      </c>
      <c r="R494" s="7">
        <f t="shared" si="154"/>
        <v>19967430.068914037</v>
      </c>
      <c r="S494" s="13">
        <f>IF('Calc (2)'!$AD$32="Sim",R494,Q494)</f>
        <v>19967430.068914037</v>
      </c>
      <c r="T494" s="9">
        <f t="shared" si="147"/>
        <v>490</v>
      </c>
      <c r="U494" s="17">
        <f t="shared" ca="1" si="148"/>
        <v>60419</v>
      </c>
    </row>
    <row r="495" spans="2:21" x14ac:dyDescent="0.2">
      <c r="B495" s="17">
        <f t="shared" ca="1" si="139"/>
        <v>60419</v>
      </c>
      <c r="C495" s="9">
        <f t="shared" si="149"/>
        <v>491</v>
      </c>
      <c r="D495" s="9"/>
      <c r="E495" s="13">
        <f t="shared" si="140"/>
        <v>7361.9944709618394</v>
      </c>
      <c r="F495" s="14">
        <f t="shared" si="150"/>
        <v>1602923.4022259095</v>
      </c>
      <c r="G495" s="15">
        <f t="shared" si="141"/>
        <v>7.9507571160359974E-2</v>
      </c>
      <c r="H495" s="13">
        <f t="shared" si="152"/>
        <v>1070786.8906632166</v>
      </c>
      <c r="I495" s="13">
        <f t="shared" si="142"/>
        <v>81760846.213900581</v>
      </c>
      <c r="J495" s="15">
        <f t="shared" si="137"/>
        <v>0.92049242883964</v>
      </c>
      <c r="K495" s="13">
        <f t="shared" si="143"/>
        <v>18557715.123543546</v>
      </c>
      <c r="L495" s="13">
        <f t="shared" si="151"/>
        <v>1730548924.8889394</v>
      </c>
      <c r="M495" s="15">
        <f t="shared" si="144"/>
        <v>0.92049242883964011</v>
      </c>
      <c r="N495" s="13">
        <f t="shared" si="153"/>
        <v>306345.96424119361</v>
      </c>
      <c r="O495" s="13">
        <f t="shared" si="145"/>
        <v>63203131.090357035</v>
      </c>
      <c r="P495" s="15">
        <f t="shared" si="138"/>
        <v>0.75816066597509724</v>
      </c>
      <c r="Q495" s="7">
        <f t="shared" si="146"/>
        <v>83363769.616126493</v>
      </c>
      <c r="R495" s="7">
        <f t="shared" si="154"/>
        <v>20160638.525769453</v>
      </c>
      <c r="S495" s="13">
        <f>IF('Calc (2)'!$AD$32="Sim",R495,Q495)</f>
        <v>20160638.525769453</v>
      </c>
      <c r="T495" s="9">
        <f t="shared" si="147"/>
        <v>491</v>
      </c>
      <c r="U495" s="17">
        <f t="shared" ca="1" si="148"/>
        <v>60449</v>
      </c>
    </row>
    <row r="496" spans="2:21" x14ac:dyDescent="0.2">
      <c r="B496" s="17">
        <f t="shared" ca="1" si="139"/>
        <v>60449</v>
      </c>
      <c r="C496" s="9">
        <f t="shared" si="149"/>
        <v>492</v>
      </c>
      <c r="D496" s="9">
        <v>41</v>
      </c>
      <c r="E496" s="13">
        <f t="shared" si="140"/>
        <v>7391.9881477310728</v>
      </c>
      <c r="F496" s="14">
        <f t="shared" si="150"/>
        <v>1610315.3903736407</v>
      </c>
      <c r="G496" s="15">
        <f t="shared" si="141"/>
        <v>7.9108916807933125E-2</v>
      </c>
      <c r="H496" s="13">
        <f t="shared" si="152"/>
        <v>1084816.8959318046</v>
      </c>
      <c r="I496" s="13">
        <f t="shared" si="142"/>
        <v>82845663.109832391</v>
      </c>
      <c r="J496" s="15">
        <f t="shared" si="137"/>
        <v>0.92089108319206692</v>
      </c>
      <c r="K496" s="13">
        <f t="shared" si="143"/>
        <v>18745359.486117106</v>
      </c>
      <c r="L496" s="13">
        <f t="shared" si="151"/>
        <v>1749294284.3750565</v>
      </c>
      <c r="M496" s="15">
        <f t="shared" si="144"/>
        <v>0.92089108319206692</v>
      </c>
      <c r="N496" s="13">
        <f t="shared" si="153"/>
        <v>310359.62371564977</v>
      </c>
      <c r="O496" s="13">
        <f t="shared" si="145"/>
        <v>64100303.623715296</v>
      </c>
      <c r="P496" s="15">
        <f t="shared" si="138"/>
        <v>0.75897887588335644</v>
      </c>
      <c r="Q496" s="7">
        <f t="shared" si="146"/>
        <v>84455978.500206038</v>
      </c>
      <c r="R496" s="7">
        <f t="shared" si="154"/>
        <v>20355674.876490746</v>
      </c>
      <c r="S496" s="13">
        <f>IF('Calc (2)'!$AD$32="Sim",R496,Q496)</f>
        <v>20355674.876490746</v>
      </c>
      <c r="T496" s="9">
        <f t="shared" si="147"/>
        <v>492</v>
      </c>
      <c r="U496" s="17">
        <f t="shared" ca="1" si="148"/>
        <v>60480</v>
      </c>
    </row>
    <row r="497" spans="2:21" x14ac:dyDescent="0.2">
      <c r="B497" s="17">
        <f t="shared" ca="1" si="139"/>
        <v>60480</v>
      </c>
      <c r="C497" s="9">
        <f t="shared" si="149"/>
        <v>493</v>
      </c>
      <c r="D497" s="9"/>
      <c r="E497" s="13">
        <f t="shared" si="140"/>
        <v>7422.1040224521903</v>
      </c>
      <c r="F497" s="14">
        <f t="shared" si="150"/>
        <v>1617737.4943960928</v>
      </c>
      <c r="G497" s="15">
        <f t="shared" si="141"/>
        <v>7.8712228037297799E-2</v>
      </c>
      <c r="H497" s="13">
        <f t="shared" si="152"/>
        <v>1099029.8646686107</v>
      </c>
      <c r="I497" s="13">
        <f t="shared" si="142"/>
        <v>83944692.974500999</v>
      </c>
      <c r="J497" s="15">
        <f t="shared" si="137"/>
        <v>0.92128777196270217</v>
      </c>
      <c r="K497" s="13">
        <f t="shared" si="143"/>
        <v>18934818.756832466</v>
      </c>
      <c r="L497" s="13">
        <f t="shared" si="151"/>
        <v>1768229103.1318889</v>
      </c>
      <c r="M497" s="15">
        <f t="shared" si="144"/>
        <v>0.92128777196270217</v>
      </c>
      <c r="N497" s="13">
        <f t="shared" si="153"/>
        <v>314425.62381132756</v>
      </c>
      <c r="O497" s="13">
        <f t="shared" si="145"/>
        <v>65009874.217668548</v>
      </c>
      <c r="P497" s="15">
        <f t="shared" si="138"/>
        <v>0.75979461851893471</v>
      </c>
      <c r="Q497" s="7">
        <f t="shared" si="146"/>
        <v>85562430.468897104</v>
      </c>
      <c r="R497" s="7">
        <f t="shared" si="154"/>
        <v>20552556.25122856</v>
      </c>
      <c r="S497" s="13">
        <f>IF('Calc (2)'!$AD$32="Sim",R497,Q497)</f>
        <v>20552556.25122856</v>
      </c>
      <c r="T497" s="9">
        <f t="shared" si="147"/>
        <v>493</v>
      </c>
      <c r="U497" s="17">
        <f t="shared" ca="1" si="148"/>
        <v>60511</v>
      </c>
    </row>
    <row r="498" spans="2:21" x14ac:dyDescent="0.2">
      <c r="B498" s="17">
        <f t="shared" ca="1" si="139"/>
        <v>60511</v>
      </c>
      <c r="C498" s="9">
        <f t="shared" si="149"/>
        <v>494</v>
      </c>
      <c r="D498" s="9"/>
      <c r="E498" s="13">
        <f t="shared" si="140"/>
        <v>7452.3425929747746</v>
      </c>
      <c r="F498" s="14">
        <f t="shared" si="150"/>
        <v>1625189.8369890675</v>
      </c>
      <c r="G498" s="15">
        <f t="shared" si="141"/>
        <v>7.8317495370742021E-2</v>
      </c>
      <c r="H498" s="13">
        <f t="shared" si="152"/>
        <v>1113428.1793765493</v>
      </c>
      <c r="I498" s="13">
        <f t="shared" si="142"/>
        <v>85058121.153877541</v>
      </c>
      <c r="J498" s="15">
        <f t="shared" si="137"/>
        <v>0.92168250462925794</v>
      </c>
      <c r="K498" s="13">
        <f t="shared" si="143"/>
        <v>19126110.103026744</v>
      </c>
      <c r="L498" s="13">
        <f t="shared" si="151"/>
        <v>1787355213.2349155</v>
      </c>
      <c r="M498" s="15">
        <f t="shared" si="144"/>
        <v>0.92168250462925794</v>
      </c>
      <c r="N498" s="13">
        <f t="shared" si="153"/>
        <v>318544.6460902277</v>
      </c>
      <c r="O498" s="13">
        <f t="shared" si="145"/>
        <v>65932011.050850809</v>
      </c>
      <c r="P498" s="15">
        <f t="shared" si="138"/>
        <v>0.76060789899681769</v>
      </c>
      <c r="Q498" s="7">
        <f t="shared" si="146"/>
        <v>86683310.990866616</v>
      </c>
      <c r="R498" s="7">
        <f t="shared" si="154"/>
        <v>20751299.940015811</v>
      </c>
      <c r="S498" s="13">
        <f>IF('Calc (2)'!$AD$32="Sim",R498,Q498)</f>
        <v>20751299.940015811</v>
      </c>
      <c r="T498" s="9">
        <f t="shared" si="147"/>
        <v>494</v>
      </c>
      <c r="U498" s="17">
        <f t="shared" ca="1" si="148"/>
        <v>60541</v>
      </c>
    </row>
    <row r="499" spans="2:21" x14ac:dyDescent="0.2">
      <c r="B499" s="17">
        <f t="shared" ca="1" si="139"/>
        <v>60541</v>
      </c>
      <c r="C499" s="9">
        <f t="shared" si="149"/>
        <v>495</v>
      </c>
      <c r="D499" s="9"/>
      <c r="E499" s="13">
        <f t="shared" si="140"/>
        <v>7482.7043591767087</v>
      </c>
      <c r="F499" s="14">
        <f t="shared" si="150"/>
        <v>1632672.5413482443</v>
      </c>
      <c r="G499" s="15">
        <f t="shared" si="141"/>
        <v>7.7924709375166226E-2</v>
      </c>
      <c r="H499" s="13">
        <f t="shared" si="152"/>
        <v>1128014.2535686425</v>
      </c>
      <c r="I499" s="13">
        <f t="shared" si="142"/>
        <v>86186135.407446191</v>
      </c>
      <c r="J499" s="15">
        <f t="shared" si="137"/>
        <v>0.92207529062483373</v>
      </c>
      <c r="K499" s="13">
        <f t="shared" si="143"/>
        <v>19319250.852909029</v>
      </c>
      <c r="L499" s="13">
        <f t="shared" si="151"/>
        <v>1806674464.0878246</v>
      </c>
      <c r="M499" s="15">
        <f t="shared" si="144"/>
        <v>0.92207529062483373</v>
      </c>
      <c r="N499" s="13">
        <f t="shared" si="153"/>
        <v>322717.3809853883</v>
      </c>
      <c r="O499" s="13">
        <f t="shared" si="145"/>
        <v>66866884.554537162</v>
      </c>
      <c r="P499" s="15">
        <f t="shared" si="138"/>
        <v>0.76141872243957165</v>
      </c>
      <c r="Q499" s="7">
        <f t="shared" si="146"/>
        <v>87818807.948794439</v>
      </c>
      <c r="R499" s="7">
        <f t="shared" si="154"/>
        <v>20951923.394257274</v>
      </c>
      <c r="S499" s="13">
        <f>IF('Calc (2)'!$AD$32="Sim",R499,Q499)</f>
        <v>20951923.394257274</v>
      </c>
      <c r="T499" s="9">
        <f t="shared" si="147"/>
        <v>495</v>
      </c>
      <c r="U499" s="17">
        <f t="shared" ca="1" si="148"/>
        <v>60572</v>
      </c>
    </row>
    <row r="500" spans="2:21" x14ac:dyDescent="0.2">
      <c r="B500" s="17">
        <f t="shared" ca="1" si="139"/>
        <v>60572</v>
      </c>
      <c r="C500" s="9">
        <f t="shared" si="149"/>
        <v>496</v>
      </c>
      <c r="D500" s="9"/>
      <c r="E500" s="13">
        <f t="shared" si="140"/>
        <v>7513.1898229724402</v>
      </c>
      <c r="F500" s="14">
        <f t="shared" si="150"/>
        <v>1640185.7311712168</v>
      </c>
      <c r="G500" s="15">
        <f t="shared" si="141"/>
        <v>7.7533860661874551E-2</v>
      </c>
      <c r="H500" s="13">
        <f t="shared" si="152"/>
        <v>1142790.5321715835</v>
      </c>
      <c r="I500" s="13">
        <f t="shared" si="142"/>
        <v>87328925.939617768</v>
      </c>
      <c r="J500" s="15">
        <f t="shared" si="137"/>
        <v>0.92246613933812549</v>
      </c>
      <c r="K500" s="13">
        <f t="shared" si="143"/>
        <v>19514258.497061823</v>
      </c>
      <c r="L500" s="13">
        <f t="shared" si="151"/>
        <v>1826188722.5848863</v>
      </c>
      <c r="M500" s="15">
        <f t="shared" si="144"/>
        <v>0.92246613933812549</v>
      </c>
      <c r="N500" s="13">
        <f t="shared" si="153"/>
        <v>326944.52791633137</v>
      </c>
      <c r="O500" s="13">
        <f t="shared" si="145"/>
        <v>67814667.442555949</v>
      </c>
      <c r="P500" s="15">
        <f t="shared" si="138"/>
        <v>0.76222709397717159</v>
      </c>
      <c r="Q500" s="7">
        <f t="shared" si="146"/>
        <v>88969111.670788988</v>
      </c>
      <c r="R500" s="7">
        <f t="shared" si="154"/>
        <v>21154444.228233039</v>
      </c>
      <c r="S500" s="13">
        <f>IF('Calc (2)'!$AD$32="Sim",R500,Q500)</f>
        <v>21154444.228233039</v>
      </c>
      <c r="T500" s="9">
        <f t="shared" si="147"/>
        <v>496</v>
      </c>
      <c r="U500" s="17">
        <f t="shared" ca="1" si="148"/>
        <v>60602</v>
      </c>
    </row>
    <row r="501" spans="2:21" x14ac:dyDescent="0.2">
      <c r="B501" s="17">
        <f t="shared" ca="1" si="139"/>
        <v>60602</v>
      </c>
      <c r="C501" s="9">
        <f t="shared" si="149"/>
        <v>497</v>
      </c>
      <c r="D501" s="9"/>
      <c r="E501" s="13">
        <f t="shared" si="140"/>
        <v>7543.7994883212768</v>
      </c>
      <c r="F501" s="14">
        <f t="shared" si="150"/>
        <v>1647729.530659538</v>
      </c>
      <c r="G501" s="15">
        <f t="shared" si="141"/>
        <v>7.7144939886367184E-2</v>
      </c>
      <c r="H501" s="13">
        <f t="shared" si="152"/>
        <v>1157759.4919345491</v>
      </c>
      <c r="I501" s="13">
        <f t="shared" si="142"/>
        <v>88486685.431552321</v>
      </c>
      <c r="J501" s="15">
        <f t="shared" si="137"/>
        <v>0.92285506011363283</v>
      </c>
      <c r="K501" s="13">
        <f t="shared" si="143"/>
        <v>19711150.689956456</v>
      </c>
      <c r="L501" s="13">
        <f t="shared" si="151"/>
        <v>1845899873.2748427</v>
      </c>
      <c r="M501" s="15">
        <f t="shared" si="144"/>
        <v>0.92285506011363283</v>
      </c>
      <c r="N501" s="13">
        <f t="shared" si="153"/>
        <v>331226.79540601216</v>
      </c>
      <c r="O501" s="13">
        <f t="shared" si="145"/>
        <v>68775534.741595864</v>
      </c>
      <c r="P501" s="15">
        <f t="shared" si="138"/>
        <v>0.76303301874682894</v>
      </c>
      <c r="Q501" s="7">
        <f t="shared" si="146"/>
        <v>90134414.962211862</v>
      </c>
      <c r="R501" s="7">
        <f t="shared" si="154"/>
        <v>21358880.220615994</v>
      </c>
      <c r="S501" s="13">
        <f>IF('Calc (2)'!$AD$32="Sim",R501,Q501)</f>
        <v>21358880.220615994</v>
      </c>
      <c r="T501" s="9">
        <f t="shared" si="147"/>
        <v>497</v>
      </c>
      <c r="U501" s="17">
        <f t="shared" ca="1" si="148"/>
        <v>60633</v>
      </c>
    </row>
    <row r="502" spans="2:21" x14ac:dyDescent="0.2">
      <c r="B502" s="17">
        <f t="shared" ca="1" si="139"/>
        <v>60633</v>
      </c>
      <c r="C502" s="9">
        <f t="shared" si="149"/>
        <v>498</v>
      </c>
      <c r="D502" s="9"/>
      <c r="E502" s="13">
        <f t="shared" si="140"/>
        <v>7574.5338612357209</v>
      </c>
      <c r="F502" s="14">
        <f t="shared" si="150"/>
        <v>1655304.0645207737</v>
      </c>
      <c r="G502" s="15">
        <f t="shared" si="141"/>
        <v>7.6757937748133775E-2</v>
      </c>
      <c r="H502" s="13">
        <f t="shared" si="152"/>
        <v>1172923.6418433355</v>
      </c>
      <c r="I502" s="13">
        <f t="shared" si="142"/>
        <v>89659609.073395655</v>
      </c>
      <c r="J502" s="15">
        <f t="shared" si="137"/>
        <v>0.92324206225186622</v>
      </c>
      <c r="K502" s="13">
        <f t="shared" si="143"/>
        <v>19909945.251482632</v>
      </c>
      <c r="L502" s="13">
        <f t="shared" si="151"/>
        <v>1865809818.5263255</v>
      </c>
      <c r="M502" s="15">
        <f t="shared" si="144"/>
        <v>0.92324206225186634</v>
      </c>
      <c r="N502" s="13">
        <f t="shared" si="153"/>
        <v>335564.90119928983</v>
      </c>
      <c r="O502" s="13">
        <f t="shared" si="145"/>
        <v>69749663.821913034</v>
      </c>
      <c r="P502" s="15">
        <f t="shared" si="138"/>
        <v>0.76383650189282259</v>
      </c>
      <c r="Q502" s="7">
        <f t="shared" si="146"/>
        <v>91314913.137916431</v>
      </c>
      <c r="R502" s="7">
        <f t="shared" si="154"/>
        <v>21565249.316003405</v>
      </c>
      <c r="S502" s="13">
        <f>IF('Calc (2)'!$AD$32="Sim",R502,Q502)</f>
        <v>21565249.316003405</v>
      </c>
      <c r="T502" s="9">
        <f t="shared" si="147"/>
        <v>498</v>
      </c>
      <c r="U502" s="17">
        <f t="shared" ca="1" si="148"/>
        <v>60664</v>
      </c>
    </row>
    <row r="503" spans="2:21" x14ac:dyDescent="0.2">
      <c r="B503" s="17">
        <f t="shared" ca="1" si="139"/>
        <v>60664</v>
      </c>
      <c r="C503" s="9">
        <f t="shared" si="149"/>
        <v>499</v>
      </c>
      <c r="D503" s="9"/>
      <c r="E503" s="13">
        <f t="shared" si="140"/>
        <v>7605.3934497898308</v>
      </c>
      <c r="F503" s="14">
        <f t="shared" si="150"/>
        <v>1662909.4579705636</v>
      </c>
      <c r="G503" s="15">
        <f t="shared" si="141"/>
        <v>7.6372844990447816E-2</v>
      </c>
      <c r="H503" s="13">
        <f t="shared" si="152"/>
        <v>1188285.5235398808</v>
      </c>
      <c r="I503" s="13">
        <f t="shared" si="142"/>
        <v>90847894.59693554</v>
      </c>
      <c r="J503" s="15">
        <f t="shared" si="137"/>
        <v>0.92362715500955217</v>
      </c>
      <c r="K503" s="13">
        <f t="shared" si="143"/>
        <v>20110660.168492202</v>
      </c>
      <c r="L503" s="13">
        <f t="shared" si="151"/>
        <v>1885920478.6948178</v>
      </c>
      <c r="M503" s="15">
        <f t="shared" si="144"/>
        <v>0.92362715500955217</v>
      </c>
      <c r="N503" s="13">
        <f t="shared" si="153"/>
        <v>339959.5723829405</v>
      </c>
      <c r="O503" s="13">
        <f t="shared" si="145"/>
        <v>70737234.428443342</v>
      </c>
      <c r="P503" s="15">
        <f t="shared" si="138"/>
        <v>0.76463754856632826</v>
      </c>
      <c r="Q503" s="7">
        <f t="shared" si="146"/>
        <v>92510804.0549061</v>
      </c>
      <c r="R503" s="7">
        <f t="shared" si="154"/>
        <v>21773569.626462765</v>
      </c>
      <c r="S503" s="13">
        <f>IF('Calc (2)'!$AD$32="Sim",R503,Q503)</f>
        <v>21773569.626462765</v>
      </c>
      <c r="T503" s="9">
        <f t="shared" si="147"/>
        <v>499</v>
      </c>
      <c r="U503" s="17">
        <f t="shared" ca="1" si="148"/>
        <v>60692</v>
      </c>
    </row>
    <row r="504" spans="2:21" x14ac:dyDescent="0.2">
      <c r="B504" s="17">
        <f t="shared" ca="1" si="139"/>
        <v>60692</v>
      </c>
      <c r="C504" s="9">
        <f t="shared" si="149"/>
        <v>500</v>
      </c>
      <c r="D504" s="9"/>
      <c r="E504" s="13">
        <f t="shared" si="140"/>
        <v>7636.3787641276231</v>
      </c>
      <c r="F504" s="14">
        <f t="shared" si="150"/>
        <v>1670545.8367346912</v>
      </c>
      <c r="G504" s="15">
        <f t="shared" si="141"/>
        <v>7.5989652400162228E-2</v>
      </c>
      <c r="H504" s="13">
        <f t="shared" si="152"/>
        <v>1203847.711747248</v>
      </c>
      <c r="I504" s="13">
        <f t="shared" si="142"/>
        <v>92051742.308682784</v>
      </c>
      <c r="J504" s="15">
        <f t="shared" si="137"/>
        <v>0.9240103475998378</v>
      </c>
      <c r="K504" s="13">
        <f t="shared" si="143"/>
        <v>20313313.596357346</v>
      </c>
      <c r="L504" s="13">
        <f t="shared" si="151"/>
        <v>1906233792.2911751</v>
      </c>
      <c r="M504" s="15">
        <f t="shared" si="144"/>
        <v>0.9240103475998378</v>
      </c>
      <c r="N504" s="13">
        <f t="shared" si="153"/>
        <v>344411.54550723138</v>
      </c>
      <c r="O504" s="13">
        <f t="shared" si="145"/>
        <v>71738428.712325424</v>
      </c>
      <c r="P504" s="15">
        <f t="shared" si="138"/>
        <v>0.7654361639252516</v>
      </c>
      <c r="Q504" s="7">
        <f t="shared" si="146"/>
        <v>93722288.145417467</v>
      </c>
      <c r="R504" s="7">
        <f t="shared" si="154"/>
        <v>21983859.433092035</v>
      </c>
      <c r="S504" s="13">
        <f>IF('Calc (2)'!$AD$32="Sim",R504,Q504)</f>
        <v>21983859.433092035</v>
      </c>
      <c r="T504" s="9">
        <f t="shared" si="147"/>
        <v>500</v>
      </c>
      <c r="U504" s="17">
        <f t="shared" ca="1" si="148"/>
        <v>60723</v>
      </c>
    </row>
    <row r="505" spans="2:21" x14ac:dyDescent="0.2">
      <c r="B505" s="17">
        <f t="shared" ca="1" si="139"/>
        <v>60723</v>
      </c>
      <c r="C505" s="9">
        <f t="shared" si="149"/>
        <v>501</v>
      </c>
      <c r="D505" s="9"/>
      <c r="E505" s="13">
        <f t="shared" si="140"/>
        <v>7667.4903164715024</v>
      </c>
      <c r="F505" s="14">
        <f t="shared" si="150"/>
        <v>1678213.3270511627</v>
      </c>
      <c r="G505" s="15">
        <f t="shared" si="141"/>
        <v>7.560835080750572E-2</v>
      </c>
      <c r="H505" s="13">
        <f t="shared" si="152"/>
        <v>1219612.8147001388</v>
      </c>
      <c r="I505" s="13">
        <f t="shared" si="142"/>
        <v>93271355.123382926</v>
      </c>
      <c r="J505" s="15">
        <f t="shared" si="137"/>
        <v>0.92439164919249428</v>
      </c>
      <c r="K505" s="13">
        <f t="shared" si="143"/>
        <v>20517923.860543262</v>
      </c>
      <c r="L505" s="13">
        <f t="shared" si="151"/>
        <v>1926751716.1517184</v>
      </c>
      <c r="M505" s="15">
        <f t="shared" si="144"/>
        <v>0.92439164919249428</v>
      </c>
      <c r="N505" s="13">
        <f t="shared" si="153"/>
        <v>348921.56670907745</v>
      </c>
      <c r="O505" s="13">
        <f t="shared" si="145"/>
        <v>72753431.262839645</v>
      </c>
      <c r="P505" s="15">
        <f t="shared" si="138"/>
        <v>0.76623235313406046</v>
      </c>
      <c r="Q505" s="7">
        <f t="shared" si="146"/>
        <v>94949568.450434074</v>
      </c>
      <c r="R505" s="7">
        <f t="shared" si="154"/>
        <v>22196137.187594425</v>
      </c>
      <c r="S505" s="13">
        <f>IF('Calc (2)'!$AD$32="Sim",R505,Q505)</f>
        <v>22196137.187594425</v>
      </c>
      <c r="T505" s="9">
        <f t="shared" si="147"/>
        <v>501</v>
      </c>
      <c r="U505" s="17">
        <f t="shared" ca="1" si="148"/>
        <v>60753</v>
      </c>
    </row>
    <row r="506" spans="2:21" x14ac:dyDescent="0.2">
      <c r="B506" s="17">
        <f t="shared" ca="1" si="139"/>
        <v>60753</v>
      </c>
      <c r="C506" s="9">
        <f t="shared" si="149"/>
        <v>502</v>
      </c>
      <c r="D506" s="9"/>
      <c r="E506" s="13">
        <f t="shared" si="140"/>
        <v>7698.7286211307328</v>
      </c>
      <c r="F506" s="14">
        <f t="shared" si="150"/>
        <v>1685912.0556722935</v>
      </c>
      <c r="G506" s="15">
        <f t="shared" si="141"/>
        <v>7.5228931085880482E-2</v>
      </c>
      <c r="H506" s="13">
        <f t="shared" si="152"/>
        <v>1235583.4745810088</v>
      </c>
      <c r="I506" s="13">
        <f t="shared" si="142"/>
        <v>94506938.597963929</v>
      </c>
      <c r="J506" s="15">
        <f t="shared" si="137"/>
        <v>0.92477106891411953</v>
      </c>
      <c r="K506" s="13">
        <f t="shared" si="143"/>
        <v>20724509.4581955</v>
      </c>
      <c r="L506" s="13">
        <f t="shared" si="151"/>
        <v>1947476225.6099138</v>
      </c>
      <c r="M506" s="15">
        <f t="shared" si="144"/>
        <v>0.92477106891411964</v>
      </c>
      <c r="N506" s="13">
        <f t="shared" si="153"/>
        <v>353490.39183680044</v>
      </c>
      <c r="O506" s="13">
        <f t="shared" si="145"/>
        <v>73782429.139768407</v>
      </c>
      <c r="P506" s="15">
        <f t="shared" si="138"/>
        <v>0.7670261213636187</v>
      </c>
      <c r="Q506" s="7">
        <f t="shared" si="146"/>
        <v>96192850.653636202</v>
      </c>
      <c r="R506" s="7">
        <f t="shared" si="154"/>
        <v>22410421.513867792</v>
      </c>
      <c r="S506" s="13">
        <f>IF('Calc (2)'!$AD$32="Sim",R506,Q506)</f>
        <v>22410421.513867792</v>
      </c>
      <c r="T506" s="9">
        <f t="shared" si="147"/>
        <v>502</v>
      </c>
      <c r="U506" s="17">
        <f t="shared" ca="1" si="148"/>
        <v>60784</v>
      </c>
    </row>
    <row r="507" spans="2:21" x14ac:dyDescent="0.2">
      <c r="B507" s="17">
        <f t="shared" ca="1" si="139"/>
        <v>60784</v>
      </c>
      <c r="C507" s="9">
        <f t="shared" si="149"/>
        <v>503</v>
      </c>
      <c r="D507" s="9"/>
      <c r="E507" s="13">
        <f t="shared" si="140"/>
        <v>7730.0941945099357</v>
      </c>
      <c r="F507" s="14">
        <f t="shared" si="150"/>
        <v>1693642.1498668035</v>
      </c>
      <c r="G507" s="15">
        <f t="shared" si="141"/>
        <v>7.4851384151660635E-2</v>
      </c>
      <c r="H507" s="13">
        <f t="shared" si="152"/>
        <v>1251762.3679618579</v>
      </c>
      <c r="I507" s="13">
        <f t="shared" si="142"/>
        <v>95758700.965925783</v>
      </c>
      <c r="J507" s="15">
        <f t="shared" si="137"/>
        <v>0.92514861584833941</v>
      </c>
      <c r="K507" s="13">
        <f t="shared" si="143"/>
        <v>20933089.059742082</v>
      </c>
      <c r="L507" s="13">
        <f t="shared" si="151"/>
        <v>1968409314.6696558</v>
      </c>
      <c r="M507" s="15">
        <f t="shared" si="144"/>
        <v>0.9251486158483393</v>
      </c>
      <c r="N507" s="13">
        <f t="shared" si="153"/>
        <v>358118.78657651204</v>
      </c>
      <c r="O507" s="13">
        <f t="shared" si="145"/>
        <v>74825611.90618369</v>
      </c>
      <c r="P507" s="15">
        <f t="shared" si="138"/>
        <v>0.76781747379102139</v>
      </c>
      <c r="Q507" s="7">
        <f t="shared" si="146"/>
        <v>97452343.115792572</v>
      </c>
      <c r="R507" s="7">
        <f t="shared" si="154"/>
        <v>22626731.209608886</v>
      </c>
      <c r="S507" s="13">
        <f>IF('Calc (2)'!$AD$32="Sim",R507,Q507)</f>
        <v>22626731.209608886</v>
      </c>
      <c r="T507" s="9">
        <f t="shared" si="147"/>
        <v>503</v>
      </c>
      <c r="U507" s="17">
        <f t="shared" ca="1" si="148"/>
        <v>60814</v>
      </c>
    </row>
    <row r="508" spans="2:21" x14ac:dyDescent="0.2">
      <c r="B508" s="17">
        <f t="shared" ca="1" si="139"/>
        <v>60814</v>
      </c>
      <c r="C508" s="9">
        <f t="shared" si="149"/>
        <v>504</v>
      </c>
      <c r="D508" s="9">
        <v>42</v>
      </c>
      <c r="E508" s="13">
        <f t="shared" si="140"/>
        <v>7761.5875551176305</v>
      </c>
      <c r="F508" s="14">
        <f t="shared" si="150"/>
        <v>1701403.7374219212</v>
      </c>
      <c r="G508" s="15">
        <f t="shared" si="141"/>
        <v>7.4475700963991795E-2</v>
      </c>
      <c r="H508" s="13">
        <f t="shared" si="152"/>
        <v>1268152.2062517724</v>
      </c>
      <c r="I508" s="13">
        <f t="shared" si="142"/>
        <v>97026853.172177553</v>
      </c>
      <c r="J508" s="15">
        <f t="shared" si="137"/>
        <v>0.92552429903600819</v>
      </c>
      <c r="K508" s="13">
        <f t="shared" si="143"/>
        <v>21143681.510510579</v>
      </c>
      <c r="L508" s="13">
        <f t="shared" si="151"/>
        <v>1989552996.1801665</v>
      </c>
      <c r="M508" s="15">
        <f t="shared" si="144"/>
        <v>0.92552429903600819</v>
      </c>
      <c r="N508" s="13">
        <f t="shared" si="153"/>
        <v>362807.52658014058</v>
      </c>
      <c r="O508" s="13">
        <f t="shared" si="145"/>
        <v>75883171.66166696</v>
      </c>
      <c r="P508" s="15">
        <f t="shared" si="138"/>
        <v>0.76860641559943066</v>
      </c>
      <c r="Q508" s="7">
        <f t="shared" si="146"/>
        <v>98728256.909599453</v>
      </c>
      <c r="R508" s="7">
        <f t="shared" si="154"/>
        <v>22845085.247932501</v>
      </c>
      <c r="S508" s="13">
        <f>IF('Calc (2)'!$AD$32="Sim",R508,Q508)</f>
        <v>22845085.247932501</v>
      </c>
      <c r="T508" s="9">
        <f t="shared" si="147"/>
        <v>504</v>
      </c>
      <c r="U508" s="17">
        <f t="shared" ca="1" si="148"/>
        <v>60845</v>
      </c>
    </row>
    <row r="509" spans="2:21" x14ac:dyDescent="0.2">
      <c r="B509" s="17">
        <f t="shared" ca="1" si="139"/>
        <v>60845</v>
      </c>
      <c r="C509" s="9">
        <f t="shared" si="149"/>
        <v>505</v>
      </c>
      <c r="D509" s="9"/>
      <c r="E509" s="13">
        <f t="shared" si="140"/>
        <v>7793.2092235748041</v>
      </c>
      <c r="F509" s="14">
        <f t="shared" si="150"/>
        <v>1709196.9466454959</v>
      </c>
      <c r="G509" s="15">
        <f t="shared" si="141"/>
        <v>7.4101872524591716E-2</v>
      </c>
      <c r="H509" s="13">
        <f t="shared" si="152"/>
        <v>1284755.7361502857</v>
      </c>
      <c r="I509" s="13">
        <f t="shared" si="142"/>
        <v>98311608.908327833</v>
      </c>
      <c r="J509" s="15">
        <f t="shared" si="137"/>
        <v>0.92589812747540834</v>
      </c>
      <c r="K509" s="13">
        <f t="shared" si="143"/>
        <v>21356305.832360201</v>
      </c>
      <c r="L509" s="13">
        <f t="shared" si="151"/>
        <v>2010909302.0125268</v>
      </c>
      <c r="M509" s="15">
        <f t="shared" si="144"/>
        <v>0.92589812747540834</v>
      </c>
      <c r="N509" s="13">
        <f t="shared" si="153"/>
        <v>367557.39759512513</v>
      </c>
      <c r="O509" s="13">
        <f t="shared" si="145"/>
        <v>76955303.07596761</v>
      </c>
      <c r="P509" s="15">
        <f t="shared" si="138"/>
        <v>0.7693929519779128</v>
      </c>
      <c r="Q509" s="7">
        <f t="shared" si="146"/>
        <v>100020805.8549733</v>
      </c>
      <c r="R509" s="7">
        <f t="shared" si="154"/>
        <v>23065502.779005695</v>
      </c>
      <c r="S509" s="13">
        <f>IF('Calc (2)'!$AD$32="Sim",R509,Q509)</f>
        <v>23065502.779005695</v>
      </c>
      <c r="T509" s="9">
        <f t="shared" si="147"/>
        <v>505</v>
      </c>
      <c r="U509" s="17">
        <f t="shared" ca="1" si="148"/>
        <v>60876</v>
      </c>
    </row>
    <row r="510" spans="2:21" x14ac:dyDescent="0.2">
      <c r="B510" s="17">
        <f t="shared" ca="1" si="139"/>
        <v>60876</v>
      </c>
      <c r="C510" s="9">
        <f t="shared" si="149"/>
        <v>506</v>
      </c>
      <c r="D510" s="9"/>
      <c r="E510" s="13">
        <f t="shared" si="140"/>
        <v>7824.9597226235182</v>
      </c>
      <c r="F510" s="14">
        <f t="shared" si="150"/>
        <v>1717021.9063681194</v>
      </c>
      <c r="G510" s="15">
        <f t="shared" si="141"/>
        <v>7.3729889877551802E-2</v>
      </c>
      <c r="H510" s="13">
        <f t="shared" si="152"/>
        <v>1301575.7401066464</v>
      </c>
      <c r="I510" s="13">
        <f t="shared" si="142"/>
        <v>99613184.648434475</v>
      </c>
      <c r="J510" s="15">
        <f t="shared" si="137"/>
        <v>0.9262701101224482</v>
      </c>
      <c r="K510" s="13">
        <f t="shared" si="143"/>
        <v>21570981.225329127</v>
      </c>
      <c r="L510" s="13">
        <f t="shared" si="151"/>
        <v>2032480283.2378559</v>
      </c>
      <c r="M510" s="15">
        <f t="shared" si="144"/>
        <v>0.92627011012244831</v>
      </c>
      <c r="N510" s="13">
        <f t="shared" si="153"/>
        <v>372369.19559579634</v>
      </c>
      <c r="O510" s="13">
        <f t="shared" si="145"/>
        <v>78042203.423105329</v>
      </c>
      <c r="P510" s="15">
        <f t="shared" si="138"/>
        <v>0.7701770881212765</v>
      </c>
      <c r="Q510" s="7">
        <f t="shared" si="146"/>
        <v>101330206.55480257</v>
      </c>
      <c r="R510" s="7">
        <f t="shared" si="154"/>
        <v>23288003.131697245</v>
      </c>
      <c r="S510" s="13">
        <f>IF('Calc (2)'!$AD$32="Sim",R510,Q510)</f>
        <v>23288003.131697245</v>
      </c>
      <c r="T510" s="9">
        <f t="shared" si="147"/>
        <v>506</v>
      </c>
      <c r="U510" s="17">
        <f t="shared" ca="1" si="148"/>
        <v>60906</v>
      </c>
    </row>
    <row r="511" spans="2:21" x14ac:dyDescent="0.2">
      <c r="B511" s="17">
        <f t="shared" ca="1" si="139"/>
        <v>60906</v>
      </c>
      <c r="C511" s="9">
        <f t="shared" si="149"/>
        <v>507</v>
      </c>
      <c r="D511" s="9"/>
      <c r="E511" s="13">
        <f t="shared" si="140"/>
        <v>7856.839577135549</v>
      </c>
      <c r="F511" s="14">
        <f t="shared" si="150"/>
        <v>1724878.745945255</v>
      </c>
      <c r="G511" s="15">
        <f t="shared" si="141"/>
        <v>7.3359744109139674E-2</v>
      </c>
      <c r="H511" s="13">
        <f t="shared" si="152"/>
        <v>1318615.0367850554</v>
      </c>
      <c r="I511" s="13">
        <f t="shared" si="142"/>
        <v>100931799.68521953</v>
      </c>
      <c r="J511" s="15">
        <f t="shared" si="137"/>
        <v>0.9266402558908603</v>
      </c>
      <c r="K511" s="13">
        <f t="shared" si="143"/>
        <v>21787727.069297187</v>
      </c>
      <c r="L511" s="13">
        <f t="shared" si="151"/>
        <v>2054268010.307153</v>
      </c>
      <c r="M511" s="15">
        <f t="shared" si="144"/>
        <v>0.9266402558908603</v>
      </c>
      <c r="N511" s="13">
        <f t="shared" si="153"/>
        <v>377243.72691646725</v>
      </c>
      <c r="O511" s="13">
        <f t="shared" si="145"/>
        <v>79144072.615922317</v>
      </c>
      <c r="P511" s="15">
        <f t="shared" si="138"/>
        <v>0.77095882922991177</v>
      </c>
      <c r="Q511" s="7">
        <f t="shared" si="146"/>
        <v>102656678.43116476</v>
      </c>
      <c r="R511" s="7">
        <f t="shared" si="154"/>
        <v>23512605.815242443</v>
      </c>
      <c r="S511" s="13">
        <f>IF('Calc (2)'!$AD$32="Sim",R511,Q511)</f>
        <v>23512605.815242443</v>
      </c>
      <c r="T511" s="9">
        <f t="shared" si="147"/>
        <v>507</v>
      </c>
      <c r="U511" s="17">
        <f t="shared" ca="1" si="148"/>
        <v>60937</v>
      </c>
    </row>
    <row r="512" spans="2:21" x14ac:dyDescent="0.2">
      <c r="B512" s="17">
        <f t="shared" ca="1" si="139"/>
        <v>60937</v>
      </c>
      <c r="C512" s="9">
        <f t="shared" si="149"/>
        <v>508</v>
      </c>
      <c r="D512" s="9"/>
      <c r="E512" s="13">
        <f t="shared" si="140"/>
        <v>7888.8493141210665</v>
      </c>
      <c r="F512" s="14">
        <f t="shared" si="150"/>
        <v>1732767.5952593761</v>
      </c>
      <c r="G512" s="15">
        <f t="shared" si="141"/>
        <v>7.2991426347602653E-2</v>
      </c>
      <c r="H512" s="13">
        <f t="shared" si="152"/>
        <v>1335876.4815359621</v>
      </c>
      <c r="I512" s="13">
        <f t="shared" si="142"/>
        <v>102267676.16675548</v>
      </c>
      <c r="J512" s="15">
        <f t="shared" si="137"/>
        <v>0.92700857365239731</v>
      </c>
      <c r="K512" s="13">
        <f t="shared" si="143"/>
        <v>22006562.925664023</v>
      </c>
      <c r="L512" s="13">
        <f t="shared" si="151"/>
        <v>2076274573.2328169</v>
      </c>
      <c r="M512" s="15">
        <f t="shared" si="144"/>
        <v>0.92700857365239731</v>
      </c>
      <c r="N512" s="13">
        <f t="shared" si="153"/>
        <v>382181.80838625622</v>
      </c>
      <c r="O512" s="13">
        <f t="shared" si="145"/>
        <v>80261113.24109143</v>
      </c>
      <c r="P512" s="15">
        <f t="shared" si="138"/>
        <v>0.77173818050963006</v>
      </c>
      <c r="Q512" s="7">
        <f t="shared" si="146"/>
        <v>104000443.76201484</v>
      </c>
      <c r="R512" s="7">
        <f t="shared" si="154"/>
        <v>23739330.520923398</v>
      </c>
      <c r="S512" s="13">
        <f>IF('Calc (2)'!$AD$32="Sim",R512,Q512)</f>
        <v>23739330.520923398</v>
      </c>
      <c r="T512" s="9">
        <f t="shared" si="147"/>
        <v>508</v>
      </c>
      <c r="U512" s="17">
        <f t="shared" ca="1" si="148"/>
        <v>60967</v>
      </c>
    </row>
    <row r="513" spans="2:21" x14ac:dyDescent="0.2">
      <c r="B513" s="17">
        <f t="shared" ca="1" si="139"/>
        <v>60967</v>
      </c>
      <c r="C513" s="9">
        <f t="shared" si="149"/>
        <v>509</v>
      </c>
      <c r="D513" s="9"/>
      <c r="E513" s="13">
        <f t="shared" si="140"/>
        <v>7920.9894627373451</v>
      </c>
      <c r="F513" s="14">
        <f t="shared" si="150"/>
        <v>1740688.5847221136</v>
      </c>
      <c r="G513" s="15">
        <f t="shared" si="141"/>
        <v>7.2624927762972399E-2</v>
      </c>
      <c r="H513" s="13">
        <f t="shared" si="152"/>
        <v>1353362.9668734912</v>
      </c>
      <c r="I513" s="13">
        <f t="shared" si="142"/>
        <v>103621039.13362898</v>
      </c>
      <c r="J513" s="15">
        <f t="shared" si="137"/>
        <v>0.92737507223702764</v>
      </c>
      <c r="K513" s="13">
        <f t="shared" si="143"/>
        <v>22227508.539042853</v>
      </c>
      <c r="L513" s="13">
        <f t="shared" si="151"/>
        <v>2098502081.7718599</v>
      </c>
      <c r="M513" s="15">
        <f t="shared" si="144"/>
        <v>0.92737507223702764</v>
      </c>
      <c r="N513" s="13">
        <f t="shared" si="153"/>
        <v>387184.26746566448</v>
      </c>
      <c r="O513" s="13">
        <f t="shared" si="145"/>
        <v>81393530.594586104</v>
      </c>
      <c r="P513" s="15">
        <f t="shared" si="138"/>
        <v>0.77251514717150593</v>
      </c>
      <c r="Q513" s="7">
        <f t="shared" si="146"/>
        <v>105361727.71835107</v>
      </c>
      <c r="R513" s="7">
        <f t="shared" si="154"/>
        <v>23968197.123764966</v>
      </c>
      <c r="S513" s="13">
        <f>IF('Calc (2)'!$AD$32="Sim",R513,Q513)</f>
        <v>23968197.123764966</v>
      </c>
      <c r="T513" s="9">
        <f t="shared" si="147"/>
        <v>509</v>
      </c>
      <c r="U513" s="17">
        <f t="shared" ca="1" si="148"/>
        <v>60998</v>
      </c>
    </row>
    <row r="514" spans="2:21" x14ac:dyDescent="0.2">
      <c r="B514" s="17">
        <f t="shared" ca="1" si="139"/>
        <v>60998</v>
      </c>
      <c r="C514" s="9">
        <f t="shared" si="149"/>
        <v>510</v>
      </c>
      <c r="D514" s="9"/>
      <c r="E514" s="13">
        <f t="shared" si="140"/>
        <v>7953.2605542975116</v>
      </c>
      <c r="F514" s="14">
        <f t="shared" si="150"/>
        <v>1748641.8452764112</v>
      </c>
      <c r="G514" s="15">
        <f t="shared" si="141"/>
        <v>7.2260239566870277E-2</v>
      </c>
      <c r="H514" s="13">
        <f t="shared" si="152"/>
        <v>1371077.4229590851</v>
      </c>
      <c r="I514" s="13">
        <f t="shared" si="142"/>
        <v>104992116.55658807</v>
      </c>
      <c r="J514" s="15">
        <f t="shared" si="137"/>
        <v>0.92773976043312967</v>
      </c>
      <c r="K514" s="13">
        <f t="shared" si="143"/>
        <v>22450583.838970073</v>
      </c>
      <c r="L514" s="13">
        <f t="shared" si="151"/>
        <v>2120952665.6108301</v>
      </c>
      <c r="M514" s="15">
        <f t="shared" si="144"/>
        <v>0.92773976043312967</v>
      </c>
      <c r="N514" s="13">
        <f t="shared" si="153"/>
        <v>392251.94238493033</v>
      </c>
      <c r="O514" s="13">
        <f t="shared" si="145"/>
        <v>82541532.717617974</v>
      </c>
      <c r="P514" s="15">
        <f t="shared" si="138"/>
        <v>0.77328973443171833</v>
      </c>
      <c r="Q514" s="7">
        <f t="shared" si="146"/>
        <v>106740758.40186445</v>
      </c>
      <c r="R514" s="7">
        <f t="shared" si="154"/>
        <v>24199225.684246484</v>
      </c>
      <c r="S514" s="13">
        <f>IF('Calc (2)'!$AD$32="Sim",R514,Q514)</f>
        <v>24199225.684246484</v>
      </c>
      <c r="T514" s="9">
        <f t="shared" si="147"/>
        <v>510</v>
      </c>
      <c r="U514" s="17">
        <f t="shared" ca="1" si="148"/>
        <v>61029</v>
      </c>
    </row>
    <row r="515" spans="2:21" x14ac:dyDescent="0.2">
      <c r="B515" s="17">
        <f t="shared" ca="1" si="139"/>
        <v>61029</v>
      </c>
      <c r="C515" s="9">
        <f t="shared" si="149"/>
        <v>511</v>
      </c>
      <c r="D515" s="9"/>
      <c r="E515" s="13">
        <f t="shared" si="140"/>
        <v>7985.6631222793276</v>
      </c>
      <c r="F515" s="14">
        <f t="shared" si="150"/>
        <v>1756627.5083986905</v>
      </c>
      <c r="G515" s="15">
        <f t="shared" si="141"/>
        <v>7.1897353012313869E-2</v>
      </c>
      <c r="H515" s="13">
        <f t="shared" si="152"/>
        <v>1389022.8180914365</v>
      </c>
      <c r="I515" s="13">
        <f t="shared" si="142"/>
        <v>106381139.37467951</v>
      </c>
      <c r="J515" s="15">
        <f t="shared" si="137"/>
        <v>0.92810264698768608</v>
      </c>
      <c r="K515" s="13">
        <f t="shared" si="143"/>
        <v>22675808.94163074</v>
      </c>
      <c r="L515" s="13">
        <f t="shared" si="151"/>
        <v>2143628474.5524609</v>
      </c>
      <c r="M515" s="15">
        <f t="shared" si="144"/>
        <v>0.92810264698768619</v>
      </c>
      <c r="N515" s="13">
        <f t="shared" si="153"/>
        <v>397385.6822841845</v>
      </c>
      <c r="O515" s="13">
        <f t="shared" si="145"/>
        <v>83705330.43304874</v>
      </c>
      <c r="P515" s="15">
        <f t="shared" si="138"/>
        <v>0.77406194751139512</v>
      </c>
      <c r="Q515" s="7">
        <f t="shared" si="146"/>
        <v>108137766.88307817</v>
      </c>
      <c r="R515" s="7">
        <f t="shared" si="154"/>
        <v>24432436.450029429</v>
      </c>
      <c r="S515" s="13">
        <f>IF('Calc (2)'!$AD$32="Sim",R515,Q515)</f>
        <v>24432436.450029429</v>
      </c>
      <c r="T515" s="9">
        <f t="shared" si="147"/>
        <v>511</v>
      </c>
      <c r="U515" s="17">
        <f t="shared" ca="1" si="148"/>
        <v>61057</v>
      </c>
    </row>
    <row r="516" spans="2:21" x14ac:dyDescent="0.2">
      <c r="B516" s="17">
        <f t="shared" ca="1" si="139"/>
        <v>61057</v>
      </c>
      <c r="C516" s="9">
        <f t="shared" si="149"/>
        <v>512</v>
      </c>
      <c r="D516" s="9"/>
      <c r="E516" s="13">
        <f t="shared" si="140"/>
        <v>8018.1977023340096</v>
      </c>
      <c r="F516" s="14">
        <f t="shared" si="150"/>
        <v>1764645.7061010245</v>
      </c>
      <c r="G516" s="15">
        <f t="shared" si="141"/>
        <v>7.1536259393524398E-2</v>
      </c>
      <c r="H516" s="13">
        <f t="shared" si="152"/>
        <v>1407202.1592027999</v>
      </c>
      <c r="I516" s="13">
        <f t="shared" si="142"/>
        <v>107788341.53388231</v>
      </c>
      <c r="J516" s="15">
        <f t="shared" si="137"/>
        <v>0.92846374060647563</v>
      </c>
      <c r="K516" s="13">
        <f t="shared" si="143"/>
        <v>22903204.151600145</v>
      </c>
      <c r="L516" s="13">
        <f t="shared" si="151"/>
        <v>2166531678.704061</v>
      </c>
      <c r="M516" s="15">
        <f t="shared" si="144"/>
        <v>0.92846374060647563</v>
      </c>
      <c r="N516" s="13">
        <f t="shared" si="153"/>
        <v>402586.34735542908</v>
      </c>
      <c r="O516" s="13">
        <f t="shared" si="145"/>
        <v>84885137.382282138</v>
      </c>
      <c r="P516" s="15">
        <f t="shared" si="138"/>
        <v>0.77483179163645666</v>
      </c>
      <c r="Q516" s="7">
        <f t="shared" si="146"/>
        <v>109552987.23998331</v>
      </c>
      <c r="R516" s="7">
        <f t="shared" si="154"/>
        <v>24667849.857701167</v>
      </c>
      <c r="S516" s="13">
        <f>IF('Calc (2)'!$AD$32="Sim",R516,Q516)</f>
        <v>24667849.857701167</v>
      </c>
      <c r="T516" s="9">
        <f t="shared" si="147"/>
        <v>512</v>
      </c>
      <c r="U516" s="17">
        <f t="shared" ca="1" si="148"/>
        <v>61088</v>
      </c>
    </row>
    <row r="517" spans="2:21" x14ac:dyDescent="0.2">
      <c r="B517" s="17">
        <f t="shared" ca="1" si="139"/>
        <v>61088</v>
      </c>
      <c r="C517" s="9">
        <f t="shared" si="149"/>
        <v>513</v>
      </c>
      <c r="D517" s="9"/>
      <c r="E517" s="13">
        <f t="shared" si="140"/>
        <v>8050.864832295083</v>
      </c>
      <c r="F517" s="14">
        <f t="shared" si="150"/>
        <v>1772696.5709333196</v>
      </c>
      <c r="G517" s="15">
        <f t="shared" si="141"/>
        <v>7.117695004573503E-2</v>
      </c>
      <c r="H517" s="13">
        <f t="shared" si="152"/>
        <v>1425618.4923617593</v>
      </c>
      <c r="I517" s="13">
        <f t="shared" si="142"/>
        <v>109213960.02624406</v>
      </c>
      <c r="J517" s="15">
        <f t="shared" ref="J517:J580" si="155">1-G517</f>
        <v>0.92882304995426501</v>
      </c>
      <c r="K517" s="13">
        <f t="shared" si="143"/>
        <v>23132789.963601615</v>
      </c>
      <c r="L517" s="13">
        <f t="shared" si="151"/>
        <v>2189664468.6676626</v>
      </c>
      <c r="M517" s="15">
        <f t="shared" si="144"/>
        <v>0.92882304995426501</v>
      </c>
      <c r="N517" s="13">
        <f t="shared" si="153"/>
        <v>407854.80898636405</v>
      </c>
      <c r="O517" s="13">
        <f t="shared" si="145"/>
        <v>86081170.062642425</v>
      </c>
      <c r="P517" s="15">
        <f t="shared" ref="P517:P580" si="156">O517/Q517</f>
        <v>0.77559927203746104</v>
      </c>
      <c r="Q517" s="7">
        <f t="shared" si="146"/>
        <v>110986656.59717736</v>
      </c>
      <c r="R517" s="7">
        <f t="shared" si="154"/>
        <v>24905486.534534935</v>
      </c>
      <c r="S517" s="13">
        <f>IF('Calc (2)'!$AD$32="Sim",R517,Q517)</f>
        <v>24905486.534534935</v>
      </c>
      <c r="T517" s="9">
        <f t="shared" si="147"/>
        <v>513</v>
      </c>
      <c r="U517" s="17">
        <f t="shared" ca="1" si="148"/>
        <v>61118</v>
      </c>
    </row>
    <row r="518" spans="2:21" x14ac:dyDescent="0.2">
      <c r="B518" s="17">
        <f t="shared" ref="B518:B581" ca="1" si="157">DATE(YEAR(B517),MONTH(B517)+1,1)</f>
        <v>61118</v>
      </c>
      <c r="C518" s="9">
        <f t="shared" si="149"/>
        <v>514</v>
      </c>
      <c r="D518" s="9"/>
      <c r="E518" s="13">
        <f t="shared" ref="E518:E581" si="158">IF($AE$33,IF($AE$34,$E517*(1+Inflação_2)*(1+Crescimento_Salário_2),$E517*(1+Inflação_2)),IF($AE$34,$E517*(1+Crescimento_Salário_2),$E517))</f>
        <v>8083.6650521872743</v>
      </c>
      <c r="F518" s="14">
        <f t="shared" si="150"/>
        <v>1780780.2359855068</v>
      </c>
      <c r="G518" s="15">
        <f t="shared" ref="G518:G581" si="159">IF(F518&lt;=0,0,F518/S518)</f>
        <v>7.0819416345000247E-2</v>
      </c>
      <c r="H518" s="13">
        <f t="shared" si="152"/>
        <v>1444274.9032825406</v>
      </c>
      <c r="I518" s="13">
        <f t="shared" ref="I518:I581" si="160">I517+H518</f>
        <v>110658234.9295266</v>
      </c>
      <c r="J518" s="15">
        <f t="shared" si="155"/>
        <v>0.92918058365499978</v>
      </c>
      <c r="K518" s="13">
        <f t="shared" ref="K518:K581" si="161">R518-F518</f>
        <v>23364587.064280692</v>
      </c>
      <c r="L518" s="13">
        <f t="shared" si="151"/>
        <v>2213029055.7319431</v>
      </c>
      <c r="M518" s="15">
        <f t="shared" ref="M518:M581" si="162">K518/R518</f>
        <v>0.92918058365499978</v>
      </c>
      <c r="N518" s="13">
        <f t="shared" si="153"/>
        <v>413191.9499060855</v>
      </c>
      <c r="O518" s="13">
        <f t="shared" ref="O518:O581" si="163">Q518-R518</f>
        <v>87293647.865245879</v>
      </c>
      <c r="P518" s="15">
        <f t="shared" si="156"/>
        <v>0.77636439394945067</v>
      </c>
      <c r="Q518" s="7">
        <f t="shared" ref="Q518:Q581" si="164">Q517+E518+H518</f>
        <v>112439015.16551208</v>
      </c>
      <c r="R518" s="7">
        <f t="shared" si="154"/>
        <v>25145367.300266199</v>
      </c>
      <c r="S518" s="13">
        <f>IF('Calc (2)'!$AD$32="Sim",R518,Q518)</f>
        <v>25145367.300266199</v>
      </c>
      <c r="T518" s="9">
        <f t="shared" ref="T518:T581" si="165">C518</f>
        <v>514</v>
      </c>
      <c r="U518" s="17">
        <f t="shared" ref="U518:U581" ca="1" si="166">DATE(YEAR(U517),MONTH(U517)+1,1)</f>
        <v>61149</v>
      </c>
    </row>
    <row r="519" spans="2:21" x14ac:dyDescent="0.2">
      <c r="B519" s="17">
        <f t="shared" ca="1" si="157"/>
        <v>61149</v>
      </c>
      <c r="C519" s="9">
        <f t="shared" ref="C519:C582" si="167">C518+1</f>
        <v>515</v>
      </c>
      <c r="D519" s="9"/>
      <c r="E519" s="13">
        <f t="shared" si="158"/>
        <v>8116.5989042354377</v>
      </c>
      <c r="F519" s="14">
        <f t="shared" ref="F519:F582" si="168">F518+E519</f>
        <v>1788896.8348897423</v>
      </c>
      <c r="G519" s="15">
        <f t="shared" si="159"/>
        <v>7.0463649708006074E-2</v>
      </c>
      <c r="H519" s="13">
        <f t="shared" si="152"/>
        <v>1463174.5178409501</v>
      </c>
      <c r="I519" s="13">
        <f t="shared" si="160"/>
        <v>112121409.44736755</v>
      </c>
      <c r="J519" s="15">
        <f t="shared" si="155"/>
        <v>0.92953635029199388</v>
      </c>
      <c r="K519" s="13">
        <f t="shared" si="161"/>
        <v>23598616.333995804</v>
      </c>
      <c r="L519" s="13">
        <f t="shared" ref="L519:L582" si="169">L518+K519</f>
        <v>2236627672.0659389</v>
      </c>
      <c r="M519" s="15">
        <f t="shared" si="162"/>
        <v>0.92953635029199388</v>
      </c>
      <c r="N519" s="13">
        <f t="shared" si="153"/>
        <v>418598.66433267994</v>
      </c>
      <c r="O519" s="13">
        <f t="shared" si="163"/>
        <v>88522793.11337173</v>
      </c>
      <c r="P519" s="15">
        <f t="shared" si="156"/>
        <v>0.77712716261180037</v>
      </c>
      <c r="Q519" s="7">
        <f t="shared" si="164"/>
        <v>113910306.28225727</v>
      </c>
      <c r="R519" s="7">
        <f t="shared" si="154"/>
        <v>25387513.168885548</v>
      </c>
      <c r="S519" s="13">
        <f>IF('Calc (2)'!$AD$32="Sim",R519,Q519)</f>
        <v>25387513.168885548</v>
      </c>
      <c r="T519" s="9">
        <f t="shared" si="165"/>
        <v>515</v>
      </c>
      <c r="U519" s="17">
        <f t="shared" ca="1" si="166"/>
        <v>61179</v>
      </c>
    </row>
    <row r="520" spans="2:21" x14ac:dyDescent="0.2">
      <c r="B520" s="17">
        <f t="shared" ca="1" si="157"/>
        <v>61179</v>
      </c>
      <c r="C520" s="9">
        <f t="shared" si="167"/>
        <v>516</v>
      </c>
      <c r="D520" s="9">
        <v>43</v>
      </c>
      <c r="E520" s="13">
        <f t="shared" si="158"/>
        <v>8149.666932873517</v>
      </c>
      <c r="F520" s="14">
        <f t="shared" si="168"/>
        <v>1797046.5018226157</v>
      </c>
      <c r="G520" s="15">
        <f t="shared" si="159"/>
        <v>7.0109641591881225E-2</v>
      </c>
      <c r="H520" s="13">
        <f t="shared" si="152"/>
        <v>1482320.5025970282</v>
      </c>
      <c r="I520" s="13">
        <f t="shared" si="160"/>
        <v>113603729.94996458</v>
      </c>
      <c r="J520" s="15">
        <f t="shared" si="155"/>
        <v>0.92989035840811873</v>
      </c>
      <c r="K520" s="13">
        <f t="shared" si="161"/>
        <v>23834898.848625667</v>
      </c>
      <c r="L520" s="13">
        <f t="shared" si="169"/>
        <v>2260462570.9145646</v>
      </c>
      <c r="M520" s="15">
        <f t="shared" si="162"/>
        <v>0.92989035840811873</v>
      </c>
      <c r="N520" s="13">
        <f t="shared" si="153"/>
        <v>424075.85812273918</v>
      </c>
      <c r="O520" s="13">
        <f t="shared" si="163"/>
        <v>89768831.101338908</v>
      </c>
      <c r="P520" s="15">
        <f t="shared" si="156"/>
        <v>0.77788758326806451</v>
      </c>
      <c r="Q520" s="7">
        <f t="shared" si="164"/>
        <v>115400776.45178719</v>
      </c>
      <c r="R520" s="7">
        <f t="shared" si="154"/>
        <v>25631945.350448284</v>
      </c>
      <c r="S520" s="13">
        <f>IF('Calc (2)'!$AD$32="Sim",R520,Q520)</f>
        <v>25631945.350448284</v>
      </c>
      <c r="T520" s="9">
        <f t="shared" si="165"/>
        <v>516</v>
      </c>
      <c r="U520" s="17">
        <f t="shared" ca="1" si="166"/>
        <v>61210</v>
      </c>
    </row>
    <row r="521" spans="2:21" x14ac:dyDescent="0.2">
      <c r="B521" s="17">
        <f t="shared" ca="1" si="157"/>
        <v>61210</v>
      </c>
      <c r="C521" s="9">
        <f t="shared" si="167"/>
        <v>517</v>
      </c>
      <c r="D521" s="9"/>
      <c r="E521" s="13">
        <f t="shared" si="158"/>
        <v>8182.8696847535493</v>
      </c>
      <c r="F521" s="14">
        <f t="shared" si="168"/>
        <v>1805229.3715073692</v>
      </c>
      <c r="G521" s="15">
        <f t="shared" si="159"/>
        <v>6.9757383494009312E-2</v>
      </c>
      <c r="H521" s="13">
        <f t="shared" si="152"/>
        <v>1501716.0653245035</v>
      </c>
      <c r="I521" s="13">
        <f t="shared" si="160"/>
        <v>115105446.01528908</v>
      </c>
      <c r="J521" s="15">
        <f t="shared" si="155"/>
        <v>0.93024261650599072</v>
      </c>
      <c r="K521" s="13">
        <f t="shared" si="161"/>
        <v>24073455.8813935</v>
      </c>
      <c r="L521" s="13">
        <f t="shared" si="169"/>
        <v>2284536026.795958</v>
      </c>
      <c r="M521" s="15">
        <f t="shared" si="162"/>
        <v>0.93024261650599072</v>
      </c>
      <c r="N521" s="13">
        <f t="shared" si="153"/>
        <v>429624.4489228208</v>
      </c>
      <c r="O521" s="13">
        <f t="shared" si="163"/>
        <v>91031990.133895576</v>
      </c>
      <c r="P521" s="15">
        <f t="shared" si="156"/>
        <v>0.77864566116582767</v>
      </c>
      <c r="Q521" s="7">
        <f t="shared" si="164"/>
        <v>116910675.38679644</v>
      </c>
      <c r="R521" s="7">
        <f t="shared" si="154"/>
        <v>25878685.252900869</v>
      </c>
      <c r="S521" s="13">
        <f>IF('Calc (2)'!$AD$32="Sim",R521,Q521)</f>
        <v>25878685.252900869</v>
      </c>
      <c r="T521" s="9">
        <f t="shared" si="165"/>
        <v>517</v>
      </c>
      <c r="U521" s="17">
        <f t="shared" ca="1" si="166"/>
        <v>61241</v>
      </c>
    </row>
    <row r="522" spans="2:21" x14ac:dyDescent="0.2">
      <c r="B522" s="17">
        <f t="shared" ca="1" si="157"/>
        <v>61241</v>
      </c>
      <c r="C522" s="9">
        <f t="shared" si="167"/>
        <v>518</v>
      </c>
      <c r="D522" s="9"/>
      <c r="E522" s="13">
        <f t="shared" si="158"/>
        <v>8216.2077087546986</v>
      </c>
      <c r="F522" s="14">
        <f t="shared" si="168"/>
        <v>1813445.579216124</v>
      </c>
      <c r="G522" s="15">
        <f t="shared" si="159"/>
        <v>6.9406866951841756E-2</v>
      </c>
      <c r="H522" s="13">
        <f t="shared" si="152"/>
        <v>1521364.4555471384</v>
      </c>
      <c r="I522" s="13">
        <f t="shared" si="160"/>
        <v>116626810.47083622</v>
      </c>
      <c r="J522" s="15">
        <f t="shared" si="155"/>
        <v>0.93059313304815827</v>
      </c>
      <c r="K522" s="13">
        <f t="shared" si="161"/>
        <v>24314308.904708225</v>
      </c>
      <c r="L522" s="13">
        <f t="shared" si="169"/>
        <v>2308850335.7006664</v>
      </c>
      <c r="M522" s="15">
        <f t="shared" si="162"/>
        <v>0.93059313304815827</v>
      </c>
      <c r="N522" s="13">
        <f t="shared" si="153"/>
        <v>435245.36632288003</v>
      </c>
      <c r="O522" s="13">
        <f t="shared" si="163"/>
        <v>92312501.566128001</v>
      </c>
      <c r="P522" s="15">
        <f t="shared" si="156"/>
        <v>0.77940140155655468</v>
      </c>
      <c r="Q522" s="7">
        <f t="shared" si="164"/>
        <v>118440256.05005234</v>
      </c>
      <c r="R522" s="7">
        <f t="shared" si="154"/>
        <v>26127754.483924348</v>
      </c>
      <c r="S522" s="13">
        <f>IF('Calc (2)'!$AD$32="Sim",R522,Q522)</f>
        <v>26127754.483924348</v>
      </c>
      <c r="T522" s="9">
        <f t="shared" si="165"/>
        <v>518</v>
      </c>
      <c r="U522" s="17">
        <f t="shared" ca="1" si="166"/>
        <v>61271</v>
      </c>
    </row>
    <row r="523" spans="2:21" x14ac:dyDescent="0.2">
      <c r="B523" s="17">
        <f t="shared" ca="1" si="157"/>
        <v>61271</v>
      </c>
      <c r="C523" s="9">
        <f t="shared" si="167"/>
        <v>519</v>
      </c>
      <c r="D523" s="9"/>
      <c r="E523" s="13">
        <f t="shared" si="158"/>
        <v>8249.6815559923307</v>
      </c>
      <c r="F523" s="14">
        <f t="shared" si="168"/>
        <v>1821695.2607721162</v>
      </c>
      <c r="G523" s="15">
        <f t="shared" si="159"/>
        <v>6.9058083542711785E-2</v>
      </c>
      <c r="H523" s="13">
        <f t="shared" si="152"/>
        <v>1541268.9650820524</v>
      </c>
      <c r="I523" s="13">
        <f t="shared" si="160"/>
        <v>118168079.43591827</v>
      </c>
      <c r="J523" s="15">
        <f t="shared" si="155"/>
        <v>0.93094191645728819</v>
      </c>
      <c r="K523" s="13">
        <f t="shared" si="161"/>
        <v>24557479.592022844</v>
      </c>
      <c r="L523" s="13">
        <f t="shared" si="169"/>
        <v>2333407815.2926893</v>
      </c>
      <c r="M523" s="15">
        <f t="shared" si="162"/>
        <v>0.93094191645728819</v>
      </c>
      <c r="N523" s="13">
        <f t="shared" si="153"/>
        <v>440939.55201169767</v>
      </c>
      <c r="O523" s="13">
        <f t="shared" si="163"/>
        <v>93610599.84389542</v>
      </c>
      <c r="P523" s="15">
        <f t="shared" si="156"/>
        <v>0.78015480969544182</v>
      </c>
      <c r="Q523" s="7">
        <f t="shared" si="164"/>
        <v>119989774.69669038</v>
      </c>
      <c r="R523" s="7">
        <f t="shared" si="154"/>
        <v>26379174.85279496</v>
      </c>
      <c r="S523" s="13">
        <f>IF('Calc (2)'!$AD$32="Sim",R523,Q523)</f>
        <v>26379174.85279496</v>
      </c>
      <c r="T523" s="9">
        <f t="shared" si="165"/>
        <v>519</v>
      </c>
      <c r="U523" s="17">
        <f t="shared" ca="1" si="166"/>
        <v>61302</v>
      </c>
    </row>
    <row r="524" spans="2:21" x14ac:dyDescent="0.2">
      <c r="B524" s="17">
        <f t="shared" ca="1" si="157"/>
        <v>61302</v>
      </c>
      <c r="C524" s="9">
        <f t="shared" si="167"/>
        <v>520</v>
      </c>
      <c r="D524" s="9"/>
      <c r="E524" s="13">
        <f t="shared" si="158"/>
        <v>8283.2917798271246</v>
      </c>
      <c r="F524" s="14">
        <f t="shared" si="168"/>
        <v>1829978.5525519433</v>
      </c>
      <c r="G524" s="15">
        <f t="shared" si="159"/>
        <v>6.8711024883649358E-2</v>
      </c>
      <c r="H524" s="13">
        <f t="shared" si="152"/>
        <v>1561432.9285901175</v>
      </c>
      <c r="I524" s="13">
        <f t="shared" si="160"/>
        <v>119729512.36450839</v>
      </c>
      <c r="J524" s="15">
        <f t="shared" si="155"/>
        <v>0.93128897511635067</v>
      </c>
      <c r="K524" s="13">
        <f t="shared" si="161"/>
        <v>24802989.819710094</v>
      </c>
      <c r="L524" s="13">
        <f t="shared" si="169"/>
        <v>2358210805.1123996</v>
      </c>
      <c r="M524" s="15">
        <f t="shared" si="162"/>
        <v>0.93128897511635067</v>
      </c>
      <c r="N524" s="13">
        <f t="shared" si="153"/>
        <v>446707.95993433136</v>
      </c>
      <c r="O524" s="13">
        <f t="shared" si="163"/>
        <v>94926522.544798285</v>
      </c>
      <c r="P524" s="15">
        <f t="shared" si="156"/>
        <v>0.78090589084127016</v>
      </c>
      <c r="Q524" s="7">
        <f t="shared" si="164"/>
        <v>121559490.91706033</v>
      </c>
      <c r="R524" s="7">
        <f t="shared" si="154"/>
        <v>26632968.372262038</v>
      </c>
      <c r="S524" s="13">
        <f>IF('Calc (2)'!$AD$32="Sim",R524,Q524)</f>
        <v>26632968.372262038</v>
      </c>
      <c r="T524" s="9">
        <f t="shared" si="165"/>
        <v>520</v>
      </c>
      <c r="U524" s="17">
        <f t="shared" ca="1" si="166"/>
        <v>61332</v>
      </c>
    </row>
    <row r="525" spans="2:21" x14ac:dyDescent="0.2">
      <c r="B525" s="17">
        <f t="shared" ca="1" si="157"/>
        <v>61332</v>
      </c>
      <c r="C525" s="9">
        <f t="shared" si="167"/>
        <v>521</v>
      </c>
      <c r="D525" s="9"/>
      <c r="E525" s="13">
        <f t="shared" si="158"/>
        <v>8317.0389358742177</v>
      </c>
      <c r="F525" s="14">
        <f t="shared" si="168"/>
        <v>1838295.5914878175</v>
      </c>
      <c r="G525" s="15">
        <f t="shared" si="159"/>
        <v>6.8365682631196856E-2</v>
      </c>
      <c r="H525" s="13">
        <f t="shared" si="152"/>
        <v>1581859.7241335155</v>
      </c>
      <c r="I525" s="13">
        <f t="shared" si="160"/>
        <v>121311372.08864191</v>
      </c>
      <c r="J525" s="15">
        <f t="shared" si="155"/>
        <v>0.93163431736880309</v>
      </c>
      <c r="K525" s="13">
        <f t="shared" si="161"/>
        <v>25050861.668955602</v>
      </c>
      <c r="L525" s="13">
        <f t="shared" si="169"/>
        <v>2383261666.7813554</v>
      </c>
      <c r="M525" s="15">
        <f t="shared" si="162"/>
        <v>0.9316343173688032</v>
      </c>
      <c r="N525" s="13">
        <f t="shared" si="153"/>
        <v>452551.556451615</v>
      </c>
      <c r="O525" s="13">
        <f t="shared" si="163"/>
        <v>96260510.419686303</v>
      </c>
      <c r="P525" s="15">
        <f t="shared" si="156"/>
        <v>0.78165465025625891</v>
      </c>
      <c r="Q525" s="7">
        <f t="shared" si="164"/>
        <v>123149667.68012972</v>
      </c>
      <c r="R525" s="7">
        <f t="shared" si="154"/>
        <v>26889157.260443419</v>
      </c>
      <c r="S525" s="13">
        <f>IF('Calc (2)'!$AD$32="Sim",R525,Q525)</f>
        <v>26889157.260443419</v>
      </c>
      <c r="T525" s="9">
        <f t="shared" si="165"/>
        <v>521</v>
      </c>
      <c r="U525" s="17">
        <f t="shared" ca="1" si="166"/>
        <v>61363</v>
      </c>
    </row>
    <row r="526" spans="2:21" x14ac:dyDescent="0.2">
      <c r="B526" s="17">
        <f t="shared" ca="1" si="157"/>
        <v>61363</v>
      </c>
      <c r="C526" s="9">
        <f t="shared" si="167"/>
        <v>522</v>
      </c>
      <c r="D526" s="9"/>
      <c r="E526" s="13">
        <f t="shared" si="158"/>
        <v>8350.9235820123922</v>
      </c>
      <c r="F526" s="14">
        <f t="shared" si="168"/>
        <v>1846646.5150698298</v>
      </c>
      <c r="G526" s="15">
        <f t="shared" si="159"/>
        <v>6.8022048481225728E-2</v>
      </c>
      <c r="H526" s="13">
        <f t="shared" si="152"/>
        <v>1602552.7737405489</v>
      </c>
      <c r="I526" s="13">
        <f t="shared" si="160"/>
        <v>122913924.86238246</v>
      </c>
      <c r="J526" s="15">
        <f t="shared" si="155"/>
        <v>0.93197795151877427</v>
      </c>
      <c r="K526" s="13">
        <f t="shared" si="161"/>
        <v>25301117.427668665</v>
      </c>
      <c r="L526" s="13">
        <f t="shared" si="169"/>
        <v>2408562784.209024</v>
      </c>
      <c r="M526" s="15">
        <f t="shared" si="162"/>
        <v>0.93197795151877427</v>
      </c>
      <c r="N526" s="13">
        <f t="shared" si="153"/>
        <v>458471.32050173444</v>
      </c>
      <c r="O526" s="13">
        <f t="shared" si="163"/>
        <v>97612807.434713781</v>
      </c>
      <c r="P526" s="15">
        <f t="shared" si="156"/>
        <v>0.78240109320591922</v>
      </c>
      <c r="Q526" s="7">
        <f t="shared" si="164"/>
        <v>124760571.37745228</v>
      </c>
      <c r="R526" s="7">
        <f t="shared" si="154"/>
        <v>27147763.942738496</v>
      </c>
      <c r="S526" s="13">
        <f>IF('Calc (2)'!$AD$32="Sim",R526,Q526)</f>
        <v>27147763.942738496</v>
      </c>
      <c r="T526" s="9">
        <f t="shared" si="165"/>
        <v>522</v>
      </c>
      <c r="U526" s="17">
        <f t="shared" ca="1" si="166"/>
        <v>61394</v>
      </c>
    </row>
    <row r="527" spans="2:21" x14ac:dyDescent="0.2">
      <c r="B527" s="17">
        <f t="shared" ca="1" si="157"/>
        <v>61394</v>
      </c>
      <c r="C527" s="9">
        <f t="shared" si="167"/>
        <v>523</v>
      </c>
      <c r="D527" s="9"/>
      <c r="E527" s="13">
        <f t="shared" si="158"/>
        <v>8384.9462783932995</v>
      </c>
      <c r="F527" s="14">
        <f t="shared" si="168"/>
        <v>1855031.461348223</v>
      </c>
      <c r="G527" s="15">
        <f t="shared" si="159"/>
        <v>6.7680114168754149E-2</v>
      </c>
      <c r="H527" s="13">
        <f t="shared" si="152"/>
        <v>1623515.5439778066</v>
      </c>
      <c r="I527" s="13">
        <f t="shared" si="160"/>
        <v>124537440.40636027</v>
      </c>
      <c r="J527" s="15">
        <f t="shared" si="155"/>
        <v>0.93231988583124581</v>
      </c>
      <c r="K527" s="13">
        <f t="shared" si="161"/>
        <v>25553779.592410825</v>
      </c>
      <c r="L527" s="13">
        <f t="shared" si="169"/>
        <v>2434116563.801435</v>
      </c>
      <c r="M527" s="15">
        <f t="shared" si="162"/>
        <v>0.93231988583124581</v>
      </c>
      <c r="N527" s="13">
        <f t="shared" si="153"/>
        <v>464468.24376390543</v>
      </c>
      <c r="O527" s="13">
        <f t="shared" si="163"/>
        <v>98983660.813949436</v>
      </c>
      <c r="P527" s="15">
        <f t="shared" si="156"/>
        <v>0.78314522495891137</v>
      </c>
      <c r="Q527" s="7">
        <f t="shared" si="164"/>
        <v>126392471.86770849</v>
      </c>
      <c r="R527" s="7">
        <f t="shared" si="154"/>
        <v>27408811.05375905</v>
      </c>
      <c r="S527" s="13">
        <f>IF('Calc (2)'!$AD$32="Sim",R527,Q527)</f>
        <v>27408811.05375905</v>
      </c>
      <c r="T527" s="9">
        <f t="shared" si="165"/>
        <v>523</v>
      </c>
      <c r="U527" s="17">
        <f t="shared" ca="1" si="166"/>
        <v>61423</v>
      </c>
    </row>
    <row r="528" spans="2:21" x14ac:dyDescent="0.2">
      <c r="B528" s="17">
        <f t="shared" ca="1" si="157"/>
        <v>61423</v>
      </c>
      <c r="C528" s="9">
        <f t="shared" si="167"/>
        <v>524</v>
      </c>
      <c r="D528" s="9"/>
      <c r="E528" s="13">
        <f t="shared" si="158"/>
        <v>8419.1075874507151</v>
      </c>
      <c r="F528" s="14">
        <f t="shared" si="168"/>
        <v>1863450.5689356737</v>
      </c>
      <c r="G528" s="15">
        <f t="shared" si="159"/>
        <v>6.7339871467765336E-2</v>
      </c>
      <c r="H528" s="13">
        <f t="shared" si="152"/>
        <v>1644751.5465297697</v>
      </c>
      <c r="I528" s="13">
        <f t="shared" si="160"/>
        <v>126182191.95289004</v>
      </c>
      <c r="J528" s="15">
        <f t="shared" si="155"/>
        <v>0.93266012853223468</v>
      </c>
      <c r="K528" s="13">
        <f t="shared" si="161"/>
        <v>25808870.870342415</v>
      </c>
      <c r="L528" s="13">
        <f t="shared" si="169"/>
        <v>2459925434.6717772</v>
      </c>
      <c r="M528" s="15">
        <f t="shared" si="162"/>
        <v>0.93266012853223468</v>
      </c>
      <c r="N528" s="13">
        <f t="shared" si="153"/>
        <v>470543.33082418179</v>
      </c>
      <c r="O528" s="13">
        <f t="shared" si="163"/>
        <v>100373321.08254763</v>
      </c>
      <c r="P528" s="15">
        <f t="shared" si="156"/>
        <v>0.78388705078690002</v>
      </c>
      <c r="Q528" s="7">
        <f t="shared" si="164"/>
        <v>128045642.52182572</v>
      </c>
      <c r="R528" s="7">
        <f t="shared" si="154"/>
        <v>27672321.439278089</v>
      </c>
      <c r="S528" s="13">
        <f>IF('Calc (2)'!$AD$32="Sim",R528,Q528)</f>
        <v>27672321.439278089</v>
      </c>
      <c r="T528" s="9">
        <f t="shared" si="165"/>
        <v>524</v>
      </c>
      <c r="U528" s="17">
        <f t="shared" ca="1" si="166"/>
        <v>61454</v>
      </c>
    </row>
    <row r="529" spans="2:21" x14ac:dyDescent="0.2">
      <c r="B529" s="17">
        <f t="shared" ca="1" si="157"/>
        <v>61454</v>
      </c>
      <c r="C529" s="9">
        <f t="shared" si="167"/>
        <v>525</v>
      </c>
      <c r="D529" s="9"/>
      <c r="E529" s="13">
        <f t="shared" si="158"/>
        <v>8453.4080739098426</v>
      </c>
      <c r="F529" s="14">
        <f t="shared" si="168"/>
        <v>1871903.9770095835</v>
      </c>
      <c r="G529" s="15">
        <f t="shared" si="159"/>
        <v>6.7001312191027007E-2</v>
      </c>
      <c r="H529" s="13">
        <f t="shared" si="152"/>
        <v>1666264.3387859643</v>
      </c>
      <c r="I529" s="13">
        <f t="shared" si="160"/>
        <v>127848456.291676</v>
      </c>
      <c r="J529" s="15">
        <f t="shared" si="155"/>
        <v>0.93299868780897299</v>
      </c>
      <c r="K529" s="13">
        <f t="shared" si="161"/>
        <v>26066414.181187235</v>
      </c>
      <c r="L529" s="13">
        <f t="shared" si="169"/>
        <v>2485991848.8529644</v>
      </c>
      <c r="M529" s="15">
        <f t="shared" si="162"/>
        <v>0.93299868780897299</v>
      </c>
      <c r="N529" s="13">
        <f t="shared" si="153"/>
        <v>476697.59934342088</v>
      </c>
      <c r="O529" s="13">
        <f t="shared" si="163"/>
        <v>101782042.11048877</v>
      </c>
      <c r="P529" s="15">
        <f t="shared" si="156"/>
        <v>0.78462657596441232</v>
      </c>
      <c r="Q529" s="7">
        <f t="shared" si="164"/>
        <v>129720360.26868559</v>
      </c>
      <c r="R529" s="7">
        <f t="shared" si="154"/>
        <v>27938318.158196818</v>
      </c>
      <c r="S529" s="13">
        <f>IF('Calc (2)'!$AD$32="Sim",R529,Q529)</f>
        <v>27938318.158196818</v>
      </c>
      <c r="T529" s="9">
        <f t="shared" si="165"/>
        <v>525</v>
      </c>
      <c r="U529" s="17">
        <f t="shared" ca="1" si="166"/>
        <v>61484</v>
      </c>
    </row>
    <row r="530" spans="2:21" x14ac:dyDescent="0.2">
      <c r="B530" s="17">
        <f t="shared" ca="1" si="157"/>
        <v>61484</v>
      </c>
      <c r="C530" s="9">
        <f t="shared" si="167"/>
        <v>526</v>
      </c>
      <c r="D530" s="9"/>
      <c r="E530" s="13">
        <f t="shared" si="158"/>
        <v>8487.8483047966438</v>
      </c>
      <c r="F530" s="14">
        <f t="shared" si="168"/>
        <v>1880391.8253143802</v>
      </c>
      <c r="G530" s="15">
        <f t="shared" si="159"/>
        <v>6.6664428189911459E-2</v>
      </c>
      <c r="H530" s="13">
        <f t="shared" si="152"/>
        <v>1688057.5244357528</v>
      </c>
      <c r="I530" s="13">
        <f t="shared" si="160"/>
        <v>129536513.81611176</v>
      </c>
      <c r="J530" s="15">
        <f t="shared" si="155"/>
        <v>0.93333557181008853</v>
      </c>
      <c r="K530" s="13">
        <f t="shared" si="161"/>
        <v>26326432.659215529</v>
      </c>
      <c r="L530" s="13">
        <f t="shared" si="169"/>
        <v>2512318281.5121799</v>
      </c>
      <c r="M530" s="15">
        <f t="shared" si="162"/>
        <v>0.93333557181008853</v>
      </c>
      <c r="N530" s="13">
        <f t="shared" si="153"/>
        <v>482932.08022743551</v>
      </c>
      <c r="O530" s="13">
        <f t="shared" si="163"/>
        <v>103210081.15689623</v>
      </c>
      <c r="P530" s="15">
        <f t="shared" si="156"/>
        <v>0.78536380576869735</v>
      </c>
      <c r="Q530" s="7">
        <f t="shared" si="164"/>
        <v>131416905.64142615</v>
      </c>
      <c r="R530" s="7">
        <f t="shared" si="154"/>
        <v>28206824.484529909</v>
      </c>
      <c r="S530" s="13">
        <f>IF('Calc (2)'!$AD$32="Sim",R530,Q530)</f>
        <v>28206824.484529909</v>
      </c>
      <c r="T530" s="9">
        <f t="shared" si="165"/>
        <v>526</v>
      </c>
      <c r="U530" s="17">
        <f t="shared" ca="1" si="166"/>
        <v>61515</v>
      </c>
    </row>
    <row r="531" spans="2:21" x14ac:dyDescent="0.2">
      <c r="B531" s="17">
        <f t="shared" ca="1" si="157"/>
        <v>61515</v>
      </c>
      <c r="C531" s="9">
        <f t="shared" si="167"/>
        <v>527</v>
      </c>
      <c r="D531" s="9"/>
      <c r="E531" s="13">
        <f t="shared" si="158"/>
        <v>8522.4288494472148</v>
      </c>
      <c r="F531" s="14">
        <f t="shared" si="168"/>
        <v>1888914.2541638275</v>
      </c>
      <c r="G531" s="15">
        <f t="shared" si="159"/>
        <v>6.6329211354216738E-2</v>
      </c>
      <c r="H531" s="13">
        <f t="shared" si="152"/>
        <v>1710134.7540708657</v>
      </c>
      <c r="I531" s="13">
        <f t="shared" si="160"/>
        <v>131246648.57018262</v>
      </c>
      <c r="J531" s="15">
        <f t="shared" si="155"/>
        <v>0.93367078864578323</v>
      </c>
      <c r="K531" s="13">
        <f t="shared" si="161"/>
        <v>26588949.655245427</v>
      </c>
      <c r="L531" s="13">
        <f t="shared" si="169"/>
        <v>2538907231.1674252</v>
      </c>
      <c r="M531" s="15">
        <f t="shared" si="162"/>
        <v>0.93367078864578323</v>
      </c>
      <c r="N531" s="13">
        <f t="shared" si="153"/>
        <v>489247.81779935939</v>
      </c>
      <c r="O531" s="13">
        <f t="shared" si="163"/>
        <v>104657698.9149372</v>
      </c>
      <c r="P531" s="15">
        <f t="shared" si="156"/>
        <v>0.7860987454795848</v>
      </c>
      <c r="Q531" s="7">
        <f t="shared" si="164"/>
        <v>133135562.82434645</v>
      </c>
      <c r="R531" s="7">
        <f t="shared" si="154"/>
        <v>28477863.909409255</v>
      </c>
      <c r="S531" s="13">
        <f>IF('Calc (2)'!$AD$32="Sim",R531,Q531)</f>
        <v>28477863.909409255</v>
      </c>
      <c r="T531" s="9">
        <f t="shared" si="165"/>
        <v>527</v>
      </c>
      <c r="U531" s="17">
        <f t="shared" ca="1" si="166"/>
        <v>61545</v>
      </c>
    </row>
    <row r="532" spans="2:21" x14ac:dyDescent="0.2">
      <c r="B532" s="17">
        <f t="shared" ca="1" si="157"/>
        <v>61545</v>
      </c>
      <c r="C532" s="9">
        <f t="shared" si="167"/>
        <v>528</v>
      </c>
      <c r="D532" s="9">
        <v>44</v>
      </c>
      <c r="E532" s="13">
        <f t="shared" si="158"/>
        <v>8557.1502795171982</v>
      </c>
      <c r="F532" s="14">
        <f t="shared" si="168"/>
        <v>1897471.4044433448</v>
      </c>
      <c r="G532" s="15">
        <f t="shared" si="159"/>
        <v>6.5995653611988558E-2</v>
      </c>
      <c r="H532" s="13">
        <f t="shared" si="152"/>
        <v>1732499.7257957747</v>
      </c>
      <c r="I532" s="13">
        <f t="shared" si="160"/>
        <v>132979148.2959784</v>
      </c>
      <c r="J532" s="15">
        <f t="shared" si="155"/>
        <v>0.93400434638801144</v>
      </c>
      <c r="K532" s="13">
        <f t="shared" si="161"/>
        <v>26853988.738663051</v>
      </c>
      <c r="L532" s="13">
        <f t="shared" si="169"/>
        <v>2565761219.9060884</v>
      </c>
      <c r="M532" s="15">
        <f t="shared" si="162"/>
        <v>0.93400434638801144</v>
      </c>
      <c r="N532" s="13">
        <f t="shared" si="153"/>
        <v>495645.86997425609</v>
      </c>
      <c r="O532" s="13">
        <f t="shared" si="163"/>
        <v>106125159.55731535</v>
      </c>
      <c r="P532" s="15">
        <f t="shared" si="156"/>
        <v>0.78683140037934618</v>
      </c>
      <c r="Q532" s="7">
        <f t="shared" si="164"/>
        <v>134876619.70042175</v>
      </c>
      <c r="R532" s="7">
        <f t="shared" si="154"/>
        <v>28751460.143106397</v>
      </c>
      <c r="S532" s="13">
        <f>IF('Calc (2)'!$AD$32="Sim",R532,Q532)</f>
        <v>28751460.143106397</v>
      </c>
      <c r="T532" s="9">
        <f t="shared" si="165"/>
        <v>528</v>
      </c>
      <c r="U532" s="17">
        <f t="shared" ca="1" si="166"/>
        <v>61576</v>
      </c>
    </row>
    <row r="533" spans="2:21" x14ac:dyDescent="0.2">
      <c r="B533" s="17">
        <f t="shared" ca="1" si="157"/>
        <v>61576</v>
      </c>
      <c r="C533" s="9">
        <f t="shared" si="167"/>
        <v>529</v>
      </c>
      <c r="D533" s="9"/>
      <c r="E533" s="13">
        <f t="shared" si="158"/>
        <v>8592.0131689912323</v>
      </c>
      <c r="F533" s="14">
        <f t="shared" si="168"/>
        <v>1906063.4176123361</v>
      </c>
      <c r="G533" s="15">
        <f t="shared" si="159"/>
        <v>6.566374692934307E-2</v>
      </c>
      <c r="H533" s="13">
        <f t="shared" si="152"/>
        <v>1755156.1858460093</v>
      </c>
      <c r="I533" s="13">
        <f t="shared" si="160"/>
        <v>134734304.4818244</v>
      </c>
      <c r="J533" s="15">
        <f t="shared" si="155"/>
        <v>0.93433625307065693</v>
      </c>
      <c r="K533" s="13">
        <f t="shared" si="161"/>
        <v>27121573.699461408</v>
      </c>
      <c r="L533" s="13">
        <f t="shared" si="169"/>
        <v>2592882793.6055498</v>
      </c>
      <c r="M533" s="15">
        <f t="shared" si="162"/>
        <v>0.93433625307065693</v>
      </c>
      <c r="N533" s="13">
        <f t="shared" si="153"/>
        <v>502127.30843599996</v>
      </c>
      <c r="O533" s="13">
        <f t="shared" si="163"/>
        <v>107612730.782363</v>
      </c>
      <c r="P533" s="15">
        <f t="shared" si="156"/>
        <v>0.78756177575255637</v>
      </c>
      <c r="Q533" s="7">
        <f t="shared" si="164"/>
        <v>136640367.89943674</v>
      </c>
      <c r="R533" s="7">
        <f t="shared" si="154"/>
        <v>29027637.117073745</v>
      </c>
      <c r="S533" s="13">
        <f>IF('Calc (2)'!$AD$32="Sim",R533,Q533)</f>
        <v>29027637.117073745</v>
      </c>
      <c r="T533" s="9">
        <f t="shared" si="165"/>
        <v>529</v>
      </c>
      <c r="U533" s="17">
        <f t="shared" ca="1" si="166"/>
        <v>61607</v>
      </c>
    </row>
    <row r="534" spans="2:21" x14ac:dyDescent="0.2">
      <c r="B534" s="17">
        <f t="shared" ca="1" si="157"/>
        <v>61607</v>
      </c>
      <c r="C534" s="9">
        <f t="shared" si="167"/>
        <v>530</v>
      </c>
      <c r="D534" s="9"/>
      <c r="E534" s="13">
        <f t="shared" si="158"/>
        <v>8627.0180941924391</v>
      </c>
      <c r="F534" s="14">
        <f t="shared" si="168"/>
        <v>1914690.4357065286</v>
      </c>
      <c r="G534" s="15">
        <f t="shared" si="159"/>
        <v>6.5333483310290555E-2</v>
      </c>
      <c r="H534" s="13">
        <f t="shared" si="152"/>
        <v>1778107.9292145171</v>
      </c>
      <c r="I534" s="13">
        <f t="shared" si="160"/>
        <v>136512412.41103891</v>
      </c>
      <c r="J534" s="15">
        <f t="shared" si="155"/>
        <v>0.93466651668970946</v>
      </c>
      <c r="K534" s="13">
        <f t="shared" si="161"/>
        <v>27391728.550298296</v>
      </c>
      <c r="L534" s="13">
        <f t="shared" si="169"/>
        <v>2620274522.155848</v>
      </c>
      <c r="M534" s="15">
        <f t="shared" si="162"/>
        <v>0.93466651668970935</v>
      </c>
      <c r="N534" s="13">
        <f t="shared" si="153"/>
        <v>508693.21881645895</v>
      </c>
      <c r="O534" s="13">
        <f t="shared" si="163"/>
        <v>109120683.8607406</v>
      </c>
      <c r="P534" s="15">
        <f t="shared" si="156"/>
        <v>0.78828987688595653</v>
      </c>
      <c r="Q534" s="7">
        <f t="shared" si="164"/>
        <v>138427102.84674543</v>
      </c>
      <c r="R534" s="7">
        <f t="shared" si="154"/>
        <v>29306418.986004826</v>
      </c>
      <c r="S534" s="13">
        <f>IF('Calc (2)'!$AD$32="Sim",R534,Q534)</f>
        <v>29306418.986004826</v>
      </c>
      <c r="T534" s="9">
        <f t="shared" si="165"/>
        <v>530</v>
      </c>
      <c r="U534" s="17">
        <f t="shared" ca="1" si="166"/>
        <v>61637</v>
      </c>
    </row>
    <row r="535" spans="2:21" x14ac:dyDescent="0.2">
      <c r="B535" s="17">
        <f t="shared" ca="1" si="157"/>
        <v>61637</v>
      </c>
      <c r="C535" s="9">
        <f t="shared" si="167"/>
        <v>531</v>
      </c>
      <c r="D535" s="9"/>
      <c r="E535" s="13">
        <f t="shared" si="158"/>
        <v>8662.165633791954</v>
      </c>
      <c r="F535" s="14">
        <f t="shared" si="168"/>
        <v>1923352.6013403207</v>
      </c>
      <c r="G535" s="15">
        <f t="shared" si="159"/>
        <v>6.5004854796559944E-2</v>
      </c>
      <c r="H535" s="13">
        <f t="shared" si="152"/>
        <v>1801358.8002861792</v>
      </c>
      <c r="I535" s="13">
        <f t="shared" si="160"/>
        <v>138313771.21132508</v>
      </c>
      <c r="J535" s="15">
        <f t="shared" si="155"/>
        <v>0.93499514520344007</v>
      </c>
      <c r="K535" s="13">
        <f t="shared" si="161"/>
        <v>27664477.528573368</v>
      </c>
      <c r="L535" s="13">
        <f t="shared" si="169"/>
        <v>2647938999.6844215</v>
      </c>
      <c r="M535" s="15">
        <f t="shared" si="162"/>
        <v>0.93499514520344007</v>
      </c>
      <c r="N535" s="13">
        <f t="shared" si="153"/>
        <v>515344.70087700943</v>
      </c>
      <c r="O535" s="13">
        <f t="shared" si="163"/>
        <v>110649293.68275172</v>
      </c>
      <c r="P535" s="15">
        <f t="shared" si="156"/>
        <v>0.78901570906831808</v>
      </c>
      <c r="Q535" s="7">
        <f t="shared" si="164"/>
        <v>140237123.8126654</v>
      </c>
      <c r="R535" s="7">
        <f t="shared" si="154"/>
        <v>29587830.129913688</v>
      </c>
      <c r="S535" s="13">
        <f>IF('Calc (2)'!$AD$32="Sim",R535,Q535)</f>
        <v>29587830.129913688</v>
      </c>
      <c r="T535" s="9">
        <f t="shared" si="165"/>
        <v>531</v>
      </c>
      <c r="U535" s="17">
        <f t="shared" ca="1" si="166"/>
        <v>61668</v>
      </c>
    </row>
    <row r="536" spans="2:21" x14ac:dyDescent="0.2">
      <c r="B536" s="17">
        <f t="shared" ca="1" si="157"/>
        <v>61668</v>
      </c>
      <c r="C536" s="9">
        <f t="shared" si="167"/>
        <v>532</v>
      </c>
      <c r="D536" s="9"/>
      <c r="E536" s="13">
        <f t="shared" si="158"/>
        <v>8697.456368818488</v>
      </c>
      <c r="F536" s="14">
        <f t="shared" si="168"/>
        <v>1932050.0577091391</v>
      </c>
      <c r="G536" s="15">
        <f t="shared" si="159"/>
        <v>6.4677853467424121E-2</v>
      </c>
      <c r="H536" s="13">
        <f t="shared" si="152"/>
        <v>1824912.6934805789</v>
      </c>
      <c r="I536" s="13">
        <f t="shared" si="160"/>
        <v>140138683.90480566</v>
      </c>
      <c r="J536" s="15">
        <f t="shared" si="155"/>
        <v>0.93532214653257584</v>
      </c>
      <c r="K536" s="13">
        <f t="shared" si="161"/>
        <v>27939845.098524552</v>
      </c>
      <c r="L536" s="13">
        <f t="shared" si="169"/>
        <v>2675878844.7829461</v>
      </c>
      <c r="M536" s="15">
        <f t="shared" si="162"/>
        <v>0.93532214653257584</v>
      </c>
      <c r="N536" s="13">
        <f t="shared" si="153"/>
        <v>522082.86869241239</v>
      </c>
      <c r="O536" s="13">
        <f t="shared" si="163"/>
        <v>112198838.80628109</v>
      </c>
      <c r="P536" s="15">
        <f t="shared" si="156"/>
        <v>0.78973927759030682</v>
      </c>
      <c r="Q536" s="7">
        <f t="shared" si="164"/>
        <v>142070733.96251479</v>
      </c>
      <c r="R536" s="7">
        <f t="shared" si="154"/>
        <v>29871895.156233691</v>
      </c>
      <c r="S536" s="13">
        <f>IF('Calc (2)'!$AD$32="Sim",R536,Q536)</f>
        <v>29871895.156233691</v>
      </c>
      <c r="T536" s="9">
        <f t="shared" si="165"/>
        <v>532</v>
      </c>
      <c r="U536" s="17">
        <f t="shared" ca="1" si="166"/>
        <v>61698</v>
      </c>
    </row>
    <row r="537" spans="2:21" x14ac:dyDescent="0.2">
      <c r="B537" s="17">
        <f t="shared" ca="1" si="157"/>
        <v>61698</v>
      </c>
      <c r="C537" s="9">
        <f t="shared" si="167"/>
        <v>533</v>
      </c>
      <c r="D537" s="9"/>
      <c r="E537" s="13">
        <f t="shared" si="158"/>
        <v>8732.8908826679344</v>
      </c>
      <c r="F537" s="14">
        <f t="shared" si="168"/>
        <v>1940782.9485918069</v>
      </c>
      <c r="G537" s="15">
        <f t="shared" si="159"/>
        <v>6.4352471439526188E-2</v>
      </c>
      <c r="H537" s="13">
        <f t="shared" si="152"/>
        <v>1848773.5539031366</v>
      </c>
      <c r="I537" s="13">
        <f t="shared" si="160"/>
        <v>141987457.45870879</v>
      </c>
      <c r="J537" s="15">
        <f t="shared" si="155"/>
        <v>0.93564752856047384</v>
      </c>
      <c r="K537" s="13">
        <f t="shared" si="161"/>
        <v>28217855.953343995</v>
      </c>
      <c r="L537" s="13">
        <f t="shared" si="169"/>
        <v>2704096700.73629</v>
      </c>
      <c r="M537" s="15">
        <f t="shared" si="162"/>
        <v>0.93564752856047384</v>
      </c>
      <c r="N537" s="13">
        <f t="shared" si="153"/>
        <v>528908.8508370833</v>
      </c>
      <c r="O537" s="13">
        <f t="shared" si="163"/>
        <v>113769601.50536479</v>
      </c>
      <c r="P537" s="15">
        <f t="shared" si="156"/>
        <v>0.79046058774434902</v>
      </c>
      <c r="Q537" s="7">
        <f t="shared" si="164"/>
        <v>143928240.40730059</v>
      </c>
      <c r="R537" s="7">
        <f t="shared" si="154"/>
        <v>30158638.901935801</v>
      </c>
      <c r="S537" s="13">
        <f>IF('Calc (2)'!$AD$32="Sim",R537,Q537)</f>
        <v>30158638.901935801</v>
      </c>
      <c r="T537" s="9">
        <f t="shared" si="165"/>
        <v>533</v>
      </c>
      <c r="U537" s="17">
        <f t="shared" ca="1" si="166"/>
        <v>61729</v>
      </c>
    </row>
    <row r="538" spans="2:21" x14ac:dyDescent="0.2">
      <c r="B538" s="17">
        <f t="shared" ca="1" si="157"/>
        <v>61729</v>
      </c>
      <c r="C538" s="9">
        <f t="shared" si="167"/>
        <v>534</v>
      </c>
      <c r="D538" s="9"/>
      <c r="E538" s="13">
        <f t="shared" si="158"/>
        <v>8768.4697611130177</v>
      </c>
      <c r="F538" s="14">
        <f t="shared" si="168"/>
        <v>1949551.4183529199</v>
      </c>
      <c r="G538" s="15">
        <f t="shared" si="159"/>
        <v>6.4028700866706409E-2</v>
      </c>
      <c r="H538" s="13">
        <f t="shared" si="152"/>
        <v>1872945.3780047193</v>
      </c>
      <c r="I538" s="13">
        <f t="shared" si="160"/>
        <v>143860402.83671352</v>
      </c>
      <c r="J538" s="15">
        <f t="shared" si="155"/>
        <v>0.93597129913329358</v>
      </c>
      <c r="K538" s="13">
        <f t="shared" si="161"/>
        <v>28498535.017313711</v>
      </c>
      <c r="L538" s="13">
        <f t="shared" si="169"/>
        <v>2732595235.7536035</v>
      </c>
      <c r="M538" s="15">
        <f t="shared" si="162"/>
        <v>0.93597129913329358</v>
      </c>
      <c r="N538" s="13">
        <f t="shared" si="153"/>
        <v>535823.79057378543</v>
      </c>
      <c r="O538" s="13">
        <f t="shared" si="163"/>
        <v>115361867.81939979</v>
      </c>
      <c r="P538" s="15">
        <f t="shared" si="156"/>
        <v>0.79117964482449821</v>
      </c>
      <c r="Q538" s="7">
        <f t="shared" si="164"/>
        <v>145809954.25506642</v>
      </c>
      <c r="R538" s="7">
        <f t="shared" si="154"/>
        <v>30448086.435666632</v>
      </c>
      <c r="S538" s="13">
        <f>IF('Calc (2)'!$AD$32="Sim",R538,Q538)</f>
        <v>30448086.435666632</v>
      </c>
      <c r="T538" s="9">
        <f t="shared" si="165"/>
        <v>534</v>
      </c>
      <c r="U538" s="17">
        <f t="shared" ca="1" si="166"/>
        <v>61760</v>
      </c>
    </row>
    <row r="539" spans="2:21" x14ac:dyDescent="0.2">
      <c r="B539" s="17">
        <f t="shared" ca="1" si="157"/>
        <v>61760</v>
      </c>
      <c r="C539" s="9">
        <f t="shared" si="167"/>
        <v>535</v>
      </c>
      <c r="D539" s="9"/>
      <c r="E539" s="13">
        <f t="shared" si="158"/>
        <v>8804.1935923129695</v>
      </c>
      <c r="F539" s="14">
        <f t="shared" si="168"/>
        <v>1958355.6119452328</v>
      </c>
      <c r="G539" s="15">
        <f t="shared" si="159"/>
        <v>6.3706533939830196E-2</v>
      </c>
      <c r="H539" s="13">
        <f t="shared" si="152"/>
        <v>1897432.21424983</v>
      </c>
      <c r="I539" s="13">
        <f t="shared" si="160"/>
        <v>145757835.05096334</v>
      </c>
      <c r="J539" s="15">
        <f t="shared" si="155"/>
        <v>0.93629346606016983</v>
      </c>
      <c r="K539" s="13">
        <f t="shared" si="161"/>
        <v>28781907.447961122</v>
      </c>
      <c r="L539" s="13">
        <f t="shared" si="169"/>
        <v>2761377143.2015648</v>
      </c>
      <c r="M539" s="15">
        <f t="shared" si="162"/>
        <v>0.93629346606016972</v>
      </c>
      <c r="N539" s="13">
        <f t="shared" si="153"/>
        <v>542828.84604477859</v>
      </c>
      <c r="O539" s="13">
        <f t="shared" si="163"/>
        <v>116975927.60300219</v>
      </c>
      <c r="P539" s="15">
        <f t="shared" si="156"/>
        <v>0.79189645412630294</v>
      </c>
      <c r="Q539" s="7">
        <f t="shared" si="164"/>
        <v>147716190.66290855</v>
      </c>
      <c r="R539" s="7">
        <f t="shared" si="154"/>
        <v>30740263.059906356</v>
      </c>
      <c r="S539" s="13">
        <f>IF('Calc (2)'!$AD$32="Sim",R539,Q539)</f>
        <v>30740263.059906356</v>
      </c>
      <c r="T539" s="9">
        <f t="shared" si="165"/>
        <v>535</v>
      </c>
      <c r="U539" s="17">
        <f t="shared" ca="1" si="166"/>
        <v>61788</v>
      </c>
    </row>
    <row r="540" spans="2:21" x14ac:dyDescent="0.2">
      <c r="B540" s="17">
        <f t="shared" ca="1" si="157"/>
        <v>61788</v>
      </c>
      <c r="C540" s="9">
        <f t="shared" si="167"/>
        <v>536</v>
      </c>
      <c r="D540" s="9"/>
      <c r="E540" s="13">
        <f t="shared" si="158"/>
        <v>8840.0629668232559</v>
      </c>
      <c r="F540" s="14">
        <f t="shared" si="168"/>
        <v>1967195.6749120562</v>
      </c>
      <c r="G540" s="15">
        <f t="shared" si="159"/>
        <v>6.3385962886616673E-2</v>
      </c>
      <c r="H540" s="13">
        <f t="shared" si="152"/>
        <v>1922238.1637934968</v>
      </c>
      <c r="I540" s="13">
        <f t="shared" si="160"/>
        <v>147680073.21475685</v>
      </c>
      <c r="J540" s="15">
        <f t="shared" si="155"/>
        <v>0.93661403711338331</v>
      </c>
      <c r="K540" s="13">
        <f t="shared" si="161"/>
        <v>29067998.638234686</v>
      </c>
      <c r="L540" s="13">
        <f t="shared" si="169"/>
        <v>2790445141.8397994</v>
      </c>
      <c r="M540" s="15">
        <f t="shared" si="162"/>
        <v>0.93661403711338331</v>
      </c>
      <c r="N540" s="13">
        <f t="shared" si="153"/>
        <v>549925.19046545634</v>
      </c>
      <c r="O540" s="13">
        <f t="shared" si="163"/>
        <v>118612074.57652214</v>
      </c>
      <c r="P540" s="15">
        <f t="shared" si="156"/>
        <v>0.79261102094667557</v>
      </c>
      <c r="Q540" s="7">
        <f t="shared" si="164"/>
        <v>149647268.88966888</v>
      </c>
      <c r="R540" s="7">
        <f t="shared" si="154"/>
        <v>31035194.313146744</v>
      </c>
      <c r="S540" s="13">
        <f>IF('Calc (2)'!$AD$32="Sim",R540,Q540)</f>
        <v>31035194.313146744</v>
      </c>
      <c r="T540" s="9">
        <f t="shared" si="165"/>
        <v>536</v>
      </c>
      <c r="U540" s="17">
        <f t="shared" ca="1" si="166"/>
        <v>61819</v>
      </c>
    </row>
    <row r="541" spans="2:21" x14ac:dyDescent="0.2">
      <c r="B541" s="17">
        <f t="shared" ca="1" si="157"/>
        <v>61819</v>
      </c>
      <c r="C541" s="9">
        <f t="shared" si="167"/>
        <v>537</v>
      </c>
      <c r="D541" s="9"/>
      <c r="E541" s="13">
        <f t="shared" si="158"/>
        <v>8876.0784776053388</v>
      </c>
      <c r="F541" s="14">
        <f t="shared" si="168"/>
        <v>1976071.7533896614</v>
      </c>
      <c r="G541" s="15">
        <f t="shared" si="159"/>
        <v>6.3066979971468193E-2</v>
      </c>
      <c r="H541" s="13">
        <f t="shared" si="152"/>
        <v>1947367.381166968</v>
      </c>
      <c r="I541" s="13">
        <f t="shared" si="160"/>
        <v>149627440.59592381</v>
      </c>
      <c r="J541" s="15">
        <f t="shared" si="155"/>
        <v>0.93693302002853185</v>
      </c>
      <c r="K541" s="13">
        <f t="shared" si="161"/>
        <v>29356834.218699787</v>
      </c>
      <c r="L541" s="13">
        <f t="shared" si="169"/>
        <v>2819801976.0584993</v>
      </c>
      <c r="M541" s="15">
        <f t="shared" si="162"/>
        <v>0.93693302002853185</v>
      </c>
      <c r="N541" s="13">
        <f t="shared" si="153"/>
        <v>557114.01232050126</v>
      </c>
      <c r="O541" s="13">
        <f t="shared" si="163"/>
        <v>120270606.377224</v>
      </c>
      <c r="P541" s="15">
        <f t="shared" si="156"/>
        <v>0.79332335058376147</v>
      </c>
      <c r="Q541" s="7">
        <f t="shared" si="164"/>
        <v>151603512.34931344</v>
      </c>
      <c r="R541" s="7">
        <f t="shared" si="154"/>
        <v>31332905.972089447</v>
      </c>
      <c r="S541" s="13">
        <f>IF('Calc (2)'!$AD$32="Sim",R541,Q541)</f>
        <v>31332905.972089447</v>
      </c>
      <c r="T541" s="9">
        <f t="shared" si="165"/>
        <v>537</v>
      </c>
      <c r="U541" s="17">
        <f t="shared" ca="1" si="166"/>
        <v>61849</v>
      </c>
    </row>
    <row r="542" spans="2:21" x14ac:dyDescent="0.2">
      <c r="B542" s="17">
        <f t="shared" ca="1" si="157"/>
        <v>61849</v>
      </c>
      <c r="C542" s="9">
        <f t="shared" si="167"/>
        <v>538</v>
      </c>
      <c r="D542" s="9"/>
      <c r="E542" s="13">
        <f t="shared" si="158"/>
        <v>8912.2407200364796</v>
      </c>
      <c r="F542" s="14">
        <f t="shared" si="168"/>
        <v>1984983.9941096979</v>
      </c>
      <c r="G542" s="15">
        <f t="shared" si="159"/>
        <v>6.2749577495300787E-2</v>
      </c>
      <c r="H542" s="13">
        <f t="shared" si="152"/>
        <v>1972824.0749723304</v>
      </c>
      <c r="I542" s="13">
        <f t="shared" si="160"/>
        <v>151600264.67089614</v>
      </c>
      <c r="J542" s="15">
        <f t="shared" si="155"/>
        <v>0.93725042250469925</v>
      </c>
      <c r="K542" s="13">
        <f t="shared" si="161"/>
        <v>29648440.05975505</v>
      </c>
      <c r="L542" s="13">
        <f t="shared" si="169"/>
        <v>2849450416.1182542</v>
      </c>
      <c r="M542" s="15">
        <f t="shared" si="162"/>
        <v>0.93725042250469925</v>
      </c>
      <c r="N542" s="13">
        <f t="shared" si="153"/>
        <v>564396.51556259475</v>
      </c>
      <c r="O542" s="13">
        <f t="shared" si="163"/>
        <v>121951824.61114106</v>
      </c>
      <c r="P542" s="15">
        <f t="shared" si="156"/>
        <v>0.79403344833681033</v>
      </c>
      <c r="Q542" s="7">
        <f t="shared" si="164"/>
        <v>153585248.6650058</v>
      </c>
      <c r="R542" s="7">
        <f t="shared" si="154"/>
        <v>31633424.053864747</v>
      </c>
      <c r="S542" s="13">
        <f>IF('Calc (2)'!$AD$32="Sim",R542,Q542)</f>
        <v>31633424.053864747</v>
      </c>
      <c r="T542" s="9">
        <f t="shared" si="165"/>
        <v>538</v>
      </c>
      <c r="U542" s="17">
        <f t="shared" ca="1" si="166"/>
        <v>61880</v>
      </c>
    </row>
    <row r="543" spans="2:21" x14ac:dyDescent="0.2">
      <c r="B543" s="17">
        <f t="shared" ca="1" si="157"/>
        <v>61880</v>
      </c>
      <c r="C543" s="9">
        <f t="shared" si="167"/>
        <v>539</v>
      </c>
      <c r="D543" s="9"/>
      <c r="E543" s="13">
        <f t="shared" si="158"/>
        <v>8948.5502919195787</v>
      </c>
      <c r="F543" s="14">
        <f t="shared" si="168"/>
        <v>1993932.5444016175</v>
      </c>
      <c r="G543" s="15">
        <f t="shared" si="159"/>
        <v>6.2433747795375145E-2</v>
      </c>
      <c r="H543" s="13">
        <f t="shared" si="152"/>
        <v>1998612.5085861678</v>
      </c>
      <c r="I543" s="13">
        <f t="shared" si="160"/>
        <v>153598877.17948231</v>
      </c>
      <c r="J543" s="15">
        <f t="shared" si="155"/>
        <v>0.93756625220462486</v>
      </c>
      <c r="K543" s="13">
        <f t="shared" si="161"/>
        <v>29942842.273869351</v>
      </c>
      <c r="L543" s="13">
        <f t="shared" si="169"/>
        <v>2879393258.3921237</v>
      </c>
      <c r="M543" s="15">
        <f t="shared" si="162"/>
        <v>0.93756625220462486</v>
      </c>
      <c r="N543" s="13">
        <f t="shared" si="153"/>
        <v>571773.91981371085</v>
      </c>
      <c r="O543" s="13">
        <f t="shared" si="163"/>
        <v>123656034.90561293</v>
      </c>
      <c r="P543" s="15">
        <f t="shared" si="156"/>
        <v>0.79474131950604787</v>
      </c>
      <c r="Q543" s="7">
        <f t="shared" si="164"/>
        <v>155592809.7238839</v>
      </c>
      <c r="R543" s="7">
        <f t="shared" si="154"/>
        <v>31936774.818270966</v>
      </c>
      <c r="S543" s="13">
        <f>IF('Calc (2)'!$AD$32="Sim",R543,Q543)</f>
        <v>31936774.818270966</v>
      </c>
      <c r="T543" s="9">
        <f t="shared" si="165"/>
        <v>539</v>
      </c>
      <c r="U543" s="17">
        <f t="shared" ca="1" si="166"/>
        <v>61910</v>
      </c>
    </row>
    <row r="544" spans="2:21" x14ac:dyDescent="0.2">
      <c r="B544" s="17">
        <f t="shared" ca="1" si="157"/>
        <v>61910</v>
      </c>
      <c r="C544" s="9">
        <f t="shared" si="167"/>
        <v>540</v>
      </c>
      <c r="D544" s="9">
        <v>45</v>
      </c>
      <c r="E544" s="13">
        <f t="shared" si="158"/>
        <v>8985.0077934930614</v>
      </c>
      <c r="F544" s="14">
        <f t="shared" si="168"/>
        <v>2002917.5521951106</v>
      </c>
      <c r="G544" s="15">
        <f t="shared" si="159"/>
        <v>6.2119483245128636E-2</v>
      </c>
      <c r="H544" s="13">
        <f t="shared" si="152"/>
        <v>2024737.0008723757</v>
      </c>
      <c r="I544" s="13">
        <f t="shared" si="160"/>
        <v>155623614.18035468</v>
      </c>
      <c r="J544" s="15">
        <f t="shared" si="155"/>
        <v>0.93788051675487139</v>
      </c>
      <c r="K544" s="13">
        <f t="shared" si="161"/>
        <v>30240067.217839628</v>
      </c>
      <c r="L544" s="13">
        <f t="shared" si="169"/>
        <v>2909633325.6099634</v>
      </c>
      <c r="M544" s="15">
        <f t="shared" si="162"/>
        <v>0.93788051675487139</v>
      </c>
      <c r="N544" s="13">
        <f t="shared" si="153"/>
        <v>579247.46056903154</v>
      </c>
      <c r="O544" s="13">
        <f t="shared" si="163"/>
        <v>125383546.96251503</v>
      </c>
      <c r="P544" s="15">
        <f t="shared" si="156"/>
        <v>0.79544696939254811</v>
      </c>
      <c r="Q544" s="7">
        <f t="shared" si="164"/>
        <v>157626531.73254976</v>
      </c>
      <c r="R544" s="7">
        <f t="shared" si="154"/>
        <v>32242984.770034738</v>
      </c>
      <c r="S544" s="13">
        <f>IF('Calc (2)'!$AD$32="Sim",R544,Q544)</f>
        <v>32242984.770034738</v>
      </c>
      <c r="T544" s="9">
        <f t="shared" si="165"/>
        <v>540</v>
      </c>
      <c r="U544" s="17">
        <f t="shared" ca="1" si="166"/>
        <v>61941</v>
      </c>
    </row>
    <row r="545" spans="2:21" x14ac:dyDescent="0.2">
      <c r="B545" s="17">
        <f t="shared" ca="1" si="157"/>
        <v>61941</v>
      </c>
      <c r="C545" s="9">
        <f t="shared" si="167"/>
        <v>541</v>
      </c>
      <c r="D545" s="9"/>
      <c r="E545" s="13">
        <f t="shared" si="158"/>
        <v>9021.6138274407967</v>
      </c>
      <c r="F545" s="14">
        <f t="shared" si="168"/>
        <v>2011939.1660225515</v>
      </c>
      <c r="G545" s="15">
        <f t="shared" si="159"/>
        <v>6.1806776254008024E-2</v>
      </c>
      <c r="H545" s="13">
        <f t="shared" si="152"/>
        <v>2051201.9269042511</v>
      </c>
      <c r="I545" s="13">
        <f t="shared" si="160"/>
        <v>157674816.10725895</v>
      </c>
      <c r="J545" s="15">
        <f t="shared" si="155"/>
        <v>0.93819322374599201</v>
      </c>
      <c r="K545" s="13">
        <f t="shared" si="161"/>
        <v>30540141.49506972</v>
      </c>
      <c r="L545" s="13">
        <f t="shared" si="169"/>
        <v>2940173467.1050329</v>
      </c>
      <c r="M545" s="15">
        <f t="shared" si="162"/>
        <v>0.93819322374599201</v>
      </c>
      <c r="N545" s="13">
        <f t="shared" si="153"/>
        <v>586818.38940351363</v>
      </c>
      <c r="O545" s="13">
        <f t="shared" si="163"/>
        <v>127134674.61218919</v>
      </c>
      <c r="P545" s="15">
        <f t="shared" si="156"/>
        <v>0.79615040329810727</v>
      </c>
      <c r="Q545" s="7">
        <f t="shared" si="164"/>
        <v>159686755.27328146</v>
      </c>
      <c r="R545" s="7">
        <f t="shared" si="154"/>
        <v>32552080.66109227</v>
      </c>
      <c r="S545" s="13">
        <f>IF('Calc (2)'!$AD$32="Sim",R545,Q545)</f>
        <v>32552080.66109227</v>
      </c>
      <c r="T545" s="9">
        <f t="shared" si="165"/>
        <v>541</v>
      </c>
      <c r="U545" s="17">
        <f t="shared" ca="1" si="166"/>
        <v>61972</v>
      </c>
    </row>
    <row r="546" spans="2:21" x14ac:dyDescent="0.2">
      <c r="B546" s="17">
        <f t="shared" ca="1" si="157"/>
        <v>61972</v>
      </c>
      <c r="C546" s="9">
        <f t="shared" si="167"/>
        <v>542</v>
      </c>
      <c r="D546" s="9"/>
      <c r="E546" s="13">
        <f t="shared" si="158"/>
        <v>9058.368998902064</v>
      </c>
      <c r="F546" s="14">
        <f t="shared" si="168"/>
        <v>2020997.5350214536</v>
      </c>
      <c r="G546" s="15">
        <f t="shared" si="159"/>
        <v>6.1495619267303007E-2</v>
      </c>
      <c r="H546" s="13">
        <f t="shared" si="152"/>
        <v>2078011.7186959824</v>
      </c>
      <c r="I546" s="13">
        <f t="shared" si="160"/>
        <v>159752827.82595491</v>
      </c>
      <c r="J546" s="15">
        <f t="shared" si="155"/>
        <v>0.93850438073269704</v>
      </c>
      <c r="K546" s="13">
        <f t="shared" si="161"/>
        <v>30843091.95787045</v>
      </c>
      <c r="L546" s="13">
        <f t="shared" si="169"/>
        <v>2971016559.0629034</v>
      </c>
      <c r="M546" s="15">
        <f t="shared" si="162"/>
        <v>0.93850438073269693</v>
      </c>
      <c r="N546" s="13">
        <f t="shared" si="153"/>
        <v>594487.97418114531</v>
      </c>
      <c r="O546" s="13">
        <f t="shared" si="163"/>
        <v>128909735.86808443</v>
      </c>
      <c r="P546" s="15">
        <f t="shared" si="156"/>
        <v>0.79685162652511832</v>
      </c>
      <c r="Q546" s="7">
        <f t="shared" si="164"/>
        <v>161773825.36097634</v>
      </c>
      <c r="R546" s="7">
        <f t="shared" si="154"/>
        <v>32864089.492891904</v>
      </c>
      <c r="S546" s="13">
        <f>IF('Calc (2)'!$AD$32="Sim",R546,Q546)</f>
        <v>32864089.492891904</v>
      </c>
      <c r="T546" s="9">
        <f t="shared" si="165"/>
        <v>542</v>
      </c>
      <c r="U546" s="17">
        <f t="shared" ca="1" si="166"/>
        <v>62002</v>
      </c>
    </row>
    <row r="547" spans="2:21" x14ac:dyDescent="0.2">
      <c r="B547" s="17">
        <f t="shared" ca="1" si="157"/>
        <v>62002</v>
      </c>
      <c r="C547" s="9">
        <f t="shared" si="167"/>
        <v>543</v>
      </c>
      <c r="D547" s="9"/>
      <c r="E547" s="13">
        <f t="shared" si="158"/>
        <v>9095.2739154815536</v>
      </c>
      <c r="F547" s="14">
        <f t="shared" si="168"/>
        <v>2030092.8089369352</v>
      </c>
      <c r="G547" s="15">
        <f t="shared" si="159"/>
        <v>6.1186004765980552E-2</v>
      </c>
      <c r="H547" s="13">
        <f t="shared" si="152"/>
        <v>2105170.865943653</v>
      </c>
      <c r="I547" s="13">
        <f t="shared" si="160"/>
        <v>161857998.69189855</v>
      </c>
      <c r="J547" s="15">
        <f t="shared" si="155"/>
        <v>0.93881399523401943</v>
      </c>
      <c r="K547" s="13">
        <f t="shared" si="161"/>
        <v>31148945.709781118</v>
      </c>
      <c r="L547" s="13">
        <f t="shared" si="169"/>
        <v>3002165504.7726846</v>
      </c>
      <c r="M547" s="15">
        <f t="shared" si="162"/>
        <v>0.93881399523401943</v>
      </c>
      <c r="N547" s="13">
        <f t="shared" si="153"/>
        <v>602257.49926692492</v>
      </c>
      <c r="O547" s="13">
        <f t="shared" si="163"/>
        <v>130709052.9821174</v>
      </c>
      <c r="P547" s="15">
        <f t="shared" si="156"/>
        <v>0.79755064437644685</v>
      </c>
      <c r="Q547" s="7">
        <f t="shared" si="164"/>
        <v>163888091.50083545</v>
      </c>
      <c r="R547" s="7">
        <f t="shared" si="154"/>
        <v>33179038.518718053</v>
      </c>
      <c r="S547" s="13">
        <f>IF('Calc (2)'!$AD$32="Sim",R547,Q547)</f>
        <v>33179038.518718053</v>
      </c>
      <c r="T547" s="9">
        <f t="shared" si="165"/>
        <v>543</v>
      </c>
      <c r="U547" s="17">
        <f t="shared" ca="1" si="166"/>
        <v>62033</v>
      </c>
    </row>
    <row r="548" spans="2:21" x14ac:dyDescent="0.2">
      <c r="B548" s="17">
        <f t="shared" ca="1" si="157"/>
        <v>62033</v>
      </c>
      <c r="C548" s="9">
        <f t="shared" si="167"/>
        <v>544</v>
      </c>
      <c r="D548" s="9"/>
      <c r="E548" s="13">
        <f t="shared" si="158"/>
        <v>9132.3291872594127</v>
      </c>
      <c r="F548" s="14">
        <f t="shared" si="168"/>
        <v>2039225.1381241945</v>
      </c>
      <c r="G548" s="15">
        <f t="shared" si="159"/>
        <v>6.0877925266520014E-2</v>
      </c>
      <c r="H548" s="13">
        <f t="shared" si="152"/>
        <v>2132683.9167758934</v>
      </c>
      <c r="I548" s="13">
        <f t="shared" si="160"/>
        <v>163990682.60867444</v>
      </c>
      <c r="J548" s="15">
        <f t="shared" si="155"/>
        <v>0.93912207473347997</v>
      </c>
      <c r="K548" s="13">
        <f t="shared" si="161"/>
        <v>31457730.107912615</v>
      </c>
      <c r="L548" s="13">
        <f t="shared" si="169"/>
        <v>3033623234.8805971</v>
      </c>
      <c r="M548" s="15">
        <f t="shared" si="162"/>
        <v>0.93912207473347997</v>
      </c>
      <c r="N548" s="13">
        <f t="shared" si="153"/>
        <v>610128.26574159879</v>
      </c>
      <c r="O548" s="13">
        <f t="shared" si="163"/>
        <v>132532952.50076179</v>
      </c>
      <c r="P548" s="15">
        <f t="shared" si="156"/>
        <v>0.7982474621553074</v>
      </c>
      <c r="Q548" s="7">
        <f t="shared" si="164"/>
        <v>166029907.7467986</v>
      </c>
      <c r="R548" s="7">
        <f t="shared" si="154"/>
        <v>33496955.246036809</v>
      </c>
      <c r="S548" s="13">
        <f>IF('Calc (2)'!$AD$32="Sim",R548,Q548)</f>
        <v>33496955.246036809</v>
      </c>
      <c r="T548" s="9">
        <f t="shared" si="165"/>
        <v>544</v>
      </c>
      <c r="U548" s="17">
        <f t="shared" ca="1" si="166"/>
        <v>62063</v>
      </c>
    </row>
    <row r="549" spans="2:21" x14ac:dyDescent="0.2">
      <c r="B549" s="17">
        <f t="shared" ca="1" si="157"/>
        <v>62063</v>
      </c>
      <c r="C549" s="9">
        <f t="shared" si="167"/>
        <v>545</v>
      </c>
      <c r="D549" s="9"/>
      <c r="E549" s="13">
        <f t="shared" si="158"/>
        <v>9169.5354268013325</v>
      </c>
      <c r="F549" s="14">
        <f t="shared" si="168"/>
        <v>2048394.6735509958</v>
      </c>
      <c r="G549" s="15">
        <f t="shared" si="159"/>
        <v>6.0571373320749029E-2</v>
      </c>
      <c r="H549" s="13">
        <f t="shared" si="152"/>
        <v>2160555.4785142988</v>
      </c>
      <c r="I549" s="13">
        <f t="shared" si="160"/>
        <v>166151238.08718872</v>
      </c>
      <c r="J549" s="15">
        <f t="shared" si="155"/>
        <v>0.93942862667925098</v>
      </c>
      <c r="K549" s="13">
        <f t="shared" si="161"/>
        <v>31769472.76531237</v>
      </c>
      <c r="L549" s="13">
        <f t="shared" si="169"/>
        <v>3065392707.6459093</v>
      </c>
      <c r="M549" s="15">
        <f t="shared" si="162"/>
        <v>0.93942862667925098</v>
      </c>
      <c r="N549" s="13">
        <f t="shared" si="153"/>
        <v>618101.59161919239</v>
      </c>
      <c r="O549" s="13">
        <f t="shared" si="163"/>
        <v>134381765.32187632</v>
      </c>
      <c r="P549" s="15">
        <f t="shared" si="156"/>
        <v>0.79894208516514098</v>
      </c>
      <c r="Q549" s="7">
        <f t="shared" si="164"/>
        <v>168199632.76073968</v>
      </c>
      <c r="R549" s="7">
        <f t="shared" si="154"/>
        <v>33817867.438863367</v>
      </c>
      <c r="S549" s="13">
        <f>IF('Calc (2)'!$AD$32="Sim",R549,Q549)</f>
        <v>33817867.438863367</v>
      </c>
      <c r="T549" s="9">
        <f t="shared" si="165"/>
        <v>545</v>
      </c>
      <c r="U549" s="17">
        <f t="shared" ca="1" si="166"/>
        <v>62094</v>
      </c>
    </row>
    <row r="550" spans="2:21" x14ac:dyDescent="0.2">
      <c r="B550" s="17">
        <f t="shared" ca="1" si="157"/>
        <v>62094</v>
      </c>
      <c r="C550" s="9">
        <f t="shared" si="167"/>
        <v>546</v>
      </c>
      <c r="D550" s="9"/>
      <c r="E550" s="13">
        <f t="shared" si="158"/>
        <v>9206.8932491686701</v>
      </c>
      <c r="F550" s="14">
        <f t="shared" si="168"/>
        <v>2057601.5668001645</v>
      </c>
      <c r="G550" s="15">
        <f t="shared" si="159"/>
        <v>6.0266341515680187E-2</v>
      </c>
      <c r="H550" s="13">
        <f t="shared" si="152"/>
        <v>2188790.2184437397</v>
      </c>
      <c r="I550" s="13">
        <f t="shared" si="160"/>
        <v>168340028.30563247</v>
      </c>
      <c r="J550" s="15">
        <f t="shared" si="155"/>
        <v>0.93973365848431978</v>
      </c>
      <c r="K550" s="13">
        <f t="shared" si="161"/>
        <v>32084201.553351317</v>
      </c>
      <c r="L550" s="13">
        <f t="shared" si="169"/>
        <v>3097476909.1992607</v>
      </c>
      <c r="M550" s="15">
        <f t="shared" si="162"/>
        <v>0.93973365848431978</v>
      </c>
      <c r="N550" s="13">
        <f t="shared" si="153"/>
        <v>626178.81206737459</v>
      </c>
      <c r="O550" s="13">
        <f t="shared" si="163"/>
        <v>136255826.7522811</v>
      </c>
      <c r="P550" s="15">
        <f t="shared" si="156"/>
        <v>0.79963451870949387</v>
      </c>
      <c r="Q550" s="7">
        <f t="shared" si="164"/>
        <v>170397629.87243259</v>
      </c>
      <c r="R550" s="7">
        <f t="shared" si="154"/>
        <v>34141803.120151483</v>
      </c>
      <c r="S550" s="13">
        <f>IF('Calc (2)'!$AD$32="Sim",R550,Q550)</f>
        <v>34141803.120151483</v>
      </c>
      <c r="T550" s="9">
        <f t="shared" si="165"/>
        <v>546</v>
      </c>
      <c r="U550" s="17">
        <f t="shared" ca="1" si="166"/>
        <v>62125</v>
      </c>
    </row>
    <row r="551" spans="2:21" x14ac:dyDescent="0.2">
      <c r="B551" s="17">
        <f t="shared" ca="1" si="157"/>
        <v>62125</v>
      </c>
      <c r="C551" s="9">
        <f t="shared" si="167"/>
        <v>547</v>
      </c>
      <c r="D551" s="9"/>
      <c r="E551" s="13">
        <f t="shared" si="158"/>
        <v>9244.4032719286188</v>
      </c>
      <c r="F551" s="14">
        <f t="shared" si="168"/>
        <v>2066845.9700720932</v>
      </c>
      <c r="G551" s="15">
        <f t="shared" si="159"/>
        <v>5.9962822473348477E-2</v>
      </c>
      <c r="H551" s="13">
        <f t="shared" si="152"/>
        <v>2217392.8645927031</v>
      </c>
      <c r="I551" s="13">
        <f t="shared" si="160"/>
        <v>170557421.17022517</v>
      </c>
      <c r="J551" s="15">
        <f t="shared" si="155"/>
        <v>0.9400371775266515</v>
      </c>
      <c r="K551" s="13">
        <f t="shared" si="161"/>
        <v>32401944.604133096</v>
      </c>
      <c r="L551" s="13">
        <f t="shared" si="169"/>
        <v>3129878853.8033938</v>
      </c>
      <c r="M551" s="15">
        <f t="shared" si="162"/>
        <v>0.9400371775266515</v>
      </c>
      <c r="N551" s="13">
        <f t="shared" si="153"/>
        <v>634361.27963068651</v>
      </c>
      <c r="O551" s="13">
        <f t="shared" si="163"/>
        <v>138155476.56609204</v>
      </c>
      <c r="P551" s="15">
        <f t="shared" si="156"/>
        <v>0.8003247680918969</v>
      </c>
      <c r="Q551" s="7">
        <f t="shared" si="164"/>
        <v>172624267.14029723</v>
      </c>
      <c r="R551" s="7">
        <f t="shared" si="154"/>
        <v>34468790.57420519</v>
      </c>
      <c r="S551" s="13">
        <f>IF('Calc (2)'!$AD$32="Sim",R551,Q551)</f>
        <v>34468790.57420519</v>
      </c>
      <c r="T551" s="9">
        <f t="shared" si="165"/>
        <v>547</v>
      </c>
      <c r="U551" s="17">
        <f t="shared" ca="1" si="166"/>
        <v>62153</v>
      </c>
    </row>
    <row r="552" spans="2:21" x14ac:dyDescent="0.2">
      <c r="B552" s="17">
        <f t="shared" ca="1" si="157"/>
        <v>62153</v>
      </c>
      <c r="C552" s="9">
        <f t="shared" si="167"/>
        <v>548</v>
      </c>
      <c r="D552" s="9"/>
      <c r="E552" s="13">
        <f t="shared" si="158"/>
        <v>9282.0661151644199</v>
      </c>
      <c r="F552" s="14">
        <f t="shared" si="168"/>
        <v>2076128.0361872576</v>
      </c>
      <c r="G552" s="15">
        <f t="shared" si="159"/>
        <v>5.9660808850649533E-2</v>
      </c>
      <c r="H552" s="13">
        <f t="shared" si="152"/>
        <v>2246368.2065237826</v>
      </c>
      <c r="I552" s="13">
        <f t="shared" si="160"/>
        <v>172803789.37674895</v>
      </c>
      <c r="J552" s="15">
        <f t="shared" si="155"/>
        <v>0.9403391911493505</v>
      </c>
      <c r="K552" s="13">
        <f t="shared" si="161"/>
        <v>32722730.3129257</v>
      </c>
      <c r="L552" s="13">
        <f t="shared" si="169"/>
        <v>3162601584.1163197</v>
      </c>
      <c r="M552" s="15">
        <f t="shared" si="162"/>
        <v>0.9403391911493505</v>
      </c>
      <c r="N552" s="13">
        <f t="shared" si="153"/>
        <v>642650.36445667816</v>
      </c>
      <c r="O552" s="13">
        <f t="shared" si="163"/>
        <v>140081059.06382322</v>
      </c>
      <c r="P552" s="15">
        <f t="shared" si="156"/>
        <v>0.8010128386157459</v>
      </c>
      <c r="Q552" s="7">
        <f t="shared" si="164"/>
        <v>174879917.41293618</v>
      </c>
      <c r="R552" s="7">
        <f t="shared" si="154"/>
        <v>34798858.349112958</v>
      </c>
      <c r="S552" s="13">
        <f>IF('Calc (2)'!$AD$32="Sim",R552,Q552)</f>
        <v>34798858.349112958</v>
      </c>
      <c r="T552" s="9">
        <f t="shared" si="165"/>
        <v>548</v>
      </c>
      <c r="U552" s="17">
        <f t="shared" ca="1" si="166"/>
        <v>62184</v>
      </c>
    </row>
    <row r="553" spans="2:21" x14ac:dyDescent="0.2">
      <c r="B553" s="17">
        <f t="shared" ca="1" si="157"/>
        <v>62184</v>
      </c>
      <c r="C553" s="9">
        <f t="shared" si="167"/>
        <v>549</v>
      </c>
      <c r="D553" s="9"/>
      <c r="E553" s="13">
        <f t="shared" si="158"/>
        <v>9319.8824014856073</v>
      </c>
      <c r="F553" s="14">
        <f t="shared" si="168"/>
        <v>2085447.9185887433</v>
      </c>
      <c r="G553" s="15">
        <f t="shared" si="159"/>
        <v>5.9360293339178576E-2</v>
      </c>
      <c r="H553" s="13">
        <f t="shared" si="152"/>
        <v>2275721.0961344577</v>
      </c>
      <c r="I553" s="13">
        <f t="shared" si="160"/>
        <v>175079510.4728834</v>
      </c>
      <c r="J553" s="15">
        <f t="shared" si="155"/>
        <v>0.94063970666082142</v>
      </c>
      <c r="K553" s="13">
        <f t="shared" si="161"/>
        <v>33046587.340615749</v>
      </c>
      <c r="L553" s="13">
        <f t="shared" si="169"/>
        <v>3195648171.4569354</v>
      </c>
      <c r="M553" s="15">
        <f t="shared" si="162"/>
        <v>0.94063970666082142</v>
      </c>
      <c r="N553" s="13">
        <f t="shared" si="153"/>
        <v>651047.4545249854</v>
      </c>
      <c r="O553" s="13">
        <f t="shared" si="163"/>
        <v>142032923.13226765</v>
      </c>
      <c r="P553" s="15">
        <f t="shared" si="156"/>
        <v>0.80169873558418336</v>
      </c>
      <c r="Q553" s="7">
        <f t="shared" si="164"/>
        <v>177164958.39147213</v>
      </c>
      <c r="R553" s="7">
        <f t="shared" si="154"/>
        <v>35132035.259204492</v>
      </c>
      <c r="S553" s="13">
        <f>IF('Calc (2)'!$AD$32="Sim",R553,Q553)</f>
        <v>35132035.259204492</v>
      </c>
      <c r="T553" s="9">
        <f t="shared" si="165"/>
        <v>549</v>
      </c>
      <c r="U553" s="17">
        <f t="shared" ca="1" si="166"/>
        <v>62214</v>
      </c>
    </row>
    <row r="554" spans="2:21" x14ac:dyDescent="0.2">
      <c r="B554" s="17">
        <f t="shared" ca="1" si="157"/>
        <v>62214</v>
      </c>
      <c r="C554" s="9">
        <f t="shared" si="167"/>
        <v>550</v>
      </c>
      <c r="D554" s="9"/>
      <c r="E554" s="13">
        <f t="shared" si="158"/>
        <v>9357.8527560383063</v>
      </c>
      <c r="F554" s="14">
        <f t="shared" si="168"/>
        <v>2094805.7713447816</v>
      </c>
      <c r="G554" s="15">
        <f t="shared" si="159"/>
        <v>5.9061268665070228E-2</v>
      </c>
      <c r="H554" s="13">
        <f t="shared" si="152"/>
        <v>2305456.4484682949</v>
      </c>
      <c r="I554" s="13">
        <f t="shared" si="160"/>
        <v>177384966.9213517</v>
      </c>
      <c r="J554" s="15">
        <f t="shared" si="155"/>
        <v>0.94093873133492978</v>
      </c>
      <c r="K554" s="13">
        <f t="shared" si="161"/>
        <v>33373544.616185635</v>
      </c>
      <c r="L554" s="13">
        <f t="shared" si="169"/>
        <v>3229021716.0731211</v>
      </c>
      <c r="M554" s="15">
        <f t="shared" si="162"/>
        <v>0.94093873133492978</v>
      </c>
      <c r="N554" s="13">
        <f t="shared" si="153"/>
        <v>659553.95587939036</v>
      </c>
      <c r="O554" s="13">
        <f t="shared" si="163"/>
        <v>144011422.30516607</v>
      </c>
      <c r="P554" s="15">
        <f t="shared" si="156"/>
        <v>0.80238246429998006</v>
      </c>
      <c r="Q554" s="7">
        <f t="shared" si="164"/>
        <v>179479772.69269648</v>
      </c>
      <c r="R554" s="7">
        <f t="shared" si="154"/>
        <v>35468350.387530416</v>
      </c>
      <c r="S554" s="13">
        <f>IF('Calc (2)'!$AD$32="Sim",R554,Q554)</f>
        <v>35468350.387530416</v>
      </c>
      <c r="T554" s="9">
        <f t="shared" si="165"/>
        <v>550</v>
      </c>
      <c r="U554" s="17">
        <f t="shared" ca="1" si="166"/>
        <v>62245</v>
      </c>
    </row>
    <row r="555" spans="2:21" x14ac:dyDescent="0.2">
      <c r="B555" s="17">
        <f t="shared" ca="1" si="157"/>
        <v>62245</v>
      </c>
      <c r="C555" s="9">
        <f t="shared" si="167"/>
        <v>551</v>
      </c>
      <c r="D555" s="9"/>
      <c r="E555" s="13">
        <f t="shared" si="158"/>
        <v>9395.9778065155606</v>
      </c>
      <c r="F555" s="14">
        <f t="shared" si="168"/>
        <v>2104201.7491512974</v>
      </c>
      <c r="G555" s="15">
        <f t="shared" si="159"/>
        <v>5.8763727588838952E-2</v>
      </c>
      <c r="H555" s="13">
        <f t="shared" si="152"/>
        <v>2335579.2425367022</v>
      </c>
      <c r="I555" s="13">
        <f t="shared" si="160"/>
        <v>179720546.16388839</v>
      </c>
      <c r="J555" s="15">
        <f t="shared" si="155"/>
        <v>0.94123627241116103</v>
      </c>
      <c r="K555" s="13">
        <f t="shared" si="161"/>
        <v>33703631.339213751</v>
      </c>
      <c r="L555" s="13">
        <f t="shared" si="169"/>
        <v>3262725347.4123349</v>
      </c>
      <c r="M555" s="15">
        <f t="shared" si="162"/>
        <v>0.94123627241116103</v>
      </c>
      <c r="N555" s="13">
        <f t="shared" si="153"/>
        <v>668171.29286289902</v>
      </c>
      <c r="O555" s="13">
        <f t="shared" si="163"/>
        <v>146016914.82467464</v>
      </c>
      <c r="P555" s="15">
        <f t="shared" si="156"/>
        <v>0.8030640300654196</v>
      </c>
      <c r="Q555" s="7">
        <f t="shared" si="164"/>
        <v>181824747.91303968</v>
      </c>
      <c r="R555" s="7">
        <f t="shared" si="154"/>
        <v>35807833.088365048</v>
      </c>
      <c r="S555" s="13">
        <f>IF('Calc (2)'!$AD$32="Sim",R555,Q555)</f>
        <v>35807833.088365048</v>
      </c>
      <c r="T555" s="9">
        <f t="shared" si="165"/>
        <v>551</v>
      </c>
      <c r="U555" s="17">
        <f t="shared" ca="1" si="166"/>
        <v>62275</v>
      </c>
    </row>
    <row r="556" spans="2:21" x14ac:dyDescent="0.2">
      <c r="B556" s="17">
        <f t="shared" ca="1" si="157"/>
        <v>62275</v>
      </c>
      <c r="C556" s="9">
        <f t="shared" si="167"/>
        <v>552</v>
      </c>
      <c r="D556" s="9">
        <v>46</v>
      </c>
      <c r="E556" s="13">
        <f t="shared" si="158"/>
        <v>9434.258183167718</v>
      </c>
      <c r="F556" s="14">
        <f t="shared" si="168"/>
        <v>2113636.0073344652</v>
      </c>
      <c r="G556" s="15">
        <f t="shared" si="159"/>
        <v>5.8467662905220298E-2</v>
      </c>
      <c r="H556" s="13">
        <f t="shared" si="152"/>
        <v>2366094.5221513803</v>
      </c>
      <c r="I556" s="13">
        <f t="shared" si="160"/>
        <v>182086640.68603978</v>
      </c>
      <c r="J556" s="15">
        <f t="shared" si="155"/>
        <v>0.94153233709477968</v>
      </c>
      <c r="K556" s="13">
        <f t="shared" si="161"/>
        <v>34036876.982397996</v>
      </c>
      <c r="L556" s="13">
        <f t="shared" si="169"/>
        <v>3296762224.394733</v>
      </c>
      <c r="M556" s="15">
        <f t="shared" si="162"/>
        <v>0.94153233709477979</v>
      </c>
      <c r="N556" s="13">
        <f t="shared" si="153"/>
        <v>676900.90835588076</v>
      </c>
      <c r="O556" s="13">
        <f t="shared" si="163"/>
        <v>148049763.70364177</v>
      </c>
      <c r="P556" s="15">
        <f t="shared" si="156"/>
        <v>0.80374343818218152</v>
      </c>
      <c r="Q556" s="7">
        <f t="shared" si="164"/>
        <v>184200276.69337425</v>
      </c>
      <c r="R556" s="7">
        <f t="shared" si="154"/>
        <v>36150512.989732459</v>
      </c>
      <c r="S556" s="13">
        <f>IF('Calc (2)'!$AD$32="Sim",R556,Q556)</f>
        <v>36150512.989732459</v>
      </c>
      <c r="T556" s="9">
        <f t="shared" si="165"/>
        <v>552</v>
      </c>
      <c r="U556" s="17">
        <f t="shared" ca="1" si="166"/>
        <v>62306</v>
      </c>
    </row>
    <row r="557" spans="2:21" x14ac:dyDescent="0.2">
      <c r="B557" s="17">
        <f t="shared" ca="1" si="157"/>
        <v>62306</v>
      </c>
      <c r="C557" s="9">
        <f t="shared" si="167"/>
        <v>553</v>
      </c>
      <c r="D557" s="9"/>
      <c r="E557" s="13">
        <f t="shared" si="158"/>
        <v>9472.6945188128411</v>
      </c>
      <c r="F557" s="14">
        <f t="shared" si="168"/>
        <v>2123108.7018532781</v>
      </c>
      <c r="G557" s="15">
        <f t="shared" si="159"/>
        <v>5.8173067443012989E-2</v>
      </c>
      <c r="H557" s="13">
        <f t="shared" ref="H557:H604" si="170">Q556*Taxa_2</f>
        <v>2397007.3967676056</v>
      </c>
      <c r="I557" s="13">
        <f t="shared" si="160"/>
        <v>184483648.08280739</v>
      </c>
      <c r="J557" s="15">
        <f t="shared" si="155"/>
        <v>0.94182693255698702</v>
      </c>
      <c r="K557" s="13">
        <f t="shared" si="161"/>
        <v>34373311.294102758</v>
      </c>
      <c r="L557" s="13">
        <f t="shared" si="169"/>
        <v>3331135535.6888356</v>
      </c>
      <c r="M557" s="15">
        <f t="shared" si="162"/>
        <v>0.94182693255698713</v>
      </c>
      <c r="N557" s="13">
        <f t="shared" ref="N557:N604" si="171">Q557*Inflação_2</f>
        <v>685744.26401730417</v>
      </c>
      <c r="O557" s="13">
        <f t="shared" si="163"/>
        <v>150110336.78870463</v>
      </c>
      <c r="P557" s="15">
        <f t="shared" si="156"/>
        <v>0.80442069395122728</v>
      </c>
      <c r="Q557" s="7">
        <f t="shared" si="164"/>
        <v>186606756.78466067</v>
      </c>
      <c r="R557" s="7">
        <f t="shared" ref="R557:R604" si="172">(R556+E557)*(1+((1+Taxa_2)/(1+Inflação_2)-1))</f>
        <v>36496419.995956033</v>
      </c>
      <c r="S557" s="13">
        <f>IF('Calc (2)'!$AD$32="Sim",R557,Q557)</f>
        <v>36496419.995956033</v>
      </c>
      <c r="T557" s="9">
        <f t="shared" si="165"/>
        <v>553</v>
      </c>
      <c r="U557" s="17">
        <f t="shared" ca="1" si="166"/>
        <v>62337</v>
      </c>
    </row>
    <row r="558" spans="2:21" x14ac:dyDescent="0.2">
      <c r="B558" s="17">
        <f t="shared" ca="1" si="157"/>
        <v>62337</v>
      </c>
      <c r="C558" s="9">
        <f t="shared" si="167"/>
        <v>554</v>
      </c>
      <c r="D558" s="9"/>
      <c r="E558" s="13">
        <f t="shared" si="158"/>
        <v>9511.2874488471716</v>
      </c>
      <c r="F558" s="14">
        <f t="shared" si="168"/>
        <v>2132619.9893021253</v>
      </c>
      <c r="G558" s="15">
        <f t="shared" si="159"/>
        <v>5.7879934064921569E-2</v>
      </c>
      <c r="H558" s="13">
        <f t="shared" si="170"/>
        <v>2428323.0423384844</v>
      </c>
      <c r="I558" s="13">
        <f t="shared" si="160"/>
        <v>186911971.12514588</v>
      </c>
      <c r="J558" s="15">
        <f t="shared" si="155"/>
        <v>0.94212006593507847</v>
      </c>
      <c r="K558" s="13">
        <f t="shared" si="161"/>
        <v>34712964.300929651</v>
      </c>
      <c r="L558" s="13">
        <f t="shared" si="169"/>
        <v>3365848499.9897652</v>
      </c>
      <c r="M558" s="15">
        <f t="shared" si="162"/>
        <v>0.94212006593507835</v>
      </c>
      <c r="N558" s="13">
        <f t="shared" si="171"/>
        <v>694702.84052911447</v>
      </c>
      <c r="O558" s="13">
        <f t="shared" si="163"/>
        <v>152199006.82421625</v>
      </c>
      <c r="P558" s="15">
        <f t="shared" si="156"/>
        <v>0.80509580267268599</v>
      </c>
      <c r="Q558" s="7">
        <f t="shared" si="164"/>
        <v>189044591.11444801</v>
      </c>
      <c r="R558" s="7">
        <f t="shared" si="172"/>
        <v>36845584.290231779</v>
      </c>
      <c r="S558" s="13">
        <f>IF('Calc (2)'!$AD$32="Sim",R558,Q558)</f>
        <v>36845584.290231779</v>
      </c>
      <c r="T558" s="9">
        <f t="shared" si="165"/>
        <v>554</v>
      </c>
      <c r="U558" s="17">
        <f t="shared" ca="1" si="166"/>
        <v>62367</v>
      </c>
    </row>
    <row r="559" spans="2:21" x14ac:dyDescent="0.2">
      <c r="B559" s="17">
        <f t="shared" ca="1" si="157"/>
        <v>62367</v>
      </c>
      <c r="C559" s="9">
        <f t="shared" si="167"/>
        <v>555</v>
      </c>
      <c r="D559" s="9"/>
      <c r="E559" s="13">
        <f t="shared" si="158"/>
        <v>9550.0376112556351</v>
      </c>
      <c r="F559" s="14">
        <f t="shared" si="168"/>
        <v>2142170.0269133807</v>
      </c>
      <c r="G559" s="15">
        <f t="shared" si="159"/>
        <v>5.7588255667399939E-2</v>
      </c>
      <c r="H559" s="13">
        <f t="shared" si="170"/>
        <v>2460046.7021803292</v>
      </c>
      <c r="I559" s="13">
        <f t="shared" si="160"/>
        <v>189372017.82732621</v>
      </c>
      <c r="J559" s="15">
        <f t="shared" si="155"/>
        <v>0.94241174433260011</v>
      </c>
      <c r="K559" s="13">
        <f t="shared" si="161"/>
        <v>35055866.310312212</v>
      </c>
      <c r="L559" s="13">
        <f t="shared" si="169"/>
        <v>3400904366.3000774</v>
      </c>
      <c r="M559" s="15">
        <f t="shared" si="162"/>
        <v>0.9424117443326</v>
      </c>
      <c r="N559" s="13">
        <f t="shared" si="171"/>
        <v>703778.13784378872</v>
      </c>
      <c r="O559" s="13">
        <f t="shared" si="163"/>
        <v>154316151.517014</v>
      </c>
      <c r="P559" s="15">
        <f t="shared" si="156"/>
        <v>0.80576876964574129</v>
      </c>
      <c r="Q559" s="7">
        <f t="shared" si="164"/>
        <v>191514187.85423958</v>
      </c>
      <c r="R559" s="7">
        <f t="shared" si="172"/>
        <v>37198036.337225594</v>
      </c>
      <c r="S559" s="13">
        <f>IF('Calc (2)'!$AD$32="Sim",R559,Q559)</f>
        <v>37198036.337225594</v>
      </c>
      <c r="T559" s="9">
        <f t="shared" si="165"/>
        <v>555</v>
      </c>
      <c r="U559" s="17">
        <f t="shared" ca="1" si="166"/>
        <v>62398</v>
      </c>
    </row>
    <row r="560" spans="2:21" x14ac:dyDescent="0.2">
      <c r="B560" s="17">
        <f t="shared" ca="1" si="157"/>
        <v>62398</v>
      </c>
      <c r="C560" s="9">
        <f t="shared" si="167"/>
        <v>556</v>
      </c>
      <c r="D560" s="9"/>
      <c r="E560" s="13">
        <f t="shared" si="158"/>
        <v>9588.9456466223874</v>
      </c>
      <c r="F560" s="14">
        <f t="shared" si="168"/>
        <v>2151758.9725600029</v>
      </c>
      <c r="G560" s="15">
        <f t="shared" si="159"/>
        <v>5.7298025180495586E-2</v>
      </c>
      <c r="H560" s="13">
        <f t="shared" si="170"/>
        <v>2492183.6878492897</v>
      </c>
      <c r="I560" s="13">
        <f t="shared" si="160"/>
        <v>191864201.51517549</v>
      </c>
      <c r="J560" s="15">
        <f t="shared" si="155"/>
        <v>0.94270197481950446</v>
      </c>
      <c r="K560" s="13">
        <f t="shared" si="161"/>
        <v>35402047.913134687</v>
      </c>
      <c r="L560" s="13">
        <f t="shared" si="169"/>
        <v>3436306414.213212</v>
      </c>
      <c r="M560" s="15">
        <f t="shared" si="162"/>
        <v>0.94270197481950435</v>
      </c>
      <c r="N560" s="13">
        <f t="shared" si="171"/>
        <v>712971.67543511512</v>
      </c>
      <c r="O560" s="13">
        <f t="shared" si="163"/>
        <v>156462153.6020408</v>
      </c>
      <c r="P560" s="15">
        <f t="shared" si="156"/>
        <v>0.80643960016852012</v>
      </c>
      <c r="Q560" s="7">
        <f t="shared" si="164"/>
        <v>194015960.48773548</v>
      </c>
      <c r="R560" s="7">
        <f t="shared" si="172"/>
        <v>37553806.88569469</v>
      </c>
      <c r="S560" s="13">
        <f>IF('Calc (2)'!$AD$32="Sim",R560,Q560)</f>
        <v>37553806.88569469</v>
      </c>
      <c r="T560" s="9">
        <f t="shared" si="165"/>
        <v>556</v>
      </c>
      <c r="U560" s="17">
        <f t="shared" ca="1" si="166"/>
        <v>62428</v>
      </c>
    </row>
    <row r="561" spans="2:21" x14ac:dyDescent="0.2">
      <c r="B561" s="17">
        <f t="shared" ca="1" si="157"/>
        <v>62428</v>
      </c>
      <c r="C561" s="9">
        <f t="shared" si="167"/>
        <v>557</v>
      </c>
      <c r="D561" s="9"/>
      <c r="E561" s="13">
        <f t="shared" si="158"/>
        <v>9628.0121981414031</v>
      </c>
      <c r="F561" s="14">
        <f t="shared" si="168"/>
        <v>2161386.9847581442</v>
      </c>
      <c r="G561" s="15">
        <f t="shared" si="159"/>
        <v>5.7009235567694515E-2</v>
      </c>
      <c r="H561" s="13">
        <f t="shared" si="170"/>
        <v>2524739.3800293989</v>
      </c>
      <c r="I561" s="13">
        <f t="shared" si="160"/>
        <v>194388940.8952049</v>
      </c>
      <c r="J561" s="15">
        <f t="shared" si="155"/>
        <v>0.94299076443230545</v>
      </c>
      <c r="K561" s="13">
        <f t="shared" si="161"/>
        <v>35751539.98637528</v>
      </c>
      <c r="L561" s="13">
        <f t="shared" si="169"/>
        <v>3472057954.1995873</v>
      </c>
      <c r="M561" s="15">
        <f t="shared" si="162"/>
        <v>0.94299076443230545</v>
      </c>
      <c r="N561" s="13">
        <f t="shared" si="171"/>
        <v>722284.99255223351</v>
      </c>
      <c r="O561" s="13">
        <f t="shared" si="163"/>
        <v>158637400.90882963</v>
      </c>
      <c r="P561" s="15">
        <f t="shared" si="156"/>
        <v>0.80710829953798124</v>
      </c>
      <c r="Q561" s="7">
        <f t="shared" si="164"/>
        <v>196550327.87996304</v>
      </c>
      <c r="R561" s="7">
        <f t="shared" si="172"/>
        <v>37912926.971133426</v>
      </c>
      <c r="S561" s="13">
        <f>IF('Calc (2)'!$AD$32="Sim",R561,Q561)</f>
        <v>37912926.971133426</v>
      </c>
      <c r="T561" s="9">
        <f t="shared" si="165"/>
        <v>557</v>
      </c>
      <c r="U561" s="17">
        <f t="shared" ca="1" si="166"/>
        <v>62459</v>
      </c>
    </row>
    <row r="562" spans="2:21" x14ac:dyDescent="0.2">
      <c r="B562" s="17">
        <f t="shared" ca="1" si="157"/>
        <v>62459</v>
      </c>
      <c r="C562" s="9">
        <f t="shared" si="167"/>
        <v>558</v>
      </c>
      <c r="D562" s="9"/>
      <c r="E562" s="13">
        <f t="shared" si="158"/>
        <v>9667.2379116271077</v>
      </c>
      <c r="F562" s="14">
        <f t="shared" si="168"/>
        <v>2171054.2226697714</v>
      </c>
      <c r="G562" s="15">
        <f t="shared" si="159"/>
        <v>5.6721879825766902E-2</v>
      </c>
      <c r="H562" s="13">
        <f t="shared" si="170"/>
        <v>2557719.2294321693</v>
      </c>
      <c r="I562" s="13">
        <f t="shared" si="160"/>
        <v>196946660.12463707</v>
      </c>
      <c r="J562" s="15">
        <f t="shared" si="155"/>
        <v>0.94327812017423307</v>
      </c>
      <c r="K562" s="13">
        <f t="shared" si="161"/>
        <v>36104373.695774004</v>
      </c>
      <c r="L562" s="13">
        <f t="shared" si="169"/>
        <v>3508162327.8953614</v>
      </c>
      <c r="M562" s="15">
        <f t="shared" si="162"/>
        <v>0.94327812017423307</v>
      </c>
      <c r="N562" s="13">
        <f t="shared" si="171"/>
        <v>731719.64847698295</v>
      </c>
      <c r="O562" s="13">
        <f t="shared" si="163"/>
        <v>160842286.42886308</v>
      </c>
      <c r="P562" s="15">
        <f t="shared" si="156"/>
        <v>0.80777487304980478</v>
      </c>
      <c r="Q562" s="7">
        <f t="shared" si="164"/>
        <v>199117714.34730685</v>
      </c>
      <c r="R562" s="7">
        <f t="shared" si="172"/>
        <v>38275427.918443777</v>
      </c>
      <c r="S562" s="13">
        <f>IF('Calc (2)'!$AD$32="Sim",R562,Q562)</f>
        <v>38275427.918443777</v>
      </c>
      <c r="T562" s="9">
        <f t="shared" si="165"/>
        <v>558</v>
      </c>
      <c r="U562" s="17">
        <f t="shared" ca="1" si="166"/>
        <v>62490</v>
      </c>
    </row>
    <row r="563" spans="2:21" x14ac:dyDescent="0.2">
      <c r="B563" s="17">
        <f t="shared" ca="1" si="157"/>
        <v>62490</v>
      </c>
      <c r="C563" s="9">
        <f t="shared" si="167"/>
        <v>559</v>
      </c>
      <c r="D563" s="9"/>
      <c r="E563" s="13">
        <f t="shared" si="158"/>
        <v>9706.6234355250544</v>
      </c>
      <c r="F563" s="14">
        <f t="shared" si="168"/>
        <v>2180760.8461052966</v>
      </c>
      <c r="G563" s="15">
        <f t="shared" si="159"/>
        <v>5.6435950984613563E-2</v>
      </c>
      <c r="H563" s="13">
        <f t="shared" si="170"/>
        <v>2591128.7577078971</v>
      </c>
      <c r="I563" s="13">
        <f t="shared" si="160"/>
        <v>199537788.88234496</v>
      </c>
      <c r="J563" s="15">
        <f t="shared" si="155"/>
        <v>0.94356404901538649</v>
      </c>
      <c r="K563" s="13">
        <f t="shared" si="161"/>
        <v>36460580.498525344</v>
      </c>
      <c r="L563" s="13">
        <f t="shared" si="169"/>
        <v>3544622908.3938866</v>
      </c>
      <c r="M563" s="15">
        <f t="shared" si="162"/>
        <v>0.94356404901538637</v>
      </c>
      <c r="N563" s="13">
        <f t="shared" si="171"/>
        <v>741277.22278459754</v>
      </c>
      <c r="O563" s="13">
        <f t="shared" si="163"/>
        <v>163077208.38381964</v>
      </c>
      <c r="P563" s="15">
        <f t="shared" si="156"/>
        <v>0.80843932599828383</v>
      </c>
      <c r="Q563" s="7">
        <f t="shared" si="164"/>
        <v>201718549.72845027</v>
      </c>
      <c r="R563" s="7">
        <f t="shared" si="172"/>
        <v>38641341.344630644</v>
      </c>
      <c r="S563" s="13">
        <f>IF('Calc (2)'!$AD$32="Sim",R563,Q563)</f>
        <v>38641341.344630644</v>
      </c>
      <c r="T563" s="9">
        <f t="shared" si="165"/>
        <v>559</v>
      </c>
      <c r="U563" s="17">
        <f t="shared" ca="1" si="166"/>
        <v>62518</v>
      </c>
    </row>
    <row r="564" spans="2:21" x14ac:dyDescent="0.2">
      <c r="B564" s="17">
        <f t="shared" ca="1" si="157"/>
        <v>62518</v>
      </c>
      <c r="C564" s="9">
        <f t="shared" si="167"/>
        <v>560</v>
      </c>
      <c r="D564" s="9"/>
      <c r="E564" s="13">
        <f t="shared" si="158"/>
        <v>9746.1694209226462</v>
      </c>
      <c r="F564" s="14">
        <f t="shared" si="168"/>
        <v>2190507.0155262193</v>
      </c>
      <c r="G564" s="15">
        <f t="shared" si="159"/>
        <v>5.6151442107113009E-2</v>
      </c>
      <c r="H564" s="13">
        <f t="shared" si="170"/>
        <v>2624973.5583688286</v>
      </c>
      <c r="I564" s="13">
        <f t="shared" si="160"/>
        <v>202162762.44071379</v>
      </c>
      <c r="J564" s="15">
        <f t="shared" si="155"/>
        <v>0.94384855789288702</v>
      </c>
      <c r="K564" s="13">
        <f t="shared" si="161"/>
        <v>36820192.145996042</v>
      </c>
      <c r="L564" s="13">
        <f t="shared" si="169"/>
        <v>3581443100.5398827</v>
      </c>
      <c r="M564" s="15">
        <f t="shared" si="162"/>
        <v>0.94384855789288702</v>
      </c>
      <c r="N564" s="13">
        <f t="shared" si="171"/>
        <v>750959.31560779572</v>
      </c>
      <c r="O564" s="13">
        <f t="shared" si="163"/>
        <v>165342570.29471776</v>
      </c>
      <c r="P564" s="15">
        <f t="shared" si="156"/>
        <v>0.8091016636762155</v>
      </c>
      <c r="Q564" s="7">
        <f t="shared" si="164"/>
        <v>204353269.45624003</v>
      </c>
      <c r="R564" s="7">
        <f t="shared" si="172"/>
        <v>39010699.161522262</v>
      </c>
      <c r="S564" s="13">
        <f>IF('Calc (2)'!$AD$32="Sim",R564,Q564)</f>
        <v>39010699.161522262</v>
      </c>
      <c r="T564" s="9">
        <f t="shared" si="165"/>
        <v>560</v>
      </c>
      <c r="U564" s="17">
        <f t="shared" ca="1" si="166"/>
        <v>62549</v>
      </c>
    </row>
    <row r="565" spans="2:21" x14ac:dyDescent="0.2">
      <c r="B565" s="17">
        <f t="shared" ca="1" si="157"/>
        <v>62549</v>
      </c>
      <c r="C565" s="9">
        <f t="shared" si="167"/>
        <v>561</v>
      </c>
      <c r="D565" s="9"/>
      <c r="E565" s="13">
        <f t="shared" si="158"/>
        <v>9785.8765215598942</v>
      </c>
      <c r="F565" s="14">
        <f t="shared" si="168"/>
        <v>2200292.8920477792</v>
      </c>
      <c r="G565" s="15">
        <f t="shared" si="159"/>
        <v>5.5868346288969306E-2</v>
      </c>
      <c r="H565" s="13">
        <f t="shared" si="170"/>
        <v>2659259.2977243373</v>
      </c>
      <c r="I565" s="13">
        <f t="shared" si="160"/>
        <v>204822021.73843813</v>
      </c>
      <c r="J565" s="15">
        <f t="shared" si="155"/>
        <v>0.94413165371103069</v>
      </c>
      <c r="K565" s="13">
        <f t="shared" si="161"/>
        <v>37183240.686468162</v>
      </c>
      <c r="L565" s="13">
        <f t="shared" si="169"/>
        <v>3618626341.2263508</v>
      </c>
      <c r="M565" s="15">
        <f t="shared" si="162"/>
        <v>0.94413165371103069</v>
      </c>
      <c r="N565" s="13">
        <f t="shared" si="171"/>
        <v>760767.54790430516</v>
      </c>
      <c r="O565" s="13">
        <f t="shared" si="163"/>
        <v>167638781.05196998</v>
      </c>
      <c r="P565" s="15">
        <f t="shared" si="156"/>
        <v>0.80976189137479404</v>
      </c>
      <c r="Q565" s="7">
        <f t="shared" si="164"/>
        <v>207022314.63048592</v>
      </c>
      <c r="R565" s="7">
        <f t="shared" si="172"/>
        <v>39383533.578515939</v>
      </c>
      <c r="S565" s="13">
        <f>IF('Calc (2)'!$AD$32="Sim",R565,Q565)</f>
        <v>39383533.578515939</v>
      </c>
      <c r="T565" s="9">
        <f t="shared" si="165"/>
        <v>561</v>
      </c>
      <c r="U565" s="17">
        <f t="shared" ca="1" si="166"/>
        <v>62579</v>
      </c>
    </row>
    <row r="566" spans="2:21" x14ac:dyDescent="0.2">
      <c r="B566" s="17">
        <f t="shared" ca="1" si="157"/>
        <v>62579</v>
      </c>
      <c r="C566" s="9">
        <f t="shared" si="167"/>
        <v>562</v>
      </c>
      <c r="D566" s="9"/>
      <c r="E566" s="13">
        <f t="shared" si="158"/>
        <v>9825.7453938402268</v>
      </c>
      <c r="F566" s="14">
        <f t="shared" si="168"/>
        <v>2210118.6374416193</v>
      </c>
      <c r="G566" s="15">
        <f t="shared" si="159"/>
        <v>5.5586656658560635E-2</v>
      </c>
      <c r="H566" s="13">
        <f t="shared" si="170"/>
        <v>2693991.7158282693</v>
      </c>
      <c r="I566" s="13">
        <f t="shared" si="160"/>
        <v>207516013.4542664</v>
      </c>
      <c r="J566" s="15">
        <f t="shared" si="155"/>
        <v>0.94441334334143934</v>
      </c>
      <c r="K566" s="13">
        <f t="shared" si="161"/>
        <v>37549758.467907719</v>
      </c>
      <c r="L566" s="13">
        <f t="shared" si="169"/>
        <v>3656176099.6942587</v>
      </c>
      <c r="M566" s="15">
        <f t="shared" si="162"/>
        <v>0.94441334334143934</v>
      </c>
      <c r="N566" s="13">
        <f t="shared" si="171"/>
        <v>770703.56172786956</v>
      </c>
      <c r="O566" s="13">
        <f t="shared" si="163"/>
        <v>169966254.9863587</v>
      </c>
      <c r="P566" s="15">
        <f t="shared" si="156"/>
        <v>0.81042001438350408</v>
      </c>
      <c r="Q566" s="7">
        <f t="shared" si="164"/>
        <v>209726132.09170803</v>
      </c>
      <c r="R566" s="7">
        <f t="shared" si="172"/>
        <v>39759877.10534934</v>
      </c>
      <c r="S566" s="13">
        <f>IF('Calc (2)'!$AD$32="Sim",R566,Q566)</f>
        <v>39759877.10534934</v>
      </c>
      <c r="T566" s="9">
        <f t="shared" si="165"/>
        <v>562</v>
      </c>
      <c r="U566" s="17">
        <f t="shared" ca="1" si="166"/>
        <v>62610</v>
      </c>
    </row>
    <row r="567" spans="2:21" x14ac:dyDescent="0.2">
      <c r="B567" s="17">
        <f t="shared" ca="1" si="157"/>
        <v>62610</v>
      </c>
      <c r="C567" s="9">
        <f t="shared" si="167"/>
        <v>563</v>
      </c>
      <c r="D567" s="9"/>
      <c r="E567" s="13">
        <f t="shared" si="158"/>
        <v>9865.7766968413453</v>
      </c>
      <c r="F567" s="14">
        <f t="shared" si="168"/>
        <v>2219984.4141384605</v>
      </c>
      <c r="G567" s="15">
        <f t="shared" si="159"/>
        <v>5.5306366376788527E-2</v>
      </c>
      <c r="H567" s="13">
        <f t="shared" si="170"/>
        <v>2729176.6274386216</v>
      </c>
      <c r="I567" s="13">
        <f t="shared" si="160"/>
        <v>210245190.08170503</v>
      </c>
      <c r="J567" s="15">
        <f t="shared" si="155"/>
        <v>0.94469363362321146</v>
      </c>
      <c r="K567" s="13">
        <f t="shared" si="161"/>
        <v>37919778.140759081</v>
      </c>
      <c r="L567" s="13">
        <f t="shared" si="169"/>
        <v>3694095877.8350177</v>
      </c>
      <c r="M567" s="15">
        <f t="shared" si="162"/>
        <v>0.94469363362321157</v>
      </c>
      <c r="N567" s="13">
        <f t="shared" si="171"/>
        <v>780769.02050278173</v>
      </c>
      <c r="O567" s="13">
        <f t="shared" si="163"/>
        <v>172325411.94094595</v>
      </c>
      <c r="P567" s="15">
        <f t="shared" si="156"/>
        <v>0.81107603799001515</v>
      </c>
      <c r="Q567" s="7">
        <f t="shared" si="164"/>
        <v>212465174.4958435</v>
      </c>
      <c r="R567" s="7">
        <f t="shared" si="172"/>
        <v>40139762.554897539</v>
      </c>
      <c r="S567" s="13">
        <f>IF('Calc (2)'!$AD$32="Sim",R567,Q567)</f>
        <v>40139762.554897539</v>
      </c>
      <c r="T567" s="9">
        <f t="shared" si="165"/>
        <v>563</v>
      </c>
      <c r="U567" s="17">
        <f t="shared" ca="1" si="166"/>
        <v>62640</v>
      </c>
    </row>
    <row r="568" spans="2:21" x14ac:dyDescent="0.2">
      <c r="B568" s="17">
        <f t="shared" ca="1" si="157"/>
        <v>62640</v>
      </c>
      <c r="C568" s="9">
        <f t="shared" si="167"/>
        <v>564</v>
      </c>
      <c r="D568" s="9">
        <v>47</v>
      </c>
      <c r="E568" s="13">
        <f t="shared" si="158"/>
        <v>9905.97109232611</v>
      </c>
      <c r="F568" s="14">
        <f t="shared" si="168"/>
        <v>2229890.3852307866</v>
      </c>
      <c r="G568" s="15">
        <f t="shared" si="159"/>
        <v>5.5027468636927847E-2</v>
      </c>
      <c r="H568" s="13">
        <f t="shared" si="170"/>
        <v>2764819.9229897028</v>
      </c>
      <c r="I568" s="13">
        <f t="shared" si="160"/>
        <v>213010010.00469473</v>
      </c>
      <c r="J568" s="15">
        <f t="shared" si="155"/>
        <v>0.94497253136307213</v>
      </c>
      <c r="K568" s="13">
        <f t="shared" si="161"/>
        <v>38293332.660765395</v>
      </c>
      <c r="L568" s="13">
        <f t="shared" si="169"/>
        <v>3732389210.4957829</v>
      </c>
      <c r="M568" s="15">
        <f t="shared" si="162"/>
        <v>0.94497253136307213</v>
      </c>
      <c r="N568" s="13">
        <f t="shared" si="171"/>
        <v>790965.60930198978</v>
      </c>
      <c r="O568" s="13">
        <f t="shared" si="163"/>
        <v>174716677.34392932</v>
      </c>
      <c r="P568" s="15">
        <f t="shared" si="156"/>
        <v>0.81172996748007731</v>
      </c>
      <c r="Q568" s="7">
        <f t="shared" si="164"/>
        <v>215239900.38992551</v>
      </c>
      <c r="R568" s="7">
        <f t="shared" si="172"/>
        <v>40523223.045996182</v>
      </c>
      <c r="S568" s="13">
        <f>IF('Calc (2)'!$AD$32="Sim",R568,Q568)</f>
        <v>40523223.045996182</v>
      </c>
      <c r="T568" s="9">
        <f t="shared" si="165"/>
        <v>564</v>
      </c>
      <c r="U568" s="17">
        <f t="shared" ca="1" si="166"/>
        <v>62671</v>
      </c>
    </row>
    <row r="569" spans="2:21" x14ac:dyDescent="0.2">
      <c r="B569" s="17">
        <f t="shared" ca="1" si="157"/>
        <v>62671</v>
      </c>
      <c r="C569" s="9">
        <f t="shared" si="167"/>
        <v>565</v>
      </c>
      <c r="D569" s="9"/>
      <c r="E569" s="13">
        <f t="shared" si="158"/>
        <v>9946.3292447534895</v>
      </c>
      <c r="F569" s="14">
        <f t="shared" si="168"/>
        <v>2239836.71447554</v>
      </c>
      <c r="G569" s="15">
        <f t="shared" si="159"/>
        <v>5.4749956664477413E-2</v>
      </c>
      <c r="H569" s="13">
        <f t="shared" si="170"/>
        <v>2800927.5695769479</v>
      </c>
      <c r="I569" s="13">
        <f t="shared" si="160"/>
        <v>215810937.57427168</v>
      </c>
      <c r="J569" s="15">
        <f t="shared" si="155"/>
        <v>0.94525004333552254</v>
      </c>
      <c r="K569" s="13">
        <f t="shared" si="161"/>
        <v>38670455.291815296</v>
      </c>
      <c r="L569" s="13">
        <f t="shared" si="169"/>
        <v>3771059665.7875981</v>
      </c>
      <c r="M569" s="15">
        <f t="shared" si="162"/>
        <v>0.94525004333552254</v>
      </c>
      <c r="N569" s="13">
        <f t="shared" si="171"/>
        <v>801295.03512882243</v>
      </c>
      <c r="O569" s="13">
        <f t="shared" si="163"/>
        <v>177140482.2824564</v>
      </c>
      <c r="P569" s="15">
        <f t="shared" si="156"/>
        <v>0.81238180813741756</v>
      </c>
      <c r="Q569" s="7">
        <f t="shared" si="164"/>
        <v>218050774.28874722</v>
      </c>
      <c r="R569" s="7">
        <f t="shared" si="172"/>
        <v>40910292.006290838</v>
      </c>
      <c r="S569" s="13">
        <f>IF('Calc (2)'!$AD$32="Sim",R569,Q569)</f>
        <v>40910292.006290838</v>
      </c>
      <c r="T569" s="9">
        <f t="shared" si="165"/>
        <v>565</v>
      </c>
      <c r="U569" s="17">
        <f t="shared" ca="1" si="166"/>
        <v>62702</v>
      </c>
    </row>
    <row r="570" spans="2:21" x14ac:dyDescent="0.2">
      <c r="B570" s="17">
        <f t="shared" ca="1" si="157"/>
        <v>62702</v>
      </c>
      <c r="C570" s="9">
        <f t="shared" si="167"/>
        <v>566</v>
      </c>
      <c r="D570" s="9"/>
      <c r="E570" s="13">
        <f t="shared" si="158"/>
        <v>9986.851821289536</v>
      </c>
      <c r="F570" s="14">
        <f t="shared" si="168"/>
        <v>2249823.5662968294</v>
      </c>
      <c r="G570" s="15">
        <f t="shared" si="159"/>
        <v>5.4473823717011371E-2</v>
      </c>
      <c r="H570" s="13">
        <f t="shared" si="170"/>
        <v>2837505.6119545521</v>
      </c>
      <c r="I570" s="13">
        <f t="shared" si="160"/>
        <v>218648443.18622622</v>
      </c>
      <c r="J570" s="15">
        <f t="shared" si="155"/>
        <v>0.94552617628298863</v>
      </c>
      <c r="K570" s="13">
        <f t="shared" si="161"/>
        <v>39051179.60881611</v>
      </c>
      <c r="L570" s="13">
        <f t="shared" si="169"/>
        <v>3810110845.3964143</v>
      </c>
      <c r="M570" s="15">
        <f t="shared" si="162"/>
        <v>0.94552617628298863</v>
      </c>
      <c r="N570" s="13">
        <f t="shared" si="171"/>
        <v>811759.02720237896</v>
      </c>
      <c r="O570" s="13">
        <f t="shared" si="163"/>
        <v>179597263.57741013</v>
      </c>
      <c r="P570" s="15">
        <f t="shared" si="156"/>
        <v>0.81303156524363629</v>
      </c>
      <c r="Q570" s="7">
        <f t="shared" si="164"/>
        <v>220898266.75252306</v>
      </c>
      <c r="R570" s="7">
        <f t="shared" si="172"/>
        <v>41301003.17511294</v>
      </c>
      <c r="S570" s="13">
        <f>IF('Calc (2)'!$AD$32="Sim",R570,Q570)</f>
        <v>41301003.17511294</v>
      </c>
      <c r="T570" s="9">
        <f t="shared" si="165"/>
        <v>566</v>
      </c>
      <c r="U570" s="17">
        <f t="shared" ca="1" si="166"/>
        <v>62732</v>
      </c>
    </row>
    <row r="571" spans="2:21" x14ac:dyDescent="0.2">
      <c r="B571" s="17">
        <f t="shared" ca="1" si="157"/>
        <v>62732</v>
      </c>
      <c r="C571" s="9">
        <f t="shared" si="167"/>
        <v>567</v>
      </c>
      <c r="D571" s="9"/>
      <c r="E571" s="13">
        <f t="shared" si="158"/>
        <v>10027.539491818423</v>
      </c>
      <c r="F571" s="14">
        <f t="shared" si="168"/>
        <v>2259851.1057886477</v>
      </c>
      <c r="G571" s="15">
        <f t="shared" si="159"/>
        <v>5.419906308403126E-2</v>
      </c>
      <c r="H571" s="13">
        <f t="shared" si="170"/>
        <v>2874560.1735460781</v>
      </c>
      <c r="I571" s="13">
        <f t="shared" si="160"/>
        <v>221523003.35977229</v>
      </c>
      <c r="J571" s="15">
        <f t="shared" si="155"/>
        <v>0.94580093691596878</v>
      </c>
      <c r="K571" s="13">
        <f t="shared" si="161"/>
        <v>39435539.500593819</v>
      </c>
      <c r="L571" s="13">
        <f t="shared" si="169"/>
        <v>3849546384.8970079</v>
      </c>
      <c r="M571" s="15">
        <f t="shared" si="162"/>
        <v>0.94580093691596878</v>
      </c>
      <c r="N571" s="13">
        <f t="shared" si="171"/>
        <v>822359.33724663535</v>
      </c>
      <c r="O571" s="13">
        <f t="shared" si="163"/>
        <v>182087463.85917851</v>
      </c>
      <c r="P571" s="15">
        <f t="shared" si="156"/>
        <v>0.81367924407810621</v>
      </c>
      <c r="Q571" s="7">
        <f t="shared" si="164"/>
        <v>223782854.46556097</v>
      </c>
      <c r="R571" s="7">
        <f t="shared" si="172"/>
        <v>41695390.606382467</v>
      </c>
      <c r="S571" s="13">
        <f>IF('Calc (2)'!$AD$32="Sim",R571,Q571)</f>
        <v>41695390.606382467</v>
      </c>
      <c r="T571" s="9">
        <f t="shared" si="165"/>
        <v>567</v>
      </c>
      <c r="U571" s="17">
        <f t="shared" ca="1" si="166"/>
        <v>62763</v>
      </c>
    </row>
    <row r="572" spans="2:21" x14ac:dyDescent="0.2">
      <c r="B572" s="17">
        <f t="shared" ca="1" si="157"/>
        <v>62763</v>
      </c>
      <c r="C572" s="9">
        <f t="shared" si="167"/>
        <v>568</v>
      </c>
      <c r="D572" s="9"/>
      <c r="E572" s="13">
        <f t="shared" si="158"/>
        <v>10068.392928953514</v>
      </c>
      <c r="F572" s="14">
        <f t="shared" si="168"/>
        <v>2269919.4987176009</v>
      </c>
      <c r="G572" s="15">
        <f t="shared" si="159"/>
        <v>5.3925668086818694E-2</v>
      </c>
      <c r="H572" s="13">
        <f t="shared" si="170"/>
        <v>2912097.4574682228</v>
      </c>
      <c r="I572" s="13">
        <f t="shared" si="160"/>
        <v>224435100.81724051</v>
      </c>
      <c r="J572" s="15">
        <f t="shared" si="155"/>
        <v>0.94607433191318135</v>
      </c>
      <c r="K572" s="13">
        <f t="shared" si="161"/>
        <v>39823569.172820032</v>
      </c>
      <c r="L572" s="13">
        <f t="shared" si="169"/>
        <v>3889369954.069828</v>
      </c>
      <c r="M572" s="15">
        <f t="shared" si="162"/>
        <v>0.94607433191318135</v>
      </c>
      <c r="N572" s="13">
        <f t="shared" si="171"/>
        <v>833097.73978331033</v>
      </c>
      <c r="O572" s="13">
        <f t="shared" si="163"/>
        <v>184611531.6444205</v>
      </c>
      <c r="P572" s="15">
        <f t="shared" si="156"/>
        <v>0.81432484991787102</v>
      </c>
      <c r="Q572" s="7">
        <f t="shared" si="164"/>
        <v>226705020.31595814</v>
      </c>
      <c r="R572" s="7">
        <f t="shared" si="172"/>
        <v>42093488.67153763</v>
      </c>
      <c r="S572" s="13">
        <f>IF('Calc (2)'!$AD$32="Sim",R572,Q572)</f>
        <v>42093488.67153763</v>
      </c>
      <c r="T572" s="9">
        <f t="shared" si="165"/>
        <v>568</v>
      </c>
      <c r="U572" s="17">
        <f t="shared" ca="1" si="166"/>
        <v>62793</v>
      </c>
    </row>
    <row r="573" spans="2:21" x14ac:dyDescent="0.2">
      <c r="B573" s="17">
        <f t="shared" ca="1" si="157"/>
        <v>62793</v>
      </c>
      <c r="C573" s="9">
        <f t="shared" si="167"/>
        <v>569</v>
      </c>
      <c r="D573" s="9"/>
      <c r="E573" s="13">
        <f t="shared" si="158"/>
        <v>10109.412808048481</v>
      </c>
      <c r="F573" s="14">
        <f t="shared" si="168"/>
        <v>2280028.9115256495</v>
      </c>
      <c r="G573" s="15">
        <f t="shared" si="159"/>
        <v>5.365363207828884E-2</v>
      </c>
      <c r="H573" s="13">
        <f t="shared" si="170"/>
        <v>2950123.7475679037</v>
      </c>
      <c r="I573" s="13">
        <f t="shared" si="160"/>
        <v>227385224.5648084</v>
      </c>
      <c r="J573" s="15">
        <f t="shared" si="155"/>
        <v>0.94634636792171112</v>
      </c>
      <c r="K573" s="13">
        <f t="shared" si="161"/>
        <v>40215303.150966205</v>
      </c>
      <c r="L573" s="13">
        <f t="shared" si="169"/>
        <v>3929585257.2207942</v>
      </c>
      <c r="M573" s="15">
        <f t="shared" si="162"/>
        <v>0.94634636792171112</v>
      </c>
      <c r="N573" s="13">
        <f t="shared" si="171"/>
        <v>843976.03242854483</v>
      </c>
      <c r="O573" s="13">
        <f t="shared" si="163"/>
        <v>187169921.41384223</v>
      </c>
      <c r="P573" s="15">
        <f t="shared" si="156"/>
        <v>0.81496838803754523</v>
      </c>
      <c r="Q573" s="7">
        <f t="shared" si="164"/>
        <v>229665253.4763341</v>
      </c>
      <c r="R573" s="7">
        <f t="shared" si="172"/>
        <v>42495332.062491857</v>
      </c>
      <c r="S573" s="13">
        <f>IF('Calc (2)'!$AD$32="Sim",R573,Q573)</f>
        <v>42495332.062491857</v>
      </c>
      <c r="T573" s="9">
        <f t="shared" si="165"/>
        <v>569</v>
      </c>
      <c r="U573" s="17">
        <f t="shared" ca="1" si="166"/>
        <v>62824</v>
      </c>
    </row>
    <row r="574" spans="2:21" x14ac:dyDescent="0.2">
      <c r="B574" s="17">
        <f t="shared" ca="1" si="157"/>
        <v>62824</v>
      </c>
      <c r="C574" s="9">
        <f t="shared" si="167"/>
        <v>570</v>
      </c>
      <c r="D574" s="9"/>
      <c r="E574" s="13">
        <f t="shared" si="158"/>
        <v>10150.599807208469</v>
      </c>
      <c r="F574" s="14">
        <f t="shared" si="168"/>
        <v>2290179.5113328579</v>
      </c>
      <c r="G574" s="15">
        <f t="shared" si="159"/>
        <v>5.3382948442844469E-2</v>
      </c>
      <c r="H574" s="13">
        <f t="shared" si="170"/>
        <v>2988645.4094728399</v>
      </c>
      <c r="I574" s="13">
        <f t="shared" si="160"/>
        <v>230373869.97428125</v>
      </c>
      <c r="J574" s="15">
        <f t="shared" si="155"/>
        <v>0.94661705155715548</v>
      </c>
      <c r="K574" s="13">
        <f t="shared" si="161"/>
        <v>40610776.283285439</v>
      </c>
      <c r="L574" s="13">
        <f t="shared" si="169"/>
        <v>3970196033.5040798</v>
      </c>
      <c r="M574" s="15">
        <f t="shared" si="162"/>
        <v>0.94661705155715559</v>
      </c>
      <c r="N574" s="13">
        <f t="shared" si="171"/>
        <v>854996.03619343962</v>
      </c>
      <c r="O574" s="13">
        <f t="shared" si="163"/>
        <v>189763093.69099587</v>
      </c>
      <c r="P574" s="15">
        <f t="shared" si="156"/>
        <v>0.81560986370921529</v>
      </c>
      <c r="Q574" s="7">
        <f t="shared" si="164"/>
        <v>232664049.48561415</v>
      </c>
      <c r="R574" s="7">
        <f t="shared" si="172"/>
        <v>42900955.794618294</v>
      </c>
      <c r="S574" s="13">
        <f>IF('Calc (2)'!$AD$32="Sim",R574,Q574)</f>
        <v>42900955.794618294</v>
      </c>
      <c r="T574" s="9">
        <f t="shared" si="165"/>
        <v>570</v>
      </c>
      <c r="U574" s="17">
        <f t="shared" ca="1" si="166"/>
        <v>62855</v>
      </c>
    </row>
    <row r="575" spans="2:21" x14ac:dyDescent="0.2">
      <c r="B575" s="17">
        <f t="shared" ca="1" si="157"/>
        <v>62855</v>
      </c>
      <c r="C575" s="9">
        <f t="shared" si="167"/>
        <v>571</v>
      </c>
      <c r="D575" s="9"/>
      <c r="E575" s="13">
        <f t="shared" si="158"/>
        <v>10191.954607301313</v>
      </c>
      <c r="F575" s="14">
        <f t="shared" si="168"/>
        <v>2300371.4659401593</v>
      </c>
      <c r="G575" s="15">
        <f t="shared" si="159"/>
        <v>5.3113610596230751E-2</v>
      </c>
      <c r="H575" s="13">
        <f t="shared" si="170"/>
        <v>3027668.8916558069</v>
      </c>
      <c r="I575" s="13">
        <f t="shared" si="160"/>
        <v>233401538.86593705</v>
      </c>
      <c r="J575" s="15">
        <f t="shared" si="155"/>
        <v>0.94688638940376924</v>
      </c>
      <c r="K575" s="13">
        <f t="shared" si="161"/>
        <v>41010023.743821889</v>
      </c>
      <c r="L575" s="13">
        <f t="shared" si="169"/>
        <v>4011206057.2479019</v>
      </c>
      <c r="M575" s="15">
        <f t="shared" si="162"/>
        <v>0.94688638940376912</v>
      </c>
      <c r="N575" s="13">
        <f t="shared" si="171"/>
        <v>866159.59578850644</v>
      </c>
      <c r="O575" s="13">
        <f t="shared" si="163"/>
        <v>192391515.12211519</v>
      </c>
      <c r="P575" s="15">
        <f t="shared" si="156"/>
        <v>0.81624928220234028</v>
      </c>
      <c r="Q575" s="7">
        <f t="shared" si="164"/>
        <v>235701910.33187726</v>
      </c>
      <c r="R575" s="7">
        <f t="shared" si="172"/>
        <v>43310395.209762052</v>
      </c>
      <c r="S575" s="13">
        <f>IF('Calc (2)'!$AD$32="Sim",R575,Q575)</f>
        <v>43310395.209762052</v>
      </c>
      <c r="T575" s="9">
        <f t="shared" si="165"/>
        <v>571</v>
      </c>
      <c r="U575" s="17">
        <f t="shared" ca="1" si="166"/>
        <v>62884</v>
      </c>
    </row>
    <row r="576" spans="2:21" x14ac:dyDescent="0.2">
      <c r="B576" s="17">
        <f t="shared" ca="1" si="157"/>
        <v>62884</v>
      </c>
      <c r="C576" s="9">
        <f t="shared" si="167"/>
        <v>572</v>
      </c>
      <c r="D576" s="9"/>
      <c r="E576" s="13">
        <f t="shared" si="158"/>
        <v>10233.477891968783</v>
      </c>
      <c r="F576" s="14">
        <f t="shared" si="168"/>
        <v>2310604.9438321278</v>
      </c>
      <c r="G576" s="15">
        <f t="shared" si="159"/>
        <v>5.2845611985390714E-2</v>
      </c>
      <c r="H576" s="13">
        <f t="shared" si="170"/>
        <v>3067200.7265127376</v>
      </c>
      <c r="I576" s="13">
        <f t="shared" si="160"/>
        <v>236468739.59244978</v>
      </c>
      <c r="J576" s="15">
        <f t="shared" si="155"/>
        <v>0.94715438801460927</v>
      </c>
      <c r="K576" s="13">
        <f t="shared" si="161"/>
        <v>41413081.035448417</v>
      </c>
      <c r="L576" s="13">
        <f t="shared" si="169"/>
        <v>4052619138.2833505</v>
      </c>
      <c r="M576" s="15">
        <f t="shared" si="162"/>
        <v>0.94715438801460927</v>
      </c>
      <c r="N576" s="13">
        <f t="shared" si="171"/>
        <v>877468.57993207872</v>
      </c>
      <c r="O576" s="13">
        <f t="shared" si="163"/>
        <v>195055658.55700141</v>
      </c>
      <c r="P576" s="15">
        <f t="shared" si="156"/>
        <v>0.81688664878365624</v>
      </c>
      <c r="Q576" s="7">
        <f t="shared" si="164"/>
        <v>238779344.53628197</v>
      </c>
      <c r="R576" s="7">
        <f t="shared" si="172"/>
        <v>43723685.979280546</v>
      </c>
      <c r="S576" s="13">
        <f>IF('Calc (2)'!$AD$32="Sim",R576,Q576)</f>
        <v>43723685.979280546</v>
      </c>
      <c r="T576" s="9">
        <f t="shared" si="165"/>
        <v>572</v>
      </c>
      <c r="U576" s="17">
        <f t="shared" ca="1" si="166"/>
        <v>62915</v>
      </c>
    </row>
    <row r="577" spans="2:21" x14ac:dyDescent="0.2">
      <c r="B577" s="17">
        <f t="shared" ca="1" si="157"/>
        <v>62915</v>
      </c>
      <c r="C577" s="9">
        <f t="shared" si="167"/>
        <v>573</v>
      </c>
      <c r="D577" s="9"/>
      <c r="E577" s="13">
        <f t="shared" si="158"/>
        <v>10275.170347637893</v>
      </c>
      <c r="F577" s="14">
        <f t="shared" si="168"/>
        <v>2320880.1141797658</v>
      </c>
      <c r="G577" s="15">
        <f t="shared" si="159"/>
        <v>5.2578946088321345E-2</v>
      </c>
      <c r="H577" s="13">
        <f t="shared" si="170"/>
        <v>3107247.5314548556</v>
      </c>
      <c r="I577" s="13">
        <f t="shared" si="160"/>
        <v>239575987.12390465</v>
      </c>
      <c r="J577" s="15">
        <f t="shared" si="155"/>
        <v>0.94742105391167863</v>
      </c>
      <c r="K577" s="13">
        <f t="shared" si="161"/>
        <v>41819983.992932335</v>
      </c>
      <c r="L577" s="13">
        <f t="shared" si="169"/>
        <v>4094439122.2762828</v>
      </c>
      <c r="M577" s="15">
        <f t="shared" si="162"/>
        <v>0.94742105391167863</v>
      </c>
      <c r="N577" s="13">
        <f t="shared" si="171"/>
        <v>888924.88166273781</v>
      </c>
      <c r="O577" s="13">
        <f t="shared" si="163"/>
        <v>197756003.13097236</v>
      </c>
      <c r="P577" s="15">
        <f t="shared" si="156"/>
        <v>0.81752196871707761</v>
      </c>
      <c r="Q577" s="7">
        <f t="shared" si="164"/>
        <v>241896867.23808447</v>
      </c>
      <c r="R577" s="7">
        <f t="shared" si="172"/>
        <v>44140864.107112102</v>
      </c>
      <c r="S577" s="13">
        <f>IF('Calc (2)'!$AD$32="Sim",R577,Q577)</f>
        <v>44140864.107112102</v>
      </c>
      <c r="T577" s="9">
        <f t="shared" si="165"/>
        <v>573</v>
      </c>
      <c r="U577" s="17">
        <f t="shared" ca="1" si="166"/>
        <v>62945</v>
      </c>
    </row>
    <row r="578" spans="2:21" x14ac:dyDescent="0.2">
      <c r="B578" s="17">
        <f t="shared" ca="1" si="157"/>
        <v>62945</v>
      </c>
      <c r="C578" s="9">
        <f t="shared" si="167"/>
        <v>574</v>
      </c>
      <c r="D578" s="9"/>
      <c r="E578" s="13">
        <f t="shared" si="158"/>
        <v>10317.032663532244</v>
      </c>
      <c r="F578" s="14">
        <f t="shared" si="168"/>
        <v>2331197.1468432979</v>
      </c>
      <c r="G578" s="15">
        <f t="shared" si="159"/>
        <v>5.2313606413930396E-2</v>
      </c>
      <c r="H578" s="13">
        <f t="shared" si="170"/>
        <v>3147816.0100150197</v>
      </c>
      <c r="I578" s="13">
        <f t="shared" si="160"/>
        <v>242723803.13391966</v>
      </c>
      <c r="J578" s="15">
        <f t="shared" si="155"/>
        <v>0.94768639358606965</v>
      </c>
      <c r="K578" s="13">
        <f t="shared" si="161"/>
        <v>42230768.786029801</v>
      </c>
      <c r="L578" s="13">
        <f t="shared" si="169"/>
        <v>4136669891.0623126</v>
      </c>
      <c r="M578" s="15">
        <f t="shared" si="162"/>
        <v>0.94768639358606954</v>
      </c>
      <c r="N578" s="13">
        <f t="shared" si="171"/>
        <v>900530.41865580319</v>
      </c>
      <c r="O578" s="13">
        <f t="shared" si="163"/>
        <v>200493034.3478899</v>
      </c>
      <c r="P578" s="15">
        <f t="shared" si="156"/>
        <v>0.81815524726360278</v>
      </c>
      <c r="Q578" s="7">
        <f t="shared" si="164"/>
        <v>245055000.280763</v>
      </c>
      <c r="R578" s="7">
        <f t="shared" si="172"/>
        <v>44561965.9328731</v>
      </c>
      <c r="S578" s="13">
        <f>IF('Calc (2)'!$AD$32="Sim",R578,Q578)</f>
        <v>44561965.9328731</v>
      </c>
      <c r="T578" s="9">
        <f t="shared" si="165"/>
        <v>574</v>
      </c>
      <c r="U578" s="17">
        <f t="shared" ca="1" si="166"/>
        <v>62976</v>
      </c>
    </row>
    <row r="579" spans="2:21" x14ac:dyDescent="0.2">
      <c r="B579" s="17">
        <f t="shared" ca="1" si="157"/>
        <v>62976</v>
      </c>
      <c r="C579" s="9">
        <f t="shared" si="167"/>
        <v>575</v>
      </c>
      <c r="D579" s="9"/>
      <c r="E579" s="13">
        <f t="shared" si="158"/>
        <v>10359.065531683416</v>
      </c>
      <c r="F579" s="14">
        <f t="shared" si="168"/>
        <v>2341556.2123749815</v>
      </c>
      <c r="G579" s="15">
        <f t="shared" si="159"/>
        <v>5.2049586501893806E-2</v>
      </c>
      <c r="H579" s="13">
        <f t="shared" si="170"/>
        <v>3188912.9529684661</v>
      </c>
      <c r="I579" s="13">
        <f t="shared" si="160"/>
        <v>245912716.08688813</v>
      </c>
      <c r="J579" s="15">
        <f t="shared" si="155"/>
        <v>0.94795041349810616</v>
      </c>
      <c r="K579" s="13">
        <f t="shared" si="161"/>
        <v>42645471.922609046</v>
      </c>
      <c r="L579" s="13">
        <f t="shared" si="169"/>
        <v>4179315362.9849215</v>
      </c>
      <c r="M579" s="15">
        <f t="shared" si="162"/>
        <v>0.94795041349810627</v>
      </c>
      <c r="N579" s="13">
        <f t="shared" si="171"/>
        <v>912287.13354394212</v>
      </c>
      <c r="O579" s="13">
        <f t="shared" si="163"/>
        <v>203267244.16427913</v>
      </c>
      <c r="P579" s="15">
        <f t="shared" si="156"/>
        <v>0.81878648968121892</v>
      </c>
      <c r="Q579" s="7">
        <f t="shared" si="164"/>
        <v>248254272.29926315</v>
      </c>
      <c r="R579" s="7">
        <f t="shared" si="172"/>
        <v>44987028.134984024</v>
      </c>
      <c r="S579" s="13">
        <f>IF('Calc (2)'!$AD$32="Sim",R579,Q579)</f>
        <v>44987028.134984024</v>
      </c>
      <c r="T579" s="9">
        <f t="shared" si="165"/>
        <v>575</v>
      </c>
      <c r="U579" s="17">
        <f t="shared" ca="1" si="166"/>
        <v>63006</v>
      </c>
    </row>
    <row r="580" spans="2:21" x14ac:dyDescent="0.2">
      <c r="B580" s="17">
        <f t="shared" ca="1" si="157"/>
        <v>63006</v>
      </c>
      <c r="C580" s="9">
        <f t="shared" si="167"/>
        <v>576</v>
      </c>
      <c r="D580" s="9">
        <v>48</v>
      </c>
      <c r="E580" s="13">
        <f t="shared" si="158"/>
        <v>10401.269646942419</v>
      </c>
      <c r="F580" s="14">
        <f t="shared" si="168"/>
        <v>2351957.4820219241</v>
      </c>
      <c r="G580" s="15">
        <f t="shared" si="159"/>
        <v>5.1786879922513865E-2</v>
      </c>
      <c r="H580" s="13">
        <f t="shared" si="170"/>
        <v>3230545.2394681331</v>
      </c>
      <c r="I580" s="13">
        <f t="shared" si="160"/>
        <v>249143261.32635626</v>
      </c>
      <c r="J580" s="15">
        <f t="shared" si="155"/>
        <v>0.94821312007748615</v>
      </c>
      <c r="K580" s="13">
        <f t="shared" si="161"/>
        <v>43064130.251802579</v>
      </c>
      <c r="L580" s="13">
        <f t="shared" si="169"/>
        <v>4222379493.2367239</v>
      </c>
      <c r="M580" s="15">
        <f t="shared" si="162"/>
        <v>0.94821312007748626</v>
      </c>
      <c r="N580" s="13">
        <f t="shared" si="171"/>
        <v>924196.99424195115</v>
      </c>
      <c r="O580" s="13">
        <f t="shared" si="163"/>
        <v>206079131.07455373</v>
      </c>
      <c r="P580" s="15">
        <f t="shared" si="156"/>
        <v>0.81941570122480789</v>
      </c>
      <c r="Q580" s="7">
        <f t="shared" si="164"/>
        <v>251495218.80837822</v>
      </c>
      <c r="R580" s="7">
        <f t="shared" si="172"/>
        <v>45416087.733824499</v>
      </c>
      <c r="S580" s="13">
        <f>IF('Calc (2)'!$AD$32="Sim",R580,Q580)</f>
        <v>45416087.733824499</v>
      </c>
      <c r="T580" s="9">
        <f t="shared" si="165"/>
        <v>576</v>
      </c>
      <c r="U580" s="17">
        <f t="shared" ca="1" si="166"/>
        <v>63037</v>
      </c>
    </row>
    <row r="581" spans="2:21" x14ac:dyDescent="0.2">
      <c r="B581" s="17">
        <f t="shared" ca="1" si="157"/>
        <v>63037</v>
      </c>
      <c r="C581" s="9">
        <f t="shared" si="167"/>
        <v>577</v>
      </c>
      <c r="D581" s="9"/>
      <c r="E581" s="13">
        <f t="shared" si="158"/>
        <v>10443.645706991167</v>
      </c>
      <c r="F581" s="14">
        <f t="shared" si="168"/>
        <v>2362401.1277289153</v>
      </c>
      <c r="G581" s="15">
        <f t="shared" si="159"/>
        <v>5.1525480276577898E-2</v>
      </c>
      <c r="H581" s="13">
        <f t="shared" si="170"/>
        <v>3272719.8381947614</v>
      </c>
      <c r="I581" s="13">
        <f t="shared" si="160"/>
        <v>252415981.16455102</v>
      </c>
      <c r="J581" s="15">
        <f t="shared" ref="J581:J604" si="173">1-G581</f>
        <v>0.94847451972342212</v>
      </c>
      <c r="K581" s="13">
        <f t="shared" si="161"/>
        <v>43486780.96718888</v>
      </c>
      <c r="L581" s="13">
        <f t="shared" si="169"/>
        <v>4265866274.2039127</v>
      </c>
      <c r="M581" s="15">
        <f t="shared" si="162"/>
        <v>0.94847451972342212</v>
      </c>
      <c r="N581" s="13">
        <f t="shared" si="171"/>
        <v>936261.99427576421</v>
      </c>
      <c r="O581" s="13">
        <f t="shared" si="163"/>
        <v>208929200.19736215</v>
      </c>
      <c r="P581" s="15">
        <f t="shared" ref="P581:P604" si="174">O581/Q581</f>
        <v>0.82004288714605333</v>
      </c>
      <c r="Q581" s="7">
        <f t="shared" si="164"/>
        <v>254778382.29227996</v>
      </c>
      <c r="R581" s="7">
        <f t="shared" si="172"/>
        <v>45849182.094917797</v>
      </c>
      <c r="S581" s="13">
        <f>IF('Calc (2)'!$AD$32="Sim",R581,Q581)</f>
        <v>45849182.094917797</v>
      </c>
      <c r="T581" s="9">
        <f t="shared" si="165"/>
        <v>577</v>
      </c>
      <c r="U581" s="17">
        <f t="shared" ca="1" si="166"/>
        <v>63068</v>
      </c>
    </row>
    <row r="582" spans="2:21" x14ac:dyDescent="0.2">
      <c r="B582" s="17">
        <f t="shared" ref="B582:B604" ca="1" si="175">DATE(YEAR(B581),MONTH(B581)+1,1)</f>
        <v>63068</v>
      </c>
      <c r="C582" s="9">
        <f t="shared" si="167"/>
        <v>578</v>
      </c>
      <c r="D582" s="9"/>
      <c r="E582" s="13">
        <f t="shared" ref="E582:E604" si="176">IF($AE$33,IF($AE$34,$E581*(1+Inflação_2)*(1+Crescimento_Salário_2),$E581*(1+Inflação_2)),IF($AE$34,$E581*(1+Crescimento_Salário_2),$E581))</f>
        <v>10486.194412354016</v>
      </c>
      <c r="F582" s="14">
        <f t="shared" si="168"/>
        <v>2372887.3221412692</v>
      </c>
      <c r="G582" s="15">
        <f t="shared" ref="G582:G604" si="177">IF(F582&lt;=0,0,F582/S582)</f>
        <v>5.1265381195217744E-2</v>
      </c>
      <c r="H582" s="13">
        <f t="shared" si="170"/>
        <v>3315443.8085219618</v>
      </c>
      <c r="I582" s="13">
        <f t="shared" ref="I582:I604" si="178">I581+H582</f>
        <v>255731424.97307298</v>
      </c>
      <c r="J582" s="15">
        <f t="shared" si="173"/>
        <v>0.94873461880478227</v>
      </c>
      <c r="K582" s="13">
        <f t="shared" ref="K582:K604" si="179">R582-F582</f>
        <v>43913461.610003658</v>
      </c>
      <c r="L582" s="13">
        <f t="shared" si="169"/>
        <v>4309779735.8139162</v>
      </c>
      <c r="M582" s="15">
        <f t="shared" ref="M582:M604" si="180">K582/R582</f>
        <v>0.94873461880478227</v>
      </c>
      <c r="N582" s="13">
        <f t="shared" si="171"/>
        <v>948484.15311574226</v>
      </c>
      <c r="O582" s="13">
        <f t="shared" ref="O582:O604" si="181">Q582-R582</f>
        <v>211817963.36306936</v>
      </c>
      <c r="P582" s="15">
        <f t="shared" si="174"/>
        <v>0.82066805269334842</v>
      </c>
      <c r="Q582" s="7">
        <f t="shared" ref="Q582:Q604" si="182">Q581+E582+H582</f>
        <v>258104312.29521427</v>
      </c>
      <c r="R582" s="7">
        <f t="shared" si="172"/>
        <v>46286348.932144925</v>
      </c>
      <c r="S582" s="13">
        <f>IF('Calc (2)'!$AD$32="Sim",R582,Q582)</f>
        <v>46286348.932144925</v>
      </c>
      <c r="T582" s="9">
        <f t="shared" ref="T582:T604" si="183">C582</f>
        <v>578</v>
      </c>
      <c r="U582" s="17">
        <f t="shared" ref="U582:U604" ca="1" si="184">DATE(YEAR(U581),MONTH(U581)+1,1)</f>
        <v>63098</v>
      </c>
    </row>
    <row r="583" spans="2:21" x14ac:dyDescent="0.2">
      <c r="B583" s="17">
        <f t="shared" ca="1" si="175"/>
        <v>63098</v>
      </c>
      <c r="C583" s="9">
        <f t="shared" ref="C583:C604" si="185">C582+1</f>
        <v>579</v>
      </c>
      <c r="D583" s="9"/>
      <c r="E583" s="13">
        <f t="shared" si="176"/>
        <v>10528.916466409348</v>
      </c>
      <c r="F583" s="14">
        <f t="shared" ref="F583:F604" si="186">F582+E583</f>
        <v>2383416.2386076786</v>
      </c>
      <c r="G583" s="15">
        <f t="shared" si="177"/>
        <v>5.10065763397698E-2</v>
      </c>
      <c r="H583" s="13">
        <f t="shared" si="170"/>
        <v>3358724.3016964411</v>
      </c>
      <c r="I583" s="13">
        <f t="shared" si="178"/>
        <v>259090149.27476943</v>
      </c>
      <c r="J583" s="15">
        <f t="shared" si="173"/>
        <v>0.94899342366023021</v>
      </c>
      <c r="K583" s="13">
        <f t="shared" si="179"/>
        <v>44344210.072380975</v>
      </c>
      <c r="L583" s="13">
        <f t="shared" ref="L583:L604" si="187">L582+K583</f>
        <v>4354123945.8862972</v>
      </c>
      <c r="M583" s="15">
        <f t="shared" si="180"/>
        <v>0.94899342366023032</v>
      </c>
      <c r="N583" s="13">
        <f t="shared" si="171"/>
        <v>960865.5165142992</v>
      </c>
      <c r="O583" s="13">
        <f t="shared" si="181"/>
        <v>214745939.20238847</v>
      </c>
      <c r="P583" s="15">
        <f t="shared" si="174"/>
        <v>0.821291203111704</v>
      </c>
      <c r="Q583" s="7">
        <f t="shared" si="182"/>
        <v>261473565.51337713</v>
      </c>
      <c r="R583" s="7">
        <f t="shared" si="172"/>
        <v>46727626.31098865</v>
      </c>
      <c r="S583" s="13">
        <f>IF('Calc (2)'!$AD$32="Sim",R583,Q583)</f>
        <v>46727626.31098865</v>
      </c>
      <c r="T583" s="9">
        <f t="shared" si="183"/>
        <v>579</v>
      </c>
      <c r="U583" s="17">
        <f t="shared" ca="1" si="184"/>
        <v>63129</v>
      </c>
    </row>
    <row r="584" spans="2:21" x14ac:dyDescent="0.2">
      <c r="B584" s="17">
        <f t="shared" ca="1" si="175"/>
        <v>63129</v>
      </c>
      <c r="C584" s="9">
        <f t="shared" si="185"/>
        <v>580</v>
      </c>
      <c r="D584" s="9"/>
      <c r="E584" s="13">
        <f t="shared" si="176"/>
        <v>10571.812575401193</v>
      </c>
      <c r="F584" s="14">
        <f t="shared" si="186"/>
        <v>2393988.0511830798</v>
      </c>
      <c r="G584" s="15">
        <f t="shared" si="177"/>
        <v>5.0749059401635759E-2</v>
      </c>
      <c r="H584" s="13">
        <f t="shared" si="170"/>
        <v>3402568.5620335918</v>
      </c>
      <c r="I584" s="13">
        <f t="shared" si="178"/>
        <v>262492717.83680302</v>
      </c>
      <c r="J584" s="15">
        <f t="shared" si="173"/>
        <v>0.94925094059836423</v>
      </c>
      <c r="K584" s="13">
        <f t="shared" si="179"/>
        <v>44779064.600624613</v>
      </c>
      <c r="L584" s="13">
        <f t="shared" si="187"/>
        <v>4398903010.4869223</v>
      </c>
      <c r="M584" s="15">
        <f t="shared" si="180"/>
        <v>0.94925094059836423</v>
      </c>
      <c r="N584" s="13">
        <f t="shared" si="171"/>
        <v>973408.15684792295</v>
      </c>
      <c r="O584" s="13">
        <f t="shared" si="181"/>
        <v>217713653.23617843</v>
      </c>
      <c r="P584" s="15">
        <f t="shared" si="174"/>
        <v>0.82191234364265908</v>
      </c>
      <c r="Q584" s="7">
        <f t="shared" si="182"/>
        <v>264886705.88798612</v>
      </c>
      <c r="R584" s="7">
        <f t="shared" si="172"/>
        <v>47173052.651807696</v>
      </c>
      <c r="S584" s="13">
        <f>IF('Calc (2)'!$AD$32="Sim",R584,Q584)</f>
        <v>47173052.651807696</v>
      </c>
      <c r="T584" s="9">
        <f t="shared" si="183"/>
        <v>580</v>
      </c>
      <c r="U584" s="17">
        <f t="shared" ca="1" si="184"/>
        <v>63159</v>
      </c>
    </row>
    <row r="585" spans="2:21" x14ac:dyDescent="0.2">
      <c r="B585" s="17">
        <f t="shared" ca="1" si="175"/>
        <v>63159</v>
      </c>
      <c r="C585" s="9">
        <f t="shared" si="185"/>
        <v>581</v>
      </c>
      <c r="D585" s="9"/>
      <c r="E585" s="13">
        <f t="shared" si="176"/>
        <v>10614.883448450908</v>
      </c>
      <c r="F585" s="14">
        <f t="shared" si="186"/>
        <v>2404602.9346315307</v>
      </c>
      <c r="G585" s="15">
        <f t="shared" si="177"/>
        <v>5.0492824102143896E-2</v>
      </c>
      <c r="H585" s="13">
        <f t="shared" si="170"/>
        <v>3446983.9281286318</v>
      </c>
      <c r="I585" s="13">
        <f t="shared" si="178"/>
        <v>265939701.76493165</v>
      </c>
      <c r="J585" s="15">
        <f t="shared" si="173"/>
        <v>0.94950717589785616</v>
      </c>
      <c r="K585" s="13">
        <f t="shared" si="179"/>
        <v>45218063.798509911</v>
      </c>
      <c r="L585" s="13">
        <f t="shared" si="187"/>
        <v>4444121074.2854319</v>
      </c>
      <c r="M585" s="15">
        <f t="shared" si="180"/>
        <v>0.94950717589785605</v>
      </c>
      <c r="N585" s="13">
        <f t="shared" si="171"/>
        <v>986114.17346364562</v>
      </c>
      <c r="O585" s="13">
        <f t="shared" si="181"/>
        <v>220721637.96642175</v>
      </c>
      <c r="P585" s="15">
        <f t="shared" si="174"/>
        <v>0.82253147952418992</v>
      </c>
      <c r="Q585" s="7">
        <f t="shared" si="182"/>
        <v>268344304.69956321</v>
      </c>
      <c r="R585" s="7">
        <f t="shared" si="172"/>
        <v>47622666.733141445</v>
      </c>
      <c r="S585" s="13">
        <f>IF('Calc (2)'!$AD$32="Sim",R585,Q585)</f>
        <v>47622666.733141445</v>
      </c>
      <c r="T585" s="9">
        <f t="shared" si="183"/>
        <v>581</v>
      </c>
      <c r="U585" s="17">
        <f t="shared" ca="1" si="184"/>
        <v>63190</v>
      </c>
    </row>
    <row r="586" spans="2:21" x14ac:dyDescent="0.2">
      <c r="B586" s="17">
        <f t="shared" ca="1" si="175"/>
        <v>63190</v>
      </c>
      <c r="C586" s="9">
        <f t="shared" si="185"/>
        <v>582</v>
      </c>
      <c r="D586" s="9"/>
      <c r="E586" s="13">
        <f t="shared" si="176"/>
        <v>10658.129797568898</v>
      </c>
      <c r="F586" s="14">
        <f t="shared" si="186"/>
        <v>2415261.0644290997</v>
      </c>
      <c r="G586" s="15">
        <f t="shared" si="177"/>
        <v>5.0237864192411157E-2</v>
      </c>
      <c r="H586" s="13">
        <f t="shared" si="170"/>
        <v>3491977.8340835152</v>
      </c>
      <c r="I586" s="13">
        <f t="shared" si="178"/>
        <v>269431679.59901518</v>
      </c>
      <c r="J586" s="15">
        <f t="shared" si="173"/>
        <v>0.94976213580758884</v>
      </c>
      <c r="K586" s="13">
        <f t="shared" si="179"/>
        <v>45661246.630616285</v>
      </c>
      <c r="L586" s="13">
        <f t="shared" si="187"/>
        <v>4489782320.916048</v>
      </c>
      <c r="M586" s="15">
        <f t="shared" si="180"/>
        <v>0.94976213580758895</v>
      </c>
      <c r="N586" s="13">
        <f t="shared" si="171"/>
        <v>998985.69303002406</v>
      </c>
      <c r="O586" s="13">
        <f t="shared" si="181"/>
        <v>223770432.9683989</v>
      </c>
      <c r="P586" s="15">
        <f t="shared" si="174"/>
        <v>0.82314861599062195</v>
      </c>
      <c r="Q586" s="7">
        <f t="shared" si="182"/>
        <v>271846940.66344428</v>
      </c>
      <c r="R586" s="7">
        <f t="shared" si="172"/>
        <v>48076507.695045382</v>
      </c>
      <c r="S586" s="13">
        <f>IF('Calc (2)'!$AD$32="Sim",R586,Q586)</f>
        <v>48076507.695045382</v>
      </c>
      <c r="T586" s="9">
        <f t="shared" si="183"/>
        <v>582</v>
      </c>
      <c r="U586" s="17">
        <f t="shared" ca="1" si="184"/>
        <v>63221</v>
      </c>
    </row>
    <row r="587" spans="2:21" x14ac:dyDescent="0.2">
      <c r="B587" s="17">
        <f t="shared" ca="1" si="175"/>
        <v>63221</v>
      </c>
      <c r="C587" s="9">
        <f t="shared" si="185"/>
        <v>583</v>
      </c>
      <c r="D587" s="9"/>
      <c r="E587" s="13">
        <f t="shared" si="176"/>
        <v>10701.552337666384</v>
      </c>
      <c r="F587" s="14">
        <f t="shared" si="186"/>
        <v>2425962.6167667662</v>
      </c>
      <c r="G587" s="15">
        <f t="shared" si="177"/>
        <v>4.9984173453205702E-2</v>
      </c>
      <c r="H587" s="13">
        <f t="shared" si="170"/>
        <v>3537557.8107497995</v>
      </c>
      <c r="I587" s="13">
        <f t="shared" si="178"/>
        <v>272969237.40976501</v>
      </c>
      <c r="J587" s="15">
        <f t="shared" si="173"/>
        <v>0.95001582654679428</v>
      </c>
      <c r="K587" s="13">
        <f t="shared" si="179"/>
        <v>46108652.425690815</v>
      </c>
      <c r="L587" s="13">
        <f t="shared" si="187"/>
        <v>4535890973.3417387</v>
      </c>
      <c r="M587" s="15">
        <f t="shared" si="180"/>
        <v>0.95001582654679428</v>
      </c>
      <c r="N587" s="13">
        <f t="shared" si="171"/>
        <v>1012024.8698926859</v>
      </c>
      <c r="O587" s="13">
        <f t="shared" si="181"/>
        <v>226860584.98407418</v>
      </c>
      <c r="P587" s="15">
        <f t="shared" si="174"/>
        <v>0.82376375827254167</v>
      </c>
      <c r="Q587" s="7">
        <f t="shared" si="182"/>
        <v>275395200.02653176</v>
      </c>
      <c r="R587" s="7">
        <f t="shared" si="172"/>
        <v>48534615.042457581</v>
      </c>
      <c r="S587" s="13">
        <f>IF('Calc (2)'!$AD$32="Sim",R587,Q587)</f>
        <v>48534615.042457581</v>
      </c>
      <c r="T587" s="9">
        <f t="shared" si="183"/>
        <v>583</v>
      </c>
      <c r="U587" s="17">
        <f t="shared" ca="1" si="184"/>
        <v>63249</v>
      </c>
    </row>
    <row r="588" spans="2:21" x14ac:dyDescent="0.2">
      <c r="B588" s="17">
        <f t="shared" ca="1" si="175"/>
        <v>63249</v>
      </c>
      <c r="C588" s="9">
        <f t="shared" si="185"/>
        <v>584</v>
      </c>
      <c r="D588" s="9"/>
      <c r="E588" s="13">
        <f t="shared" si="176"/>
        <v>10745.151786567229</v>
      </c>
      <c r="F588" s="14">
        <f t="shared" si="186"/>
        <v>2436707.7685533334</v>
      </c>
      <c r="G588" s="15">
        <f t="shared" si="177"/>
        <v>4.9731745694810217E-2</v>
      </c>
      <c r="H588" s="13">
        <f t="shared" si="170"/>
        <v>3583731.4869876951</v>
      </c>
      <c r="I588" s="13">
        <f t="shared" si="178"/>
        <v>276552968.89675272</v>
      </c>
      <c r="J588" s="15">
        <f t="shared" si="173"/>
        <v>0.9502682543051898</v>
      </c>
      <c r="K588" s="13">
        <f t="shared" si="179"/>
        <v>46560320.880043201</v>
      </c>
      <c r="L588" s="13">
        <f t="shared" si="187"/>
        <v>4582451294.2217817</v>
      </c>
      <c r="M588" s="15">
        <f t="shared" si="180"/>
        <v>0.9502682543051898</v>
      </c>
      <c r="N588" s="13">
        <f t="shared" si="171"/>
        <v>1025233.8864345043</v>
      </c>
      <c r="O588" s="13">
        <f t="shared" si="181"/>
        <v>229992648.01670951</v>
      </c>
      <c r="P588" s="15">
        <f t="shared" si="174"/>
        <v>0.82437691159670934</v>
      </c>
      <c r="Q588" s="7">
        <f t="shared" si="182"/>
        <v>278989676.66530603</v>
      </c>
      <c r="R588" s="7">
        <f t="shared" si="172"/>
        <v>48997028.648596533</v>
      </c>
      <c r="S588" s="13">
        <f>IF('Calc (2)'!$AD$32="Sim",R588,Q588)</f>
        <v>48997028.648596533</v>
      </c>
      <c r="T588" s="9">
        <f t="shared" si="183"/>
        <v>584</v>
      </c>
      <c r="U588" s="17">
        <f t="shared" ca="1" si="184"/>
        <v>63280</v>
      </c>
    </row>
    <row r="589" spans="2:21" x14ac:dyDescent="0.2">
      <c r="B589" s="17">
        <f t="shared" ca="1" si="175"/>
        <v>63280</v>
      </c>
      <c r="C589" s="9">
        <f t="shared" si="185"/>
        <v>585</v>
      </c>
      <c r="D589" s="9"/>
      <c r="E589" s="13">
        <f t="shared" si="176"/>
        <v>10788.928865019794</v>
      </c>
      <c r="F589" s="14">
        <f t="shared" si="186"/>
        <v>2447496.6974183531</v>
      </c>
      <c r="G589" s="15">
        <f t="shared" si="177"/>
        <v>4.9480574756885776E-2</v>
      </c>
      <c r="H589" s="13">
        <f t="shared" si="170"/>
        <v>3630506.5909414897</v>
      </c>
      <c r="I589" s="13">
        <f t="shared" si="178"/>
        <v>280183475.4876942</v>
      </c>
      <c r="J589" s="15">
        <f t="shared" si="173"/>
        <v>0.95051942524311417</v>
      </c>
      <c r="K589" s="13">
        <f t="shared" si="179"/>
        <v>47016292.060972258</v>
      </c>
      <c r="L589" s="13">
        <f t="shared" si="187"/>
        <v>4629467586.2827539</v>
      </c>
      <c r="M589" s="15">
        <f t="shared" si="180"/>
        <v>0.95051942524311417</v>
      </c>
      <c r="N589" s="13">
        <f t="shared" si="171"/>
        <v>1038614.9534404578</v>
      </c>
      <c r="O589" s="13">
        <f t="shared" si="181"/>
        <v>233167183.42672193</v>
      </c>
      <c r="P589" s="15">
        <f t="shared" si="174"/>
        <v>0.82498808118597244</v>
      </c>
      <c r="Q589" s="7">
        <f t="shared" si="182"/>
        <v>282630972.18511254</v>
      </c>
      <c r="R589" s="7">
        <f t="shared" si="172"/>
        <v>49463788.758390613</v>
      </c>
      <c r="S589" s="13">
        <f>IF('Calc (2)'!$AD$32="Sim",R589,Q589)</f>
        <v>49463788.758390613</v>
      </c>
      <c r="T589" s="9">
        <f t="shared" si="183"/>
        <v>585</v>
      </c>
      <c r="U589" s="17">
        <f t="shared" ca="1" si="184"/>
        <v>63310</v>
      </c>
    </row>
    <row r="590" spans="2:21" x14ac:dyDescent="0.2">
      <c r="B590" s="17">
        <f t="shared" ca="1" si="175"/>
        <v>63310</v>
      </c>
      <c r="C590" s="9">
        <f t="shared" si="185"/>
        <v>586</v>
      </c>
      <c r="D590" s="9"/>
      <c r="E590" s="13">
        <f t="shared" si="176"/>
        <v>10832.884296708862</v>
      </c>
      <c r="F590" s="14">
        <f t="shared" si="186"/>
        <v>2458329.5817150618</v>
      </c>
      <c r="G590" s="15">
        <f t="shared" si="177"/>
        <v>4.9230654508336406E-2</v>
      </c>
      <c r="H590" s="13">
        <f t="shared" si="170"/>
        <v>3677890.9513315782</v>
      </c>
      <c r="I590" s="13">
        <f t="shared" si="178"/>
        <v>283861366.43902576</v>
      </c>
      <c r="J590" s="15">
        <f t="shared" si="173"/>
        <v>0.95076934549166359</v>
      </c>
      <c r="K590" s="13">
        <f t="shared" si="179"/>
        <v>47476606.410224348</v>
      </c>
      <c r="L590" s="13">
        <f t="shared" si="187"/>
        <v>4676944192.6929779</v>
      </c>
      <c r="M590" s="15">
        <f t="shared" si="180"/>
        <v>0.95076934549166359</v>
      </c>
      <c r="N590" s="13">
        <f t="shared" si="171"/>
        <v>1052170.3104672402</v>
      </c>
      <c r="O590" s="13">
        <f t="shared" si="181"/>
        <v>236384760.02880138</v>
      </c>
      <c r="P590" s="15">
        <f t="shared" si="174"/>
        <v>0.82559727225918067</v>
      </c>
      <c r="Q590" s="7">
        <f t="shared" si="182"/>
        <v>286319696.02074081</v>
      </c>
      <c r="R590" s="7">
        <f t="shared" si="172"/>
        <v>49934935.991939411</v>
      </c>
      <c r="S590" s="13">
        <f>IF('Calc (2)'!$AD$32="Sim",R590,Q590)</f>
        <v>49934935.991939411</v>
      </c>
      <c r="T590" s="9">
        <f t="shared" si="183"/>
        <v>586</v>
      </c>
      <c r="U590" s="17">
        <f t="shared" ca="1" si="184"/>
        <v>63341</v>
      </c>
    </row>
    <row r="591" spans="2:21" x14ac:dyDescent="0.2">
      <c r="B591" s="17">
        <f t="shared" ca="1" si="175"/>
        <v>63341</v>
      </c>
      <c r="C591" s="9">
        <f t="shared" si="185"/>
        <v>587</v>
      </c>
      <c r="D591" s="9"/>
      <c r="E591" s="13">
        <f t="shared" si="176"/>
        <v>10877.018808267594</v>
      </c>
      <c r="F591" s="14">
        <f t="shared" si="186"/>
        <v>2469206.6005233293</v>
      </c>
      <c r="G591" s="15">
        <f t="shared" si="177"/>
        <v>4.8981978847174153E-2</v>
      </c>
      <c r="H591" s="13">
        <f t="shared" si="170"/>
        <v>3725892.4987633037</v>
      </c>
      <c r="I591" s="13">
        <f t="shared" si="178"/>
        <v>287587258.93778908</v>
      </c>
      <c r="J591" s="15">
        <f t="shared" si="173"/>
        <v>0.95101802115282585</v>
      </c>
      <c r="K591" s="13">
        <f t="shared" si="179"/>
        <v>47941304.747484036</v>
      </c>
      <c r="L591" s="13">
        <f t="shared" si="187"/>
        <v>4724885497.4404621</v>
      </c>
      <c r="M591" s="15">
        <f t="shared" si="180"/>
        <v>0.95101802115282585</v>
      </c>
      <c r="N591" s="13">
        <f t="shared" si="171"/>
        <v>1065902.226217678</v>
      </c>
      <c r="O591" s="13">
        <f t="shared" si="181"/>
        <v>239645954.19030499</v>
      </c>
      <c r="P591" s="15">
        <f t="shared" si="174"/>
        <v>0.82620449003110097</v>
      </c>
      <c r="Q591" s="7">
        <f t="shared" si="182"/>
        <v>290056465.53831238</v>
      </c>
      <c r="R591" s="7">
        <f t="shared" si="172"/>
        <v>50410511.348007366</v>
      </c>
      <c r="S591" s="13">
        <f>IF('Calc (2)'!$AD$32="Sim",R591,Q591)</f>
        <v>50410511.348007366</v>
      </c>
      <c r="T591" s="9">
        <f t="shared" si="183"/>
        <v>587</v>
      </c>
      <c r="U591" s="17">
        <f t="shared" ca="1" si="184"/>
        <v>63371</v>
      </c>
    </row>
    <row r="592" spans="2:21" x14ac:dyDescent="0.2">
      <c r="B592" s="17">
        <f t="shared" ca="1" si="175"/>
        <v>63371</v>
      </c>
      <c r="C592" s="9">
        <f t="shared" si="185"/>
        <v>588</v>
      </c>
      <c r="D592" s="9">
        <v>49</v>
      </c>
      <c r="E592" s="13">
        <f t="shared" si="176"/>
        <v>10921.333129289547</v>
      </c>
      <c r="F592" s="14">
        <f t="shared" si="186"/>
        <v>2480127.9336526189</v>
      </c>
      <c r="G592" s="15">
        <f t="shared" si="177"/>
        <v>4.8734541700384902E-2</v>
      </c>
      <c r="H592" s="13">
        <f t="shared" si="170"/>
        <v>3774519.2670528269</v>
      </c>
      <c r="I592" s="13">
        <f t="shared" si="178"/>
        <v>291361778.20484191</v>
      </c>
      <c r="J592" s="15">
        <f t="shared" si="173"/>
        <v>0.95126545829961506</v>
      </c>
      <c r="K592" s="13">
        <f t="shared" si="179"/>
        <v>48410428.273897216</v>
      </c>
      <c r="L592" s="13">
        <f t="shared" si="187"/>
        <v>4773295925.7143593</v>
      </c>
      <c r="M592" s="15">
        <f t="shared" si="180"/>
        <v>0.95126545829961517</v>
      </c>
      <c r="N592" s="13">
        <f t="shared" si="171"/>
        <v>1079812.9989200225</v>
      </c>
      <c r="O592" s="13">
        <f t="shared" si="181"/>
        <v>242951349.93094465</v>
      </c>
      <c r="P592" s="15">
        <f t="shared" si="174"/>
        <v>0.82680973971233385</v>
      </c>
      <c r="Q592" s="7">
        <f t="shared" si="182"/>
        <v>293841906.13849449</v>
      </c>
      <c r="R592" s="7">
        <f t="shared" si="172"/>
        <v>50890556.207549833</v>
      </c>
      <c r="S592" s="13">
        <f>IF('Calc (2)'!$AD$32="Sim",R592,Q592)</f>
        <v>50890556.207549833</v>
      </c>
      <c r="T592" s="9">
        <f t="shared" si="183"/>
        <v>588</v>
      </c>
      <c r="U592" s="17">
        <f t="shared" ca="1" si="184"/>
        <v>63402</v>
      </c>
    </row>
    <row r="593" spans="2:21" x14ac:dyDescent="0.2">
      <c r="B593" s="17">
        <f t="shared" ca="1" si="175"/>
        <v>63402</v>
      </c>
      <c r="C593" s="9">
        <f t="shared" si="185"/>
        <v>589</v>
      </c>
      <c r="D593" s="9"/>
      <c r="E593" s="13">
        <f t="shared" si="176"/>
        <v>10965.827992340732</v>
      </c>
      <c r="F593" s="14">
        <f t="shared" si="186"/>
        <v>2491093.7616449594</v>
      </c>
      <c r="G593" s="15">
        <f t="shared" si="177"/>
        <v>4.8488337023794688E-2</v>
      </c>
      <c r="H593" s="13">
        <f t="shared" si="170"/>
        <v>3823779.3945702538</v>
      </c>
      <c r="I593" s="13">
        <f t="shared" si="178"/>
        <v>295185557.59941214</v>
      </c>
      <c r="J593" s="15">
        <f t="shared" si="173"/>
        <v>0.95151166297620526</v>
      </c>
      <c r="K593" s="13">
        <f t="shared" si="179"/>
        <v>48884018.575627089</v>
      </c>
      <c r="L593" s="13">
        <f t="shared" si="187"/>
        <v>4822179944.2899866</v>
      </c>
      <c r="M593" s="15">
        <f t="shared" si="180"/>
        <v>0.95151166297620526</v>
      </c>
      <c r="N593" s="13">
        <f t="shared" si="171"/>
        <v>1093904.9567121756</v>
      </c>
      <c r="O593" s="13">
        <f t="shared" si="181"/>
        <v>246301539.023785</v>
      </c>
      <c r="P593" s="15">
        <f t="shared" si="174"/>
        <v>0.82741302650922965</v>
      </c>
      <c r="Q593" s="7">
        <f t="shared" si="182"/>
        <v>297676651.36105704</v>
      </c>
      <c r="R593" s="7">
        <f t="shared" si="172"/>
        <v>51375112.337272048</v>
      </c>
      <c r="S593" s="13">
        <f>IF('Calc (2)'!$AD$32="Sim",R593,Q593)</f>
        <v>51375112.337272048</v>
      </c>
      <c r="T593" s="9">
        <f t="shared" si="183"/>
        <v>589</v>
      </c>
      <c r="U593" s="17">
        <f t="shared" ca="1" si="184"/>
        <v>63433</v>
      </c>
    </row>
    <row r="594" spans="2:21" x14ac:dyDescent="0.2">
      <c r="B594" s="17">
        <f t="shared" ca="1" si="175"/>
        <v>63433</v>
      </c>
      <c r="C594" s="9">
        <f t="shared" si="185"/>
        <v>590</v>
      </c>
      <c r="D594" s="9"/>
      <c r="E594" s="13">
        <f t="shared" si="176"/>
        <v>11010.504132971724</v>
      </c>
      <c r="F594" s="14">
        <f t="shared" si="186"/>
        <v>2502104.2657779311</v>
      </c>
      <c r="G594" s="15">
        <f t="shared" si="177"/>
        <v>4.8243358801936767E-2</v>
      </c>
      <c r="H594" s="13">
        <f t="shared" si="170"/>
        <v>3873681.1256002393</v>
      </c>
      <c r="I594" s="13">
        <f t="shared" si="178"/>
        <v>299059238.72501236</v>
      </c>
      <c r="J594" s="15">
        <f t="shared" si="173"/>
        <v>0.95175664119806325</v>
      </c>
      <c r="K594" s="13">
        <f t="shared" si="179"/>
        <v>49362117.627443194</v>
      </c>
      <c r="L594" s="13">
        <f t="shared" si="187"/>
        <v>4871542061.9174299</v>
      </c>
      <c r="M594" s="15">
        <f t="shared" si="180"/>
        <v>0.95175664119806325</v>
      </c>
      <c r="N594" s="13">
        <f t="shared" si="171"/>
        <v>1108180.4580309177</v>
      </c>
      <c r="O594" s="13">
        <f t="shared" si="181"/>
        <v>249697121.09756911</v>
      </c>
      <c r="P594" s="15">
        <f t="shared" si="174"/>
        <v>0.82801435562380721</v>
      </c>
      <c r="Q594" s="7">
        <f t="shared" si="182"/>
        <v>301561342.99079025</v>
      </c>
      <c r="R594" s="7">
        <f t="shared" si="172"/>
        <v>51864221.893221125</v>
      </c>
      <c r="S594" s="13">
        <f>IF('Calc (2)'!$AD$32="Sim",R594,Q594)</f>
        <v>51864221.893221125</v>
      </c>
      <c r="T594" s="9">
        <f t="shared" si="183"/>
        <v>590</v>
      </c>
      <c r="U594" s="17">
        <f t="shared" ca="1" si="184"/>
        <v>63463</v>
      </c>
    </row>
    <row r="595" spans="2:21" x14ac:dyDescent="0.2">
      <c r="B595" s="17">
        <f t="shared" ca="1" si="175"/>
        <v>63463</v>
      </c>
      <c r="C595" s="9">
        <f t="shared" si="185"/>
        <v>591</v>
      </c>
      <c r="D595" s="9"/>
      <c r="E595" s="13">
        <f t="shared" si="176"/>
        <v>11055.362289729823</v>
      </c>
      <c r="F595" s="14">
        <f t="shared" si="186"/>
        <v>2513159.6280676611</v>
      </c>
      <c r="G595" s="15">
        <f t="shared" si="177"/>
        <v>4.7999601047919158E-2</v>
      </c>
      <c r="H595" s="13">
        <f t="shared" si="170"/>
        <v>3924232.8117202995</v>
      </c>
      <c r="I595" s="13">
        <f t="shared" si="178"/>
        <v>302983471.53673267</v>
      </c>
      <c r="J595" s="15">
        <f t="shared" si="173"/>
        <v>0.95200039895208088</v>
      </c>
      <c r="K595" s="13">
        <f t="shared" si="179"/>
        <v>49844767.796343908</v>
      </c>
      <c r="L595" s="13">
        <f t="shared" si="187"/>
        <v>4921386829.7137737</v>
      </c>
      <c r="M595" s="15">
        <f t="shared" si="180"/>
        <v>0.95200039895208077</v>
      </c>
      <c r="N595" s="13">
        <f t="shared" si="171"/>
        <v>1122641.8920061977</v>
      </c>
      <c r="O595" s="13">
        <f t="shared" si="181"/>
        <v>253138703.74038872</v>
      </c>
      <c r="P595" s="15">
        <f t="shared" si="174"/>
        <v>0.8286137322536723</v>
      </c>
      <c r="Q595" s="7">
        <f t="shared" si="182"/>
        <v>305496631.16480029</v>
      </c>
      <c r="R595" s="7">
        <f t="shared" si="172"/>
        <v>52357927.424411573</v>
      </c>
      <c r="S595" s="13">
        <f>IF('Calc (2)'!$AD$32="Sim",R595,Q595)</f>
        <v>52357927.424411573</v>
      </c>
      <c r="T595" s="9">
        <f t="shared" si="183"/>
        <v>591</v>
      </c>
      <c r="U595" s="17">
        <f t="shared" ca="1" si="184"/>
        <v>63494</v>
      </c>
    </row>
    <row r="596" spans="2:21" x14ac:dyDescent="0.2">
      <c r="B596" s="17">
        <f t="shared" ca="1" si="175"/>
        <v>63494</v>
      </c>
      <c r="C596" s="9">
        <f t="shared" si="185"/>
        <v>592</v>
      </c>
      <c r="D596" s="9"/>
      <c r="E596" s="13">
        <f t="shared" si="176"/>
        <v>11100.40320417126</v>
      </c>
      <c r="F596" s="14">
        <f t="shared" si="186"/>
        <v>2524260.0312718325</v>
      </c>
      <c r="G596" s="15">
        <f t="shared" si="177"/>
        <v>4.7757057803292841E-2</v>
      </c>
      <c r="H596" s="13">
        <f t="shared" si="170"/>
        <v>3975442.913197055</v>
      </c>
      <c r="I596" s="13">
        <f t="shared" si="178"/>
        <v>306958914.44992971</v>
      </c>
      <c r="J596" s="15">
        <f t="shared" si="173"/>
        <v>0.95224294219670713</v>
      </c>
      <c r="K596" s="13">
        <f t="shared" si="179"/>
        <v>50332011.845212683</v>
      </c>
      <c r="L596" s="13">
        <f t="shared" si="187"/>
        <v>4971718841.5589867</v>
      </c>
      <c r="M596" s="15">
        <f t="shared" si="180"/>
        <v>0.95224294219670724</v>
      </c>
      <c r="N596" s="13">
        <f t="shared" si="171"/>
        <v>1137291.6788605575</v>
      </c>
      <c r="O596" s="13">
        <f t="shared" si="181"/>
        <v>256626902.60471696</v>
      </c>
      <c r="P596" s="15">
        <f t="shared" si="174"/>
        <v>0.82921116159193631</v>
      </c>
      <c r="Q596" s="7">
        <f t="shared" si="182"/>
        <v>309483174.48120147</v>
      </c>
      <c r="R596" s="7">
        <f t="shared" si="172"/>
        <v>52856271.876484513</v>
      </c>
      <c r="S596" s="13">
        <f>IF('Calc (2)'!$AD$32="Sim",R596,Q596)</f>
        <v>52856271.876484513</v>
      </c>
      <c r="T596" s="9">
        <f t="shared" si="183"/>
        <v>592</v>
      </c>
      <c r="U596" s="17">
        <f t="shared" ca="1" si="184"/>
        <v>63524</v>
      </c>
    </row>
    <row r="597" spans="2:21" x14ac:dyDescent="0.2">
      <c r="B597" s="17">
        <f t="shared" ca="1" si="175"/>
        <v>63524</v>
      </c>
      <c r="C597" s="9">
        <f t="shared" si="185"/>
        <v>593</v>
      </c>
      <c r="D597" s="9"/>
      <c r="E597" s="13">
        <f t="shared" si="176"/>
        <v>11145.62762087346</v>
      </c>
      <c r="F597" s="14">
        <f t="shared" si="186"/>
        <v>2535405.658892706</v>
      </c>
      <c r="G597" s="15">
        <f t="shared" si="177"/>
        <v>4.7515723137920567E-2</v>
      </c>
      <c r="H597" s="13">
        <f t="shared" si="170"/>
        <v>4027320.000400648</v>
      </c>
      <c r="I597" s="13">
        <f t="shared" si="178"/>
        <v>310986234.45033038</v>
      </c>
      <c r="J597" s="15">
        <f t="shared" si="173"/>
        <v>0.95248427686207948</v>
      </c>
      <c r="K597" s="13">
        <f t="shared" si="179"/>
        <v>50823892.936508261</v>
      </c>
      <c r="L597" s="13">
        <f t="shared" si="187"/>
        <v>5022542734.4954948</v>
      </c>
      <c r="M597" s="15">
        <f t="shared" si="180"/>
        <v>0.95248427686207948</v>
      </c>
      <c r="N597" s="13">
        <f t="shared" si="171"/>
        <v>1152132.2703137521</v>
      </c>
      <c r="O597" s="13">
        <f t="shared" si="181"/>
        <v>260162341.51382205</v>
      </c>
      <c r="P597" s="15">
        <f t="shared" si="174"/>
        <v>0.82980664882713706</v>
      </c>
      <c r="Q597" s="7">
        <f t="shared" si="182"/>
        <v>313521640.10922301</v>
      </c>
      <c r="R597" s="7">
        <f t="shared" si="172"/>
        <v>53359298.595400967</v>
      </c>
      <c r="S597" s="13">
        <f>IF('Calc (2)'!$AD$32="Sim",R597,Q597)</f>
        <v>53359298.595400967</v>
      </c>
      <c r="T597" s="9">
        <f t="shared" si="183"/>
        <v>593</v>
      </c>
      <c r="U597" s="17">
        <f t="shared" ca="1" si="184"/>
        <v>63555</v>
      </c>
    </row>
    <row r="598" spans="2:21" x14ac:dyDescent="0.2">
      <c r="B598" s="17">
        <f t="shared" ca="1" si="175"/>
        <v>63555</v>
      </c>
      <c r="C598" s="9">
        <f t="shared" si="185"/>
        <v>594</v>
      </c>
      <c r="D598" s="9"/>
      <c r="E598" s="13">
        <f t="shared" si="176"/>
        <v>11191.036287447349</v>
      </c>
      <c r="F598" s="14">
        <f t="shared" si="186"/>
        <v>2546596.6951801535</v>
      </c>
      <c r="G598" s="15">
        <f t="shared" si="177"/>
        <v>4.7275591149846315E-2</v>
      </c>
      <c r="H598" s="13">
        <f t="shared" si="170"/>
        <v>4079872.7552375658</v>
      </c>
      <c r="I598" s="13">
        <f t="shared" si="178"/>
        <v>315066107.20556796</v>
      </c>
      <c r="J598" s="15">
        <f t="shared" si="173"/>
        <v>0.95272440885015364</v>
      </c>
      <c r="K598" s="13">
        <f t="shared" si="179"/>
        <v>51320454.635989338</v>
      </c>
      <c r="L598" s="13">
        <f t="shared" si="187"/>
        <v>5073863189.131484</v>
      </c>
      <c r="M598" s="15">
        <f t="shared" si="180"/>
        <v>0.95272440885015364</v>
      </c>
      <c r="N598" s="13">
        <f t="shared" si="171"/>
        <v>1167166.149992635</v>
      </c>
      <c r="O598" s="13">
        <f t="shared" si="181"/>
        <v>263745652.56957853</v>
      </c>
      <c r="P598" s="15">
        <f t="shared" si="174"/>
        <v>0.83040019914315955</v>
      </c>
      <c r="Q598" s="7">
        <f t="shared" si="182"/>
        <v>317612703.90074801</v>
      </c>
      <c r="R598" s="7">
        <f t="shared" si="172"/>
        <v>53867051.331169493</v>
      </c>
      <c r="S598" s="13">
        <f>IF('Calc (2)'!$AD$32="Sim",R598,Q598)</f>
        <v>53867051.331169493</v>
      </c>
      <c r="T598" s="9">
        <f t="shared" si="183"/>
        <v>594</v>
      </c>
      <c r="U598" s="17">
        <f t="shared" ca="1" si="184"/>
        <v>63586</v>
      </c>
    </row>
    <row r="599" spans="2:21" x14ac:dyDescent="0.2">
      <c r="B599" s="17">
        <f t="shared" ca="1" si="175"/>
        <v>63586</v>
      </c>
      <c r="C599" s="9">
        <f t="shared" si="185"/>
        <v>595</v>
      </c>
      <c r="D599" s="9"/>
      <c r="E599" s="13">
        <f t="shared" si="176"/>
        <v>11236.62995454971</v>
      </c>
      <c r="F599" s="14">
        <f t="shared" si="186"/>
        <v>2557833.325134703</v>
      </c>
      <c r="G599" s="15">
        <f t="shared" si="177"/>
        <v>4.7036655965165243E-2</v>
      </c>
      <c r="H599" s="13">
        <f t="shared" si="170"/>
        <v>4133109.9726021057</v>
      </c>
      <c r="I599" s="13">
        <f t="shared" si="178"/>
        <v>319199217.17817008</v>
      </c>
      <c r="J599" s="15">
        <f t="shared" si="173"/>
        <v>0.95296334403483474</v>
      </c>
      <c r="K599" s="13">
        <f t="shared" si="179"/>
        <v>51821740.916473851</v>
      </c>
      <c r="L599" s="13">
        <f t="shared" si="187"/>
        <v>5125684930.0479574</v>
      </c>
      <c r="M599" s="15">
        <f t="shared" si="180"/>
        <v>0.95296334403483474</v>
      </c>
      <c r="N599" s="13">
        <f t="shared" si="171"/>
        <v>1182395.8338463788</v>
      </c>
      <c r="O599" s="13">
        <f t="shared" si="181"/>
        <v>267377476.26169616</v>
      </c>
      <c r="P599" s="15">
        <f t="shared" si="174"/>
        <v>0.8309918177191582</v>
      </c>
      <c r="Q599" s="7">
        <f t="shared" si="182"/>
        <v>321757050.50330472</v>
      </c>
      <c r="R599" s="7">
        <f t="shared" si="172"/>
        <v>54379574.241608553</v>
      </c>
      <c r="S599" s="13">
        <f>IF('Calc (2)'!$AD$32="Sim",R599,Q599)</f>
        <v>54379574.241608553</v>
      </c>
      <c r="T599" s="9">
        <f t="shared" si="183"/>
        <v>595</v>
      </c>
      <c r="U599" s="17">
        <f t="shared" ca="1" si="184"/>
        <v>63614</v>
      </c>
    </row>
    <row r="600" spans="2:21" x14ac:dyDescent="0.2">
      <c r="B600" s="17">
        <f t="shared" ca="1" si="175"/>
        <v>63614</v>
      </c>
      <c r="C600" s="9">
        <f t="shared" si="185"/>
        <v>596</v>
      </c>
      <c r="D600" s="9"/>
      <c r="E600" s="13">
        <f t="shared" si="176"/>
        <v>11282.409375895597</v>
      </c>
      <c r="F600" s="14">
        <f t="shared" si="186"/>
        <v>2569115.7345105987</v>
      </c>
      <c r="G600" s="15">
        <f t="shared" si="177"/>
        <v>4.6798911737894307E-2</v>
      </c>
      <c r="H600" s="13">
        <f t="shared" si="170"/>
        <v>4187040.5618467336</v>
      </c>
      <c r="I600" s="13">
        <f t="shared" si="178"/>
        <v>323386257.74001682</v>
      </c>
      <c r="J600" s="15">
        <f t="shared" si="173"/>
        <v>0.9532010882621057</v>
      </c>
      <c r="K600" s="13">
        <f t="shared" si="179"/>
        <v>52327796.161633305</v>
      </c>
      <c r="L600" s="13">
        <f t="shared" si="187"/>
        <v>5178012726.2095909</v>
      </c>
      <c r="M600" s="15">
        <f t="shared" si="180"/>
        <v>0.9532010882621057</v>
      </c>
      <c r="N600" s="13">
        <f t="shared" si="171"/>
        <v>1197823.8705670978</v>
      </c>
      <c r="O600" s="13">
        <f t="shared" si="181"/>
        <v>271058461.57838345</v>
      </c>
      <c r="P600" s="15">
        <f t="shared" si="174"/>
        <v>0.83158150972947842</v>
      </c>
      <c r="Q600" s="7">
        <f t="shared" si="182"/>
        <v>325955373.47452736</v>
      </c>
      <c r="R600" s="7">
        <f t="shared" si="172"/>
        <v>54896911.896143906</v>
      </c>
      <c r="S600" s="13">
        <f>IF('Calc (2)'!$AD$32="Sim",R600,Q600)</f>
        <v>54896911.896143906</v>
      </c>
      <c r="T600" s="9">
        <f t="shared" si="183"/>
        <v>596</v>
      </c>
      <c r="U600" s="17">
        <f t="shared" ca="1" si="184"/>
        <v>63645</v>
      </c>
    </row>
    <row r="601" spans="2:21" x14ac:dyDescent="0.2">
      <c r="B601" s="17">
        <f t="shared" ca="1" si="175"/>
        <v>63645</v>
      </c>
      <c r="C601" s="9">
        <f t="shared" si="185"/>
        <v>597</v>
      </c>
      <c r="D601" s="9"/>
      <c r="E601" s="13">
        <f t="shared" si="176"/>
        <v>11328.37530827079</v>
      </c>
      <c r="F601" s="14">
        <f t="shared" si="186"/>
        <v>2580444.1098188693</v>
      </c>
      <c r="G601" s="15">
        <f t="shared" si="177"/>
        <v>4.6562352649843458E-2</v>
      </c>
      <c r="H601" s="13">
        <f t="shared" si="170"/>
        <v>4241673.5482715685</v>
      </c>
      <c r="I601" s="13">
        <f t="shared" si="178"/>
        <v>327627931.28828841</v>
      </c>
      <c r="J601" s="15">
        <f t="shared" si="173"/>
        <v>0.95343764735015657</v>
      </c>
      <c r="K601" s="13">
        <f t="shared" si="179"/>
        <v>52838665.16982241</v>
      </c>
      <c r="L601" s="13">
        <f t="shared" si="187"/>
        <v>5230851391.3794136</v>
      </c>
      <c r="M601" s="15">
        <f t="shared" si="180"/>
        <v>0.95343764735015657</v>
      </c>
      <c r="N601" s="13">
        <f t="shared" si="171"/>
        <v>1213452.8420159451</v>
      </c>
      <c r="O601" s="13">
        <f t="shared" si="181"/>
        <v>274789266.11846596</v>
      </c>
      <c r="P601" s="15">
        <f t="shared" si="174"/>
        <v>0.83216928034358106</v>
      </c>
      <c r="Q601" s="7">
        <f t="shared" si="182"/>
        <v>330208375.39810723</v>
      </c>
      <c r="R601" s="7">
        <f t="shared" si="172"/>
        <v>55419109.279641278</v>
      </c>
      <c r="S601" s="13">
        <f>IF('Calc (2)'!$AD$32="Sim",R601,Q601)</f>
        <v>55419109.279641278</v>
      </c>
      <c r="T601" s="9">
        <f t="shared" si="183"/>
        <v>597</v>
      </c>
      <c r="U601" s="17">
        <f t="shared" ca="1" si="184"/>
        <v>63675</v>
      </c>
    </row>
    <row r="602" spans="2:21" x14ac:dyDescent="0.2">
      <c r="B602" s="17">
        <f t="shared" ca="1" si="175"/>
        <v>63675</v>
      </c>
      <c r="C602" s="9">
        <f t="shared" si="185"/>
        <v>598</v>
      </c>
      <c r="D602" s="9"/>
      <c r="E602" s="13">
        <f t="shared" si="176"/>
        <v>11374.528511544311</v>
      </c>
      <c r="F602" s="14">
        <f t="shared" si="186"/>
        <v>2591818.6383304135</v>
      </c>
      <c r="G602" s="15">
        <f t="shared" si="177"/>
        <v>4.6326972910487423E-2</v>
      </c>
      <c r="H602" s="13">
        <f t="shared" si="170"/>
        <v>4297018.0746332631</v>
      </c>
      <c r="I602" s="13">
        <f t="shared" si="178"/>
        <v>331924949.36292166</v>
      </c>
      <c r="J602" s="15">
        <f t="shared" si="173"/>
        <v>0.95367302708951263</v>
      </c>
      <c r="K602" s="13">
        <f t="shared" si="179"/>
        <v>53354393.157944366</v>
      </c>
      <c r="L602" s="13">
        <f t="shared" si="187"/>
        <v>5284205784.5373583</v>
      </c>
      <c r="M602" s="15">
        <f t="shared" si="180"/>
        <v>0.95367302708951251</v>
      </c>
      <c r="N602" s="13">
        <f t="shared" si="171"/>
        <v>1229285.3636547541</v>
      </c>
      <c r="O602" s="13">
        <f t="shared" si="181"/>
        <v>278570556.20497721</v>
      </c>
      <c r="P602" s="15">
        <f t="shared" si="174"/>
        <v>0.83275513472596574</v>
      </c>
      <c r="Q602" s="7">
        <f t="shared" si="182"/>
        <v>334516768.001252</v>
      </c>
      <c r="R602" s="7">
        <f t="shared" si="172"/>
        <v>55946211.796274781</v>
      </c>
      <c r="S602" s="13">
        <f>IF('Calc (2)'!$AD$32="Sim",R602,Q602)</f>
        <v>55946211.796274781</v>
      </c>
      <c r="T602" s="9">
        <f t="shared" si="183"/>
        <v>598</v>
      </c>
      <c r="U602" s="17">
        <f t="shared" ca="1" si="184"/>
        <v>63706</v>
      </c>
    </row>
    <row r="603" spans="2:21" x14ac:dyDescent="0.2">
      <c r="B603" s="17">
        <f t="shared" ca="1" si="175"/>
        <v>63706</v>
      </c>
      <c r="C603" s="9">
        <f t="shared" si="185"/>
        <v>599</v>
      </c>
      <c r="D603" s="9"/>
      <c r="E603" s="13">
        <f t="shared" si="176"/>
        <v>11420.86974868098</v>
      </c>
      <c r="F603" s="14">
        <f t="shared" si="186"/>
        <v>2603239.5080790943</v>
      </c>
      <c r="G603" s="15">
        <f t="shared" si="177"/>
        <v>4.6092766756838051E-2</v>
      </c>
      <c r="H603" s="13">
        <f t="shared" si="170"/>
        <v>4353083.4026735025</v>
      </c>
      <c r="I603" s="13">
        <f t="shared" si="178"/>
        <v>336278032.76559514</v>
      </c>
      <c r="J603" s="15">
        <f t="shared" si="173"/>
        <v>0.95390723324316196</v>
      </c>
      <c r="K603" s="13">
        <f t="shared" si="179"/>
        <v>53875025.76535219</v>
      </c>
      <c r="L603" s="13">
        <f t="shared" si="187"/>
        <v>5338080810.3027105</v>
      </c>
      <c r="M603" s="15">
        <f t="shared" si="180"/>
        <v>0.95390723324316196</v>
      </c>
      <c r="N603" s="13">
        <f t="shared" si="171"/>
        <v>1245324.0849832979</v>
      </c>
      <c r="O603" s="13">
        <f t="shared" si="181"/>
        <v>282403007.00024283</v>
      </c>
      <c r="P603" s="15">
        <f t="shared" si="174"/>
        <v>0.83333907803609597</v>
      </c>
      <c r="Q603" s="7">
        <f t="shared" si="182"/>
        <v>338881272.27367413</v>
      </c>
      <c r="R603" s="7">
        <f t="shared" si="172"/>
        <v>56478265.273431286</v>
      </c>
      <c r="S603" s="13">
        <f>IF('Calc (2)'!$AD$32="Sim",R603,Q603)</f>
        <v>56478265.273431286</v>
      </c>
      <c r="T603" s="9">
        <f t="shared" si="183"/>
        <v>599</v>
      </c>
      <c r="U603" s="17">
        <f t="shared" ca="1" si="184"/>
        <v>63736</v>
      </c>
    </row>
    <row r="604" spans="2:21" x14ac:dyDescent="0.2">
      <c r="B604" s="17">
        <f t="shared" ca="1" si="175"/>
        <v>63736</v>
      </c>
      <c r="C604" s="9">
        <f t="shared" si="185"/>
        <v>600</v>
      </c>
      <c r="D604" s="9">
        <v>50</v>
      </c>
      <c r="E604" s="13">
        <f t="shared" si="176"/>
        <v>11467.399785754031</v>
      </c>
      <c r="F604" s="14">
        <f t="shared" si="186"/>
        <v>2614706.9078648482</v>
      </c>
      <c r="G604" s="15">
        <f t="shared" si="177"/>
        <v>4.5859728453317282E-2</v>
      </c>
      <c r="H604" s="13">
        <f t="shared" si="170"/>
        <v>4409878.9146674098</v>
      </c>
      <c r="I604" s="13">
        <f t="shared" si="178"/>
        <v>340687911.68026257</v>
      </c>
      <c r="J604" s="15">
        <f t="shared" si="173"/>
        <v>0.95414027154668268</v>
      </c>
      <c r="K604" s="13">
        <f t="shared" si="179"/>
        <v>54400609.057786323</v>
      </c>
      <c r="L604" s="13">
        <f t="shared" si="187"/>
        <v>5392481419.3604965</v>
      </c>
      <c r="M604" s="15">
        <f t="shared" si="180"/>
        <v>0.95414027154668279</v>
      </c>
      <c r="N604" s="13">
        <f t="shared" si="171"/>
        <v>1261571.6899822373</v>
      </c>
      <c r="O604" s="13">
        <f t="shared" si="181"/>
        <v>286287302.62247616</v>
      </c>
      <c r="P604" s="15">
        <f t="shared" si="174"/>
        <v>0.83392111542832559</v>
      </c>
      <c r="Q604" s="7">
        <f t="shared" si="182"/>
        <v>343302618.58812732</v>
      </c>
      <c r="R604" s="7">
        <f t="shared" si="172"/>
        <v>57015315.965651169</v>
      </c>
      <c r="S604" s="13">
        <f>IF('Calc (2)'!$AD$32="Sim",R604,Q604)</f>
        <v>57015315.965651169</v>
      </c>
      <c r="T604" s="9">
        <f t="shared" si="183"/>
        <v>600</v>
      </c>
      <c r="U604" s="17">
        <f t="shared" ca="1" si="184"/>
        <v>63767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/>
  </sheetPr>
  <dimension ref="A1:Y39"/>
  <sheetViews>
    <sheetView showGridLines="0" showRowColHeaders="0" tabSelected="1" workbookViewId="0">
      <selection activeCell="L2" sqref="L2:N2"/>
    </sheetView>
  </sheetViews>
  <sheetFormatPr defaultColWidth="0" defaultRowHeight="15" zeroHeight="1" x14ac:dyDescent="0.25"/>
  <cols>
    <col min="1" max="1" width="4.7109375" customWidth="1"/>
    <col min="2" max="2" width="4.140625" customWidth="1"/>
    <col min="3" max="3" width="1.7109375" customWidth="1"/>
    <col min="4" max="4" width="21.42578125" customWidth="1"/>
    <col min="5" max="5" width="1.7109375" customWidth="1"/>
    <col min="6" max="6" width="11" customWidth="1"/>
    <col min="7" max="7" width="1.7109375" customWidth="1"/>
    <col min="8" max="8" width="13.28515625" customWidth="1"/>
    <col min="9" max="9" width="1.7109375" customWidth="1"/>
    <col min="10" max="10" width="7.85546875" customWidth="1"/>
    <col min="11" max="11" width="1.7109375" customWidth="1"/>
    <col min="12" max="12" width="11.7109375" bestFit="1" customWidth="1"/>
    <col min="13" max="13" width="1.7109375" customWidth="1"/>
    <col min="14" max="14" width="10.42578125" bestFit="1" customWidth="1"/>
    <col min="15" max="16" width="2.7109375" customWidth="1"/>
    <col min="17" max="17" width="23.28515625" customWidth="1"/>
    <col min="18" max="18" width="1.7109375" customWidth="1"/>
    <col min="19" max="19" width="15.28515625" customWidth="1"/>
    <col min="20" max="20" width="1.7109375" customWidth="1"/>
    <col min="21" max="21" width="17.140625" customWidth="1"/>
    <col min="22" max="22" width="1.7109375" customWidth="1"/>
    <col min="23" max="23" width="11" customWidth="1"/>
    <col min="24" max="24" width="4.7109375" customWidth="1"/>
    <col min="25" max="25" width="9.140625" customWidth="1"/>
    <col min="26" max="16384" width="9.140625" hidden="1"/>
  </cols>
  <sheetData>
    <row r="1" spans="2:23" ht="9" customHeight="1" x14ac:dyDescent="0.25">
      <c r="L1" s="247"/>
      <c r="M1" s="248" t="s">
        <v>2</v>
      </c>
      <c r="N1" s="244" t="s">
        <v>21</v>
      </c>
      <c r="O1" s="248" t="s">
        <v>19</v>
      </c>
      <c r="P1" s="244" t="s">
        <v>20</v>
      </c>
      <c r="Q1" s="248" t="s">
        <v>23</v>
      </c>
      <c r="R1" s="248" t="s">
        <v>24</v>
      </c>
      <c r="S1" s="246">
        <v>0.15</v>
      </c>
      <c r="T1" s="245">
        <v>0.17499999999999999</v>
      </c>
      <c r="U1" s="245">
        <v>0.2</v>
      </c>
      <c r="V1" s="245">
        <v>0.22500000000000001</v>
      </c>
    </row>
    <row r="2" spans="2:23" ht="23.25" x14ac:dyDescent="0.35">
      <c r="B2" s="170" t="s">
        <v>97</v>
      </c>
      <c r="C2" s="28"/>
      <c r="D2" s="28"/>
      <c r="F2" s="209"/>
      <c r="G2" s="161"/>
      <c r="H2" s="161"/>
      <c r="I2" s="161"/>
      <c r="J2" s="223" t="s">
        <v>137</v>
      </c>
      <c r="L2" s="264" t="s">
        <v>98</v>
      </c>
      <c r="M2" s="264"/>
      <c r="N2" s="264"/>
      <c r="O2" s="132"/>
      <c r="Q2" s="201" t="s">
        <v>114</v>
      </c>
      <c r="R2" s="28"/>
      <c r="S2" s="28"/>
      <c r="U2" s="28"/>
      <c r="V2" s="28"/>
      <c r="W2" s="202"/>
    </row>
    <row r="3" spans="2:23" x14ac:dyDescent="0.25">
      <c r="O3" s="132"/>
      <c r="Q3" s="180" t="s">
        <v>108</v>
      </c>
      <c r="R3" s="167"/>
      <c r="S3" s="178" t="s">
        <v>100</v>
      </c>
      <c r="T3" s="210"/>
      <c r="U3" s="179" t="s">
        <v>101</v>
      </c>
      <c r="V3" s="167"/>
      <c r="W3" s="180" t="s">
        <v>102</v>
      </c>
    </row>
    <row r="4" spans="2:23" ht="21" customHeight="1" x14ac:dyDescent="0.25">
      <c r="D4" s="26"/>
      <c r="F4" s="171">
        <v>35000</v>
      </c>
      <c r="H4" s="24"/>
      <c r="L4" s="43">
        <v>35000</v>
      </c>
      <c r="N4" s="24"/>
      <c r="O4" s="132"/>
      <c r="Q4" s="198" t="s">
        <v>109</v>
      </c>
      <c r="R4" s="167"/>
      <c r="S4" s="193">
        <f ca="1">'Calc (3)'!AC14</f>
        <v>996852.32943230704</v>
      </c>
      <c r="T4" s="167"/>
      <c r="U4" s="258">
        <f ca="1">'Calc (2)'!AC14</f>
        <v>1597748.1573787229</v>
      </c>
      <c r="V4" s="167"/>
      <c r="W4" s="192">
        <f ca="1">U4/S4-1</f>
        <v>0.60279322243106703</v>
      </c>
    </row>
    <row r="5" spans="2:23" ht="12" customHeight="1" x14ac:dyDescent="0.3">
      <c r="B5" s="161"/>
      <c r="C5" s="161"/>
      <c r="D5" s="161"/>
      <c r="E5" s="161"/>
      <c r="F5" s="227"/>
      <c r="G5" s="161"/>
      <c r="H5" s="161"/>
      <c r="I5" s="161"/>
      <c r="J5" s="161"/>
      <c r="K5" s="161"/>
      <c r="L5" s="228"/>
      <c r="M5" s="161"/>
      <c r="N5" s="161"/>
      <c r="O5" s="226"/>
      <c r="P5" s="161"/>
      <c r="Q5" s="229"/>
      <c r="R5" s="230"/>
      <c r="S5" s="231"/>
      <c r="T5" s="230"/>
      <c r="U5" s="231"/>
      <c r="V5" s="230"/>
      <c r="W5" s="231"/>
    </row>
    <row r="6" spans="2:23" ht="12" customHeight="1" x14ac:dyDescent="0.3">
      <c r="F6" s="175"/>
      <c r="L6" s="35"/>
      <c r="O6" s="132"/>
      <c r="Q6" s="168"/>
      <c r="R6" s="167"/>
      <c r="S6" s="166"/>
      <c r="T6" s="167"/>
      <c r="U6" s="166"/>
      <c r="V6" s="167"/>
      <c r="W6" s="166"/>
    </row>
    <row r="7" spans="2:23" ht="21" customHeight="1" x14ac:dyDescent="0.25">
      <c r="D7" s="26" t="s">
        <v>33</v>
      </c>
      <c r="F7" s="171">
        <v>1000</v>
      </c>
      <c r="H7" s="224" t="s">
        <v>20</v>
      </c>
      <c r="L7" s="43">
        <v>1000</v>
      </c>
      <c r="N7" s="203" t="s">
        <v>20</v>
      </c>
      <c r="O7" s="132"/>
      <c r="Q7" s="199" t="s">
        <v>99</v>
      </c>
      <c r="R7" s="167"/>
      <c r="S7" s="196">
        <f ca="1">'Calc (3)'!AB21</f>
        <v>52810</v>
      </c>
      <c r="T7" s="167"/>
      <c r="U7" s="195">
        <f ca="1">'Calc (2)'!AB21</f>
        <v>51533</v>
      </c>
      <c r="V7" s="167"/>
      <c r="W7" s="222" t="str">
        <f ca="1">ROUND((U7-S7)/365.25,0) &amp; " anos"</f>
        <v>-3 anos</v>
      </c>
    </row>
    <row r="8" spans="2:23" ht="12" customHeight="1" x14ac:dyDescent="0.3">
      <c r="B8" s="161"/>
      <c r="C8" s="161"/>
      <c r="D8" s="161"/>
      <c r="E8" s="161"/>
      <c r="F8" s="227"/>
      <c r="G8" s="161"/>
      <c r="H8" s="232"/>
      <c r="I8" s="161"/>
      <c r="J8" s="161"/>
      <c r="K8" s="161"/>
      <c r="L8" s="228"/>
      <c r="M8" s="161"/>
      <c r="N8" s="233"/>
      <c r="O8" s="226"/>
      <c r="P8" s="161"/>
      <c r="Q8" s="234"/>
      <c r="R8" s="230"/>
      <c r="S8" s="235" t="str">
        <f ca="1">'Calc (3)'!AC21 &amp; " ↑"</f>
        <v>Aprox. 20 anos ou 240 meses ↑</v>
      </c>
      <c r="T8" s="161"/>
      <c r="U8" s="161"/>
      <c r="V8" s="230"/>
      <c r="W8" s="235" t="str">
        <f ca="1">"↑ " &amp; 'Calc (2)'!AC21</f>
        <v>↑ Aprox. 17 anos ou 198 meses</v>
      </c>
    </row>
    <row r="9" spans="2:23" ht="12" customHeight="1" x14ac:dyDescent="0.3">
      <c r="F9" s="175"/>
      <c r="H9" s="173"/>
      <c r="L9" s="35"/>
      <c r="N9" s="205"/>
      <c r="O9" s="132"/>
      <c r="Q9" s="169"/>
      <c r="R9" s="167"/>
      <c r="S9" s="166"/>
      <c r="T9" s="167"/>
      <c r="U9" s="166"/>
      <c r="V9" s="167"/>
      <c r="W9" s="166"/>
    </row>
    <row r="10" spans="2:23" ht="21" customHeight="1" x14ac:dyDescent="0.25">
      <c r="D10" s="26" t="s">
        <v>12</v>
      </c>
      <c r="F10" s="172">
        <v>0.15</v>
      </c>
      <c r="H10" s="224" t="s">
        <v>19</v>
      </c>
      <c r="L10" s="42">
        <v>0.2</v>
      </c>
      <c r="N10" s="203" t="s">
        <v>19</v>
      </c>
      <c r="O10" s="132"/>
      <c r="Q10" s="199" t="s">
        <v>79</v>
      </c>
      <c r="R10" s="167"/>
      <c r="S10" s="193">
        <f ca="1">'Calc (3)'!AC11</f>
        <v>442457.78302295093</v>
      </c>
      <c r="T10" s="167"/>
      <c r="U10" s="194">
        <f ca="1">'Calc (2)'!AC11</f>
        <v>442457.78302295093</v>
      </c>
      <c r="V10" s="167"/>
      <c r="W10" s="192">
        <f ca="1">U10/S10-1</f>
        <v>0</v>
      </c>
    </row>
    <row r="11" spans="2:23" ht="12" customHeight="1" x14ac:dyDescent="0.3">
      <c r="B11" s="161"/>
      <c r="C11" s="161"/>
      <c r="D11" s="161"/>
      <c r="E11" s="161"/>
      <c r="F11" s="227"/>
      <c r="G11" s="161"/>
      <c r="H11" s="232"/>
      <c r="I11" s="161"/>
      <c r="J11" s="161"/>
      <c r="K11" s="161"/>
      <c r="L11" s="228"/>
      <c r="M11" s="161"/>
      <c r="N11" s="233"/>
      <c r="O11" s="226"/>
      <c r="P11" s="236"/>
      <c r="Q11" s="236"/>
      <c r="R11" s="237" t="s">
        <v>111</v>
      </c>
      <c r="S11" s="238">
        <f ca="1">S10/S4</f>
        <v>0.44385489200283479</v>
      </c>
      <c r="T11" s="239"/>
      <c r="U11" s="240">
        <f ca="1">U10/U4</f>
        <v>0.276925860298816</v>
      </c>
      <c r="V11" s="230"/>
      <c r="W11" s="231"/>
    </row>
    <row r="12" spans="2:23" ht="12" customHeight="1" x14ac:dyDescent="0.3">
      <c r="F12" s="176"/>
      <c r="H12" s="173"/>
      <c r="L12" s="35"/>
      <c r="N12" s="205"/>
      <c r="O12" s="132"/>
      <c r="Q12" s="168"/>
      <c r="R12" s="167"/>
      <c r="S12" s="177"/>
      <c r="T12" s="167"/>
      <c r="U12" s="177"/>
      <c r="V12" s="167"/>
      <c r="W12" s="166"/>
    </row>
    <row r="13" spans="2:23" ht="21" customHeight="1" x14ac:dyDescent="0.25">
      <c r="D13" s="26" t="s">
        <v>13</v>
      </c>
      <c r="F13" s="174">
        <v>20</v>
      </c>
      <c r="H13" s="224" t="s">
        <v>2</v>
      </c>
      <c r="L13" s="41">
        <v>20</v>
      </c>
      <c r="N13" s="203" t="s">
        <v>2</v>
      </c>
      <c r="O13" s="132"/>
      <c r="Q13" s="199" t="s">
        <v>80</v>
      </c>
      <c r="R13" s="167"/>
      <c r="S13" s="193">
        <f ca="1">'Calc (3)'!AC10</f>
        <v>554394.54640935617</v>
      </c>
      <c r="T13" s="167"/>
      <c r="U13" s="194">
        <f ca="1">'Calc (2)'!AC10</f>
        <v>1155290.374355772</v>
      </c>
      <c r="V13" s="167"/>
      <c r="W13" s="192">
        <f ca="1">U13/S13-1</f>
        <v>1.0838775955467712</v>
      </c>
    </row>
    <row r="14" spans="2:23" ht="12" customHeight="1" x14ac:dyDescent="0.3">
      <c r="B14" s="161"/>
      <c r="C14" s="161"/>
      <c r="D14" s="161"/>
      <c r="E14" s="161"/>
      <c r="F14" s="227"/>
      <c r="G14" s="161"/>
      <c r="H14" s="232"/>
      <c r="I14" s="161"/>
      <c r="J14" s="161"/>
      <c r="K14" s="161"/>
      <c r="L14" s="228"/>
      <c r="M14" s="161"/>
      <c r="N14" s="233"/>
      <c r="O14" s="226"/>
      <c r="P14" s="161"/>
      <c r="Q14" s="162"/>
      <c r="R14" s="241" t="s">
        <v>110</v>
      </c>
      <c r="S14" s="238">
        <f ca="1">S13/S4</f>
        <v>0.55614510799716532</v>
      </c>
      <c r="T14" s="239"/>
      <c r="U14" s="240">
        <f ca="1">U13/U4</f>
        <v>0.72307413970118406</v>
      </c>
      <c r="V14" s="230"/>
      <c r="W14" s="231"/>
    </row>
    <row r="15" spans="2:23" ht="12" customHeight="1" x14ac:dyDescent="0.3">
      <c r="F15" s="175"/>
      <c r="H15" s="173"/>
      <c r="L15" s="35"/>
      <c r="N15" s="205"/>
      <c r="O15" s="132"/>
      <c r="Q15" s="168"/>
      <c r="R15" s="167"/>
      <c r="S15" s="166"/>
      <c r="T15" s="167"/>
      <c r="U15" s="166"/>
      <c r="V15" s="167"/>
      <c r="W15" s="166"/>
    </row>
    <row r="16" spans="2:23" ht="21" customHeight="1" x14ac:dyDescent="0.25">
      <c r="D16" s="26" t="s">
        <v>1</v>
      </c>
      <c r="F16" s="172">
        <v>4.4999999999999998E-2</v>
      </c>
      <c r="H16" s="224" t="s">
        <v>19</v>
      </c>
      <c r="L16" s="42">
        <v>4.4999999999999998E-2</v>
      </c>
      <c r="N16" s="203" t="s">
        <v>19</v>
      </c>
      <c r="O16" s="132"/>
      <c r="Q16" s="168"/>
      <c r="R16" s="167"/>
      <c r="S16" s="166"/>
      <c r="T16" s="167"/>
      <c r="U16" s="166"/>
      <c r="V16" s="167"/>
      <c r="W16" s="166"/>
    </row>
    <row r="17" spans="2:23" ht="15" customHeight="1" x14ac:dyDescent="0.25"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197"/>
      <c r="Q17" s="166"/>
      <c r="R17" s="167"/>
      <c r="S17" s="166"/>
      <c r="T17" s="167"/>
      <c r="U17" s="166"/>
      <c r="V17" s="167"/>
      <c r="W17" s="166"/>
    </row>
    <row r="18" spans="2:23" ht="15" customHeight="1" x14ac:dyDescent="0.25">
      <c r="O18" s="132"/>
      <c r="Q18" s="165"/>
      <c r="S18" s="165"/>
      <c r="U18" s="165"/>
      <c r="W18" s="165"/>
    </row>
    <row r="19" spans="2:23" ht="21" customHeight="1" x14ac:dyDescent="0.3">
      <c r="B19" s="40" t="s">
        <v>141</v>
      </c>
      <c r="C19" s="28"/>
      <c r="D19" s="29"/>
      <c r="E19" s="28"/>
      <c r="F19" s="28"/>
      <c r="H19" s="249" t="s">
        <v>142</v>
      </c>
      <c r="J19" s="35"/>
      <c r="L19" s="36"/>
      <c r="M19" s="35"/>
      <c r="O19" s="164"/>
      <c r="P19" s="35"/>
      <c r="R19" s="35"/>
      <c r="T19" s="35"/>
      <c r="V19" s="35"/>
    </row>
    <row r="20" spans="2:23" ht="15" customHeight="1" x14ac:dyDescent="0.3">
      <c r="H20" s="35"/>
      <c r="J20" s="35"/>
      <c r="L20" s="35"/>
      <c r="M20" s="35"/>
      <c r="O20" s="164"/>
      <c r="P20" s="35"/>
      <c r="R20" s="35"/>
      <c r="T20" s="35"/>
      <c r="V20" s="35"/>
    </row>
    <row r="21" spans="2:23" ht="21" customHeight="1" x14ac:dyDescent="0.3">
      <c r="D21" s="26"/>
      <c r="H21" s="174" t="s">
        <v>23</v>
      </c>
      <c r="J21" s="35"/>
      <c r="L21" s="41" t="s">
        <v>23</v>
      </c>
      <c r="M21" s="35"/>
      <c r="N21" s="36"/>
      <c r="O21" s="132"/>
    </row>
    <row r="22" spans="2:23" ht="12" customHeight="1" x14ac:dyDescent="0.3">
      <c r="B22" s="161"/>
      <c r="C22" s="161"/>
      <c r="D22" s="161"/>
      <c r="E22" s="161"/>
      <c r="F22" s="161"/>
      <c r="G22" s="161"/>
      <c r="H22" s="242"/>
      <c r="I22" s="161"/>
      <c r="J22" s="228"/>
      <c r="K22" s="161"/>
      <c r="L22" s="228"/>
      <c r="M22" s="228"/>
      <c r="N22" s="228"/>
      <c r="O22" s="226"/>
      <c r="Q22" s="257" t="s">
        <v>144</v>
      </c>
    </row>
    <row r="23" spans="2:23" ht="12" customHeight="1" x14ac:dyDescent="0.3">
      <c r="H23" s="225"/>
      <c r="J23" s="35"/>
      <c r="L23" s="35"/>
      <c r="M23" s="35"/>
      <c r="N23" s="35"/>
      <c r="O23" s="132"/>
      <c r="Q23" s="207"/>
    </row>
    <row r="24" spans="2:23" ht="21" customHeight="1" x14ac:dyDescent="0.3">
      <c r="D24" s="26" t="s">
        <v>33</v>
      </c>
      <c r="H24" s="174" t="s">
        <v>16</v>
      </c>
      <c r="J24" s="35"/>
      <c r="L24" s="41" t="s">
        <v>16</v>
      </c>
      <c r="M24" s="35"/>
      <c r="N24" s="36"/>
      <c r="O24" s="132"/>
      <c r="Q24" s="208" t="s">
        <v>107</v>
      </c>
      <c r="R24" s="28"/>
      <c r="S24" s="28"/>
      <c r="T24" s="28"/>
      <c r="U24" s="28"/>
      <c r="V24" s="28"/>
      <c r="W24" s="28"/>
    </row>
    <row r="25" spans="2:23" ht="12" customHeight="1" x14ac:dyDescent="0.3">
      <c r="B25" s="161"/>
      <c r="C25" s="161"/>
      <c r="D25" s="161"/>
      <c r="E25" s="161"/>
      <c r="F25" s="161"/>
      <c r="G25" s="161"/>
      <c r="H25" s="242"/>
      <c r="I25" s="161"/>
      <c r="J25" s="228"/>
      <c r="K25" s="161"/>
      <c r="L25" s="228"/>
      <c r="M25" s="228"/>
      <c r="N25" s="228"/>
      <c r="O25" s="226"/>
    </row>
    <row r="26" spans="2:23" ht="12" customHeight="1" x14ac:dyDescent="0.3">
      <c r="H26" s="225"/>
      <c r="J26" s="35"/>
      <c r="L26" s="35"/>
      <c r="M26" s="35"/>
      <c r="N26" s="35"/>
      <c r="O26" s="132"/>
      <c r="Q26" s="152" t="s">
        <v>82</v>
      </c>
    </row>
    <row r="27" spans="2:23" ht="21" customHeight="1" x14ac:dyDescent="0.3">
      <c r="D27" s="26" t="s">
        <v>12</v>
      </c>
      <c r="H27" s="174" t="s">
        <v>3</v>
      </c>
      <c r="J27" s="35"/>
      <c r="L27" s="41" t="s">
        <v>3</v>
      </c>
      <c r="M27" s="35"/>
      <c r="N27" s="36"/>
      <c r="O27" s="132"/>
      <c r="Q27" s="128" t="s">
        <v>5</v>
      </c>
      <c r="R27" s="268" t="s">
        <v>42</v>
      </c>
      <c r="S27" s="269"/>
      <c r="T27" s="265" t="s">
        <v>76</v>
      </c>
      <c r="U27" s="266"/>
      <c r="V27" s="267"/>
      <c r="W27" s="137" t="s">
        <v>43</v>
      </c>
    </row>
    <row r="28" spans="2:23" ht="12" customHeight="1" x14ac:dyDescent="0.3">
      <c r="B28" s="161"/>
      <c r="C28" s="161"/>
      <c r="D28" s="161"/>
      <c r="E28" s="161"/>
      <c r="F28" s="161"/>
      <c r="G28" s="161"/>
      <c r="H28" s="242"/>
      <c r="I28" s="161"/>
      <c r="J28" s="228"/>
      <c r="K28" s="161"/>
      <c r="L28" s="228"/>
      <c r="M28" s="228"/>
      <c r="N28" s="228"/>
      <c r="O28" s="226"/>
      <c r="Q28" s="181">
        <f>Calc!AD63</f>
        <v>0</v>
      </c>
      <c r="R28" s="262">
        <f>'Calc (2)'!AE40</f>
        <v>0.68069705915452372</v>
      </c>
      <c r="S28" s="263"/>
      <c r="T28" s="183"/>
      <c r="U28" s="184"/>
      <c r="V28" s="184"/>
      <c r="W28" s="187">
        <f>'Calc (2)'!AF40</f>
        <v>0.31930294084547628</v>
      </c>
    </row>
    <row r="29" spans="2:23" ht="12" customHeight="1" x14ac:dyDescent="0.3">
      <c r="H29" s="225"/>
      <c r="J29" s="35"/>
      <c r="L29" s="35"/>
      <c r="M29" s="35"/>
      <c r="N29" s="35"/>
      <c r="O29" s="132"/>
      <c r="Q29" s="181">
        <v>10</v>
      </c>
      <c r="R29" s="262">
        <f>'Calc (2)'!AE41</f>
        <v>0.50072431577894938</v>
      </c>
      <c r="S29" s="263"/>
      <c r="T29" s="183"/>
      <c r="U29" s="184"/>
      <c r="V29" s="184"/>
      <c r="W29" s="188">
        <f>'Calc (2)'!AF41</f>
        <v>0.49927568422105062</v>
      </c>
    </row>
    <row r="30" spans="2:23" ht="21" customHeight="1" x14ac:dyDescent="0.3">
      <c r="D30" s="26" t="s">
        <v>13</v>
      </c>
      <c r="H30" s="174" t="s">
        <v>16</v>
      </c>
      <c r="J30" s="172">
        <v>0.05</v>
      </c>
      <c r="L30" s="41" t="s">
        <v>16</v>
      </c>
      <c r="M30" s="35"/>
      <c r="N30" s="42">
        <v>0.05</v>
      </c>
      <c r="O30" s="132"/>
      <c r="Q30" s="181">
        <v>15</v>
      </c>
      <c r="R30" s="262">
        <f>'Calc (2)'!AE42</f>
        <v>0.37206796065231185</v>
      </c>
      <c r="S30" s="263"/>
      <c r="T30" s="183"/>
      <c r="U30" s="184"/>
      <c r="V30" s="184"/>
      <c r="W30" s="188">
        <f>'Calc (2)'!AF42</f>
        <v>0.62793203934768815</v>
      </c>
    </row>
    <row r="31" spans="2:23" ht="12" customHeight="1" x14ac:dyDescent="0.3">
      <c r="B31" s="161"/>
      <c r="C31" s="161"/>
      <c r="D31" s="161"/>
      <c r="E31" s="161"/>
      <c r="F31" s="161"/>
      <c r="G31" s="161"/>
      <c r="H31" s="242"/>
      <c r="I31" s="161"/>
      <c r="J31" s="243"/>
      <c r="K31" s="161"/>
      <c r="L31" s="228"/>
      <c r="M31" s="228"/>
      <c r="N31" s="228"/>
      <c r="O31" s="226"/>
      <c r="Q31" s="181">
        <v>20</v>
      </c>
      <c r="R31" s="262">
        <f>'Calc (2)'!AE43</f>
        <v>0.276925860298816</v>
      </c>
      <c r="S31" s="263"/>
      <c r="T31" s="183"/>
      <c r="U31" s="184"/>
      <c r="V31" s="184"/>
      <c r="W31" s="188">
        <f>'Calc (2)'!AF43</f>
        <v>0.72307413970118395</v>
      </c>
    </row>
    <row r="32" spans="2:23" ht="12" customHeight="1" x14ac:dyDescent="0.3">
      <c r="H32" s="225"/>
      <c r="J32" s="173"/>
      <c r="L32" s="35"/>
      <c r="M32" s="35"/>
      <c r="N32" s="35"/>
      <c r="O32" s="132"/>
      <c r="Q32" s="181">
        <v>25</v>
      </c>
      <c r="R32" s="262">
        <f>'Calc (2)'!AE44</f>
        <v>0.2059882164822851</v>
      </c>
      <c r="S32" s="263"/>
      <c r="T32" s="183"/>
      <c r="U32" s="184"/>
      <c r="V32" s="184"/>
      <c r="W32" s="188">
        <f>'Calc (2)'!AF44</f>
        <v>0.79401178351771495</v>
      </c>
    </row>
    <row r="33" spans="2:23" ht="21" customHeight="1" x14ac:dyDescent="0.3">
      <c r="D33" s="26" t="s">
        <v>1</v>
      </c>
      <c r="H33" s="174" t="s">
        <v>16</v>
      </c>
      <c r="J33" s="172">
        <v>0.15</v>
      </c>
      <c r="L33" s="41" t="s">
        <v>16</v>
      </c>
      <c r="M33" s="35"/>
      <c r="N33" s="42">
        <v>0.15</v>
      </c>
      <c r="O33" s="132"/>
      <c r="Q33" s="181">
        <v>30</v>
      </c>
      <c r="R33" s="262">
        <f>'Calc (2)'!AE45</f>
        <v>0.15301353662208195</v>
      </c>
      <c r="S33" s="263"/>
      <c r="T33" s="183"/>
      <c r="U33" s="184"/>
      <c r="V33" s="184"/>
      <c r="W33" s="188">
        <f>'Calc (2)'!AF45</f>
        <v>0.84698646337791805</v>
      </c>
    </row>
    <row r="34" spans="2:23" x14ac:dyDescent="0.25"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197"/>
      <c r="Q34" s="181">
        <v>35</v>
      </c>
      <c r="R34" s="262">
        <f>'Calc (2)'!AE46</f>
        <v>0.1134807191376266</v>
      </c>
      <c r="S34" s="263"/>
      <c r="T34" s="183"/>
      <c r="U34" s="184"/>
      <c r="V34" s="184"/>
      <c r="W34" s="188">
        <f>'Calc (2)'!AF46</f>
        <v>0.88651928086237342</v>
      </c>
    </row>
    <row r="35" spans="2:23" x14ac:dyDescent="0.25">
      <c r="O35" s="132"/>
      <c r="Q35" s="181">
        <v>40</v>
      </c>
      <c r="R35" s="262">
        <f>'Calc (2)'!AE47</f>
        <v>8.4025253353370563E-2</v>
      </c>
      <c r="S35" s="263"/>
      <c r="T35" s="183"/>
      <c r="U35" s="184"/>
      <c r="V35" s="184"/>
      <c r="W35" s="188">
        <f>'Calc (2)'!AF47</f>
        <v>0.91597474664662948</v>
      </c>
    </row>
    <row r="36" spans="2:23" x14ac:dyDescent="0.25">
      <c r="O36" s="132"/>
      <c r="Q36" s="181">
        <v>45</v>
      </c>
      <c r="R36" s="262">
        <f>'Calc (2)'!AE48</f>
        <v>6.2119483245128636E-2</v>
      </c>
      <c r="S36" s="263"/>
      <c r="T36" s="183"/>
      <c r="U36" s="184"/>
      <c r="V36" s="184"/>
      <c r="W36" s="188">
        <f>'Calc (2)'!AF48</f>
        <v>0.93788051675487139</v>
      </c>
    </row>
    <row r="37" spans="2:23" x14ac:dyDescent="0.25">
      <c r="O37" s="132"/>
      <c r="Q37" s="182">
        <v>50</v>
      </c>
      <c r="R37" s="270">
        <f>'Calc (2)'!AE49</f>
        <v>4.5859728453317282E-2</v>
      </c>
      <c r="S37" s="271"/>
      <c r="T37" s="185"/>
      <c r="U37" s="186"/>
      <c r="V37" s="186"/>
      <c r="W37" s="189">
        <f>'Calc (2)'!AF49</f>
        <v>0.95414027154668268</v>
      </c>
    </row>
    <row r="38" spans="2:23" x14ac:dyDescent="0.25"/>
    <row r="39" spans="2:23" x14ac:dyDescent="0.25"/>
  </sheetData>
  <sheetProtection sheet="1" objects="1" scenarios="1"/>
  <mergeCells count="13">
    <mergeCell ref="R36:S36"/>
    <mergeCell ref="R37:S37"/>
    <mergeCell ref="R32:S32"/>
    <mergeCell ref="R31:S31"/>
    <mergeCell ref="R33:S33"/>
    <mergeCell ref="R34:S34"/>
    <mergeCell ref="R35:S35"/>
    <mergeCell ref="R30:S30"/>
    <mergeCell ref="L2:N2"/>
    <mergeCell ref="T27:V27"/>
    <mergeCell ref="R27:S27"/>
    <mergeCell ref="R28:S28"/>
    <mergeCell ref="R29:S29"/>
  </mergeCells>
  <dataValidations count="7">
    <dataValidation type="list" allowBlank="1" showErrorMessage="1" sqref="N33">
      <formula1>$S$1:$V$1</formula1>
    </dataValidation>
    <dataValidation type="list" allowBlank="1" showErrorMessage="1" prompt="_x000d_" sqref="L33 H24 H30 H27 H33 L24 L30 L27">
      <formula1>"Sim,Não"</formula1>
    </dataValidation>
    <dataValidation type="list" allowBlank="1" showInputMessage="1" showErrorMessage="1" sqref="H22 N13 H13 L22">
      <formula1>$M$1:$N$1</formula1>
    </dataValidation>
    <dataValidation type="list" allowBlank="1" showInputMessage="1" showErrorMessage="1" sqref="N14 H14 N11 H11">
      <formula1>#REF!</formula1>
    </dataValidation>
    <dataValidation type="list" allowBlank="1" showInputMessage="1" showErrorMessage="1" sqref="N7 H10 H16 H7 N10 N16">
      <formula1>$O$1:$P$1</formula1>
    </dataValidation>
    <dataValidation type="list" allowBlank="1" showInputMessage="1" showErrorMessage="1" sqref="H21 L21">
      <formula1>$Q$1:$R$1</formula1>
    </dataValidation>
    <dataValidation type="list" allowBlank="1" showInputMessage="1" showErrorMessage="1" sqref="J33">
      <formula1>$S$1:$V$1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AG604"/>
  <sheetViews>
    <sheetView showGridLines="0" topLeftCell="P1" workbookViewId="0">
      <selection activeCell="AC22" sqref="AC22"/>
    </sheetView>
  </sheetViews>
  <sheetFormatPr defaultColWidth="9.140625" defaultRowHeight="12.75" x14ac:dyDescent="0.2"/>
  <cols>
    <col min="1" max="1" width="5.7109375" style="2" customWidth="1"/>
    <col min="2" max="2" width="6.7109375" style="2" bestFit="1" customWidth="1"/>
    <col min="3" max="3" width="4.28515625" style="2" bestFit="1" customWidth="1"/>
    <col min="4" max="4" width="4" style="2" bestFit="1" customWidth="1"/>
    <col min="5" max="5" width="9.42578125" style="2" bestFit="1" customWidth="1"/>
    <col min="6" max="6" width="10.42578125" style="2" bestFit="1" customWidth="1"/>
    <col min="7" max="7" width="8.85546875" style="2" bestFit="1" customWidth="1"/>
    <col min="8" max="8" width="9.42578125" style="2" bestFit="1" customWidth="1"/>
    <col min="9" max="9" width="11.85546875" style="2" bestFit="1" customWidth="1"/>
    <col min="10" max="10" width="9.85546875" style="2" bestFit="1" customWidth="1"/>
    <col min="11" max="11" width="11.85546875" style="2" bestFit="1" customWidth="1"/>
    <col min="12" max="12" width="14" style="2" bestFit="1" customWidth="1"/>
    <col min="13" max="13" width="5.140625" style="2" customWidth="1"/>
    <col min="14" max="14" width="9.42578125" style="2" bestFit="1" customWidth="1"/>
    <col min="15" max="15" width="11.85546875" style="2" bestFit="1" customWidth="1"/>
    <col min="16" max="16" width="4.7109375" style="2" customWidth="1"/>
    <col min="17" max="17" width="11.42578125" style="2" customWidth="1"/>
    <col min="18" max="18" width="12.42578125" style="2" bestFit="1" customWidth="1"/>
    <col min="19" max="19" width="16.28515625" style="2" bestFit="1" customWidth="1"/>
    <col min="20" max="20" width="4.28515625" style="2" bestFit="1" customWidth="1"/>
    <col min="21" max="21" width="6.7109375" style="2" bestFit="1" customWidth="1"/>
    <col min="22" max="22" width="12.85546875" style="2" bestFit="1" customWidth="1"/>
    <col min="23" max="23" width="4" style="2" bestFit="1" customWidth="1"/>
    <col min="24" max="24" width="6.42578125" style="2" bestFit="1" customWidth="1"/>
    <col min="25" max="26" width="5.7109375" style="2" customWidth="1"/>
    <col min="27" max="27" width="12" style="44" customWidth="1"/>
    <col min="28" max="28" width="11.140625" style="44" customWidth="1"/>
    <col min="29" max="30" width="12.42578125" style="2" customWidth="1"/>
    <col min="31" max="31" width="11.28515625" style="2" bestFit="1" customWidth="1"/>
    <col min="32" max="16384" width="9.140625" style="2"/>
  </cols>
  <sheetData>
    <row r="1" spans="2:33" x14ac:dyDescent="0.2">
      <c r="G1" s="5"/>
      <c r="H1" s="5"/>
      <c r="I1" s="5"/>
      <c r="J1" s="5"/>
      <c r="K1" s="5"/>
      <c r="L1" s="5"/>
      <c r="M1" s="5"/>
      <c r="N1" s="5"/>
      <c r="O1" s="5"/>
      <c r="P1" s="20"/>
      <c r="Q1" s="20"/>
      <c r="R1" s="20"/>
      <c r="S1" s="20"/>
    </row>
    <row r="2" spans="2:33" ht="18.75" x14ac:dyDescent="0.3">
      <c r="B2" s="1" t="s">
        <v>15</v>
      </c>
    </row>
    <row r="3" spans="2:33" ht="13.5" thickBot="1" x14ac:dyDescent="0.25">
      <c r="AA3" s="55" t="s">
        <v>55</v>
      </c>
    </row>
    <row r="4" spans="2:33" x14ac:dyDescent="0.2">
      <c r="B4" s="4" t="s">
        <v>4</v>
      </c>
      <c r="C4" s="4" t="s">
        <v>4</v>
      </c>
      <c r="D4" s="4" t="s">
        <v>5</v>
      </c>
      <c r="E4" s="4" t="s">
        <v>6</v>
      </c>
      <c r="F4" s="4" t="s">
        <v>7</v>
      </c>
      <c r="G4" s="4" t="s">
        <v>30</v>
      </c>
      <c r="H4" s="4" t="s">
        <v>8</v>
      </c>
      <c r="I4" s="4" t="s">
        <v>7</v>
      </c>
      <c r="J4" s="4" t="s">
        <v>31</v>
      </c>
      <c r="K4" s="4" t="s">
        <v>39</v>
      </c>
      <c r="L4" s="4" t="s">
        <v>40</v>
      </c>
      <c r="M4" s="4" t="s">
        <v>41</v>
      </c>
      <c r="N4" s="4" t="s">
        <v>1</v>
      </c>
      <c r="O4" s="4" t="s">
        <v>7</v>
      </c>
      <c r="P4" s="4" t="s">
        <v>32</v>
      </c>
      <c r="Q4" s="4" t="s">
        <v>9</v>
      </c>
      <c r="R4" s="4" t="s">
        <v>10</v>
      </c>
      <c r="S4" s="4" t="s">
        <v>11</v>
      </c>
      <c r="T4" s="4" t="s">
        <v>4</v>
      </c>
      <c r="U4" s="4" t="s">
        <v>4</v>
      </c>
      <c r="V4" s="4" t="s">
        <v>38</v>
      </c>
      <c r="W4" s="4" t="s">
        <v>5</v>
      </c>
      <c r="X4" s="4" t="s">
        <v>5</v>
      </c>
      <c r="AA4" s="2"/>
      <c r="AB4" s="128" t="s">
        <v>63</v>
      </c>
      <c r="AC4" s="129">
        <f>$AF$29*12-1</f>
        <v>239</v>
      </c>
      <c r="AE4" s="19" t="s">
        <v>25</v>
      </c>
      <c r="AF4" s="18">
        <f ca="1">DATE(YEAR(TODAY()),MONTH(TODAY()),1)</f>
        <v>45505</v>
      </c>
    </row>
    <row r="5" spans="2:33" x14ac:dyDescent="0.2">
      <c r="B5" s="16">
        <f ca="1">DATE(YEAR(Mês_Atual_3),MONTH(Mês_Atual_3)+$AE$31,1)</f>
        <v>45505</v>
      </c>
      <c r="C5" s="8">
        <v>1</v>
      </c>
      <c r="D5" s="8"/>
      <c r="E5" s="10">
        <f>IF($AE$33,IF($AE$34,Aportes_3*(1+Inflação_3)*(1+Crescimento_Salário_3),Aportes_3*(1+Inflação_3)),IF($AE$34,Aportes_3*(1+Crescimento_Salário_3),Aportes_3))</f>
        <v>1004.0741237836484</v>
      </c>
      <c r="F5" s="11">
        <f>Capital_Inicial_3+E5</f>
        <v>36004.074123783648</v>
      </c>
      <c r="G5" s="12">
        <f>IF(F5&lt;=0,0,F5/S5)</f>
        <v>0.99395151448054675</v>
      </c>
      <c r="H5" s="10">
        <f>Capital_Inicial_3*Taxa_3</f>
        <v>348.51877836563801</v>
      </c>
      <c r="I5" s="10">
        <f>H5</f>
        <v>348.51877836563801</v>
      </c>
      <c r="J5" s="12">
        <f t="shared" ref="J5:J68" si="0">1-G5</f>
        <v>6.0484855194532505E-3</v>
      </c>
      <c r="K5" s="13">
        <f>R5-F5</f>
        <v>219.09531582416821</v>
      </c>
      <c r="L5" s="10">
        <f>K5</f>
        <v>219.09531582416821</v>
      </c>
      <c r="M5" s="12">
        <f>K5/R5</f>
        <v>6.0484855194532176E-3</v>
      </c>
      <c r="N5" s="10">
        <f t="shared" ref="N5:N68" si="1">Q5*Inflação_3</f>
        <v>133.58885012707216</v>
      </c>
      <c r="O5" s="10">
        <f>Q5-R5</f>
        <v>129.42346254146833</v>
      </c>
      <c r="P5" s="12">
        <f t="shared" ref="P5:P68" si="2">O5/Q5</f>
        <v>3.5602264435397779E-3</v>
      </c>
      <c r="Q5" s="6">
        <f>Capital_Inicial_3+E5+H5</f>
        <v>36352.592902149285</v>
      </c>
      <c r="R5" s="6">
        <f>AD26+E5+AD26*((1+Taxa_3)/(1+Inflação_3)-1)</f>
        <v>36223.169439607816</v>
      </c>
      <c r="S5" s="10">
        <f>IF('Calc (3)'!$AD$32="Sim",R5,Q5)</f>
        <v>36223.169439607816</v>
      </c>
      <c r="T5" s="8">
        <f>C5</f>
        <v>1</v>
      </c>
      <c r="U5" s="16">
        <f ca="1">DATE(YEAR(AF4),MONTH(AF4)+1,1)</f>
        <v>45536</v>
      </c>
      <c r="V5" s="123">
        <f t="shared" ref="V5:V54" si="3">INDEX($S$5:$S$997,Y5,0)</f>
        <v>50546.629891801866</v>
      </c>
      <c r="W5" s="67">
        <v>1</v>
      </c>
      <c r="X5" s="131">
        <f ca="1">DATE(YEAR(TODAY())+W5,MONTH(TODAY()),1)</f>
        <v>45870</v>
      </c>
      <c r="Y5" s="5">
        <f>W5*12</f>
        <v>12</v>
      </c>
      <c r="Z5" s="5"/>
      <c r="AB5" s="128" t="s">
        <v>4</v>
      </c>
      <c r="AC5" s="126">
        <f ca="1">INDEX($U$5:$U$1000,AC4+1,0)</f>
        <v>52810</v>
      </c>
    </row>
    <row r="6" spans="2:33" x14ac:dyDescent="0.2">
      <c r="B6" s="17">
        <f t="shared" ref="B6:B69" ca="1" si="4">DATE(YEAR(B5),MONTH(B5)+1,1)</f>
        <v>45536</v>
      </c>
      <c r="C6" s="9">
        <f>C5+1</f>
        <v>2</v>
      </c>
      <c r="D6" s="9"/>
      <c r="E6" s="13">
        <f t="shared" ref="E6:E69" si="5">IF($AE$33,IF($AE$34,$E5*(1+Inflação_3)*(1+Crescimento_Salário_3),$E5*(1+Inflação_3)),IF($AE$34,$E5*(1+Crescimento_Salário_3),$E5))</f>
        <v>1008.1648460519012</v>
      </c>
      <c r="F6" s="14">
        <f>F5+E6</f>
        <v>37012.238969835547</v>
      </c>
      <c r="G6" s="15">
        <f t="shared" ref="G6:G69" si="6">IF(F6&lt;=0,0,F6/S6)</f>
        <v>0.98793098204271568</v>
      </c>
      <c r="H6" s="13">
        <f t="shared" ref="H6:H69" si="7">Q5*Taxa_3</f>
        <v>361.98746481944096</v>
      </c>
      <c r="I6" s="13">
        <f t="shared" ref="I6:I69" si="8">I5+H6</f>
        <v>710.50624318507903</v>
      </c>
      <c r="J6" s="15">
        <f t="shared" si="0"/>
        <v>1.2069017957284323E-2</v>
      </c>
      <c r="K6" s="13">
        <f t="shared" ref="K6:K69" si="9">R6-F6</f>
        <v>452.15848564908083</v>
      </c>
      <c r="L6" s="13">
        <f>L5+K6</f>
        <v>671.25380147324904</v>
      </c>
      <c r="M6" s="15">
        <f t="shared" ref="M6:M69" si="10">K6/R6</f>
        <v>1.2069017957284316E-2</v>
      </c>
      <c r="N6" s="13">
        <f t="shared" si="1"/>
        <v>138.62389871909241</v>
      </c>
      <c r="O6" s="13">
        <f t="shared" ref="O6:O69" si="11">Q6-R6</f>
        <v>258.34775753599388</v>
      </c>
      <c r="P6" s="15">
        <f t="shared" si="2"/>
        <v>6.8485937615913733E-3</v>
      </c>
      <c r="Q6" s="7">
        <f t="shared" ref="Q6:Q69" si="12">Q5+E6+H6</f>
        <v>37722.745213020622</v>
      </c>
      <c r="R6" s="7">
        <f t="shared" ref="R6:R69" si="13">(R5+E6)*(1+((1+Taxa_3)/(1+Inflação_3)-1))</f>
        <v>37464.397455484628</v>
      </c>
      <c r="S6" s="13">
        <f>IF('Calc (3)'!$AD$32="Sim",R6,Q6)</f>
        <v>37464.397455484628</v>
      </c>
      <c r="T6" s="9">
        <f t="shared" ref="T6:T69" si="14">C6</f>
        <v>2</v>
      </c>
      <c r="U6" s="17">
        <f t="shared" ref="U6:U69" ca="1" si="15">DATE(YEAR(U5),MONTH(U5)+1,1)</f>
        <v>45566</v>
      </c>
      <c r="V6" s="124">
        <f t="shared" si="3"/>
        <v>67950.477493168975</v>
      </c>
      <c r="W6" s="68">
        <v>2</v>
      </c>
      <c r="X6" s="125">
        <f t="shared" ref="X6:X54" ca="1" si="16">DATE(YEAR(TODAY())+W6,MONTH(TODAY()),1)</f>
        <v>46235</v>
      </c>
      <c r="Y6" s="5">
        <f t="shared" ref="Y6:Y54" si="17">W6*12</f>
        <v>24</v>
      </c>
      <c r="Z6" s="5"/>
      <c r="AB6" s="128" t="s">
        <v>64</v>
      </c>
      <c r="AC6" s="130">
        <f>$AF$29-1</f>
        <v>19</v>
      </c>
      <c r="AE6" s="55" t="s">
        <v>86</v>
      </c>
    </row>
    <row r="7" spans="2:33" x14ac:dyDescent="0.2">
      <c r="B7" s="17">
        <f t="shared" ca="1" si="4"/>
        <v>45566</v>
      </c>
      <c r="C7" s="9">
        <f t="shared" ref="C7:C70" si="18">C6+1</f>
        <v>3</v>
      </c>
      <c r="D7" s="9"/>
      <c r="E7" s="13">
        <f t="shared" si="5"/>
        <v>1012.2722344290395</v>
      </c>
      <c r="F7" s="14">
        <f t="shared" ref="F7:F70" si="19">F6+E7</f>
        <v>38024.511204264585</v>
      </c>
      <c r="G7" s="15">
        <f t="shared" si="6"/>
        <v>0.98210068371054349</v>
      </c>
      <c r="H7" s="13">
        <f t="shared" si="7"/>
        <v>375.63100223543336</v>
      </c>
      <c r="I7" s="13">
        <f t="shared" si="8"/>
        <v>1086.1372454205125</v>
      </c>
      <c r="J7" s="15">
        <f t="shared" si="0"/>
        <v>1.7899316289456513E-2</v>
      </c>
      <c r="K7" s="13">
        <f t="shared" si="9"/>
        <v>693.01728843690944</v>
      </c>
      <c r="L7" s="13">
        <f t="shared" ref="L7:L70" si="20">L6+K7</f>
        <v>1364.2710899101585</v>
      </c>
      <c r="M7" s="15">
        <f t="shared" si="10"/>
        <v>1.7899316289456537E-2</v>
      </c>
      <c r="N7" s="13">
        <f t="shared" si="1"/>
        <v>143.72417858008373</v>
      </c>
      <c r="O7" s="13">
        <f t="shared" si="11"/>
        <v>393.11995698359533</v>
      </c>
      <c r="P7" s="15">
        <f t="shared" si="2"/>
        <v>1.0051481439622121E-2</v>
      </c>
      <c r="Q7" s="7">
        <f t="shared" si="12"/>
        <v>39110.64844968509</v>
      </c>
      <c r="R7" s="7">
        <f t="shared" si="13"/>
        <v>38717.528492701495</v>
      </c>
      <c r="S7" s="13">
        <f>IF('Calc (3)'!$AD$32="Sim",R7,Q7)</f>
        <v>38717.528492701495</v>
      </c>
      <c r="T7" s="9">
        <f t="shared" si="14"/>
        <v>3</v>
      </c>
      <c r="U7" s="17">
        <f t="shared" ca="1" si="15"/>
        <v>45597</v>
      </c>
      <c r="V7" s="124">
        <f t="shared" si="3"/>
        <v>87381.306418388762</v>
      </c>
      <c r="W7" s="68">
        <v>3</v>
      </c>
      <c r="X7" s="125">
        <f t="shared" ca="1" si="16"/>
        <v>46600</v>
      </c>
      <c r="Y7" s="5">
        <f t="shared" si="17"/>
        <v>36</v>
      </c>
      <c r="Z7" s="5"/>
      <c r="AB7" s="128" t="s">
        <v>5</v>
      </c>
      <c r="AC7" s="127">
        <f ca="1">DATE(YEAR(TODAY())+Período_3,MONTH(TODAY()),1)</f>
        <v>52810</v>
      </c>
      <c r="AE7" s="157" t="s">
        <v>87</v>
      </c>
      <c r="AF7" s="154"/>
      <c r="AG7" s="151" t="str">
        <f>IF(AE32,AE7,AE8)</f>
        <v>Patrimônio Real</v>
      </c>
    </row>
    <row r="8" spans="2:33" x14ac:dyDescent="0.2">
      <c r="B8" s="17">
        <f t="shared" ca="1" si="4"/>
        <v>45597</v>
      </c>
      <c r="C8" s="9">
        <f t="shared" si="18"/>
        <v>4</v>
      </c>
      <c r="D8" s="9"/>
      <c r="E8" s="13">
        <f t="shared" si="5"/>
        <v>1016.3963568148537</v>
      </c>
      <c r="F8" s="14">
        <f t="shared" si="19"/>
        <v>39040.907561079439</v>
      </c>
      <c r="G8" s="15">
        <f t="shared" si="6"/>
        <v>0.97644612729848579</v>
      </c>
      <c r="H8" s="13">
        <f t="shared" si="7"/>
        <v>389.4512976792052</v>
      </c>
      <c r="I8" s="13">
        <f t="shared" si="8"/>
        <v>1475.5885430997178</v>
      </c>
      <c r="J8" s="15">
        <f t="shared" si="0"/>
        <v>2.3553872701514211E-2</v>
      </c>
      <c r="K8" s="13">
        <f t="shared" si="9"/>
        <v>941.74634026087006</v>
      </c>
      <c r="L8" s="13">
        <f t="shared" si="20"/>
        <v>2306.0174301710285</v>
      </c>
      <c r="M8" s="15">
        <f t="shared" si="10"/>
        <v>2.3553872701514208E-2</v>
      </c>
      <c r="N8" s="13">
        <f t="shared" si="1"/>
        <v>148.8904007564006</v>
      </c>
      <c r="O8" s="13">
        <f t="shared" si="11"/>
        <v>533.84220283883769</v>
      </c>
      <c r="P8" s="15">
        <f t="shared" si="2"/>
        <v>1.3175922258089183E-2</v>
      </c>
      <c r="Q8" s="7">
        <f t="shared" si="12"/>
        <v>40516.496104179147</v>
      </c>
      <c r="R8" s="7">
        <f t="shared" si="13"/>
        <v>39982.653901340309</v>
      </c>
      <c r="S8" s="13">
        <f>IF('Calc (3)'!$AD$32="Sim",R8,Q8)</f>
        <v>39982.653901340309</v>
      </c>
      <c r="T8" s="9">
        <f t="shared" si="14"/>
        <v>4</v>
      </c>
      <c r="U8" s="17">
        <f t="shared" ca="1" si="15"/>
        <v>45627</v>
      </c>
      <c r="V8" s="124">
        <f t="shared" si="3"/>
        <v>109030.41694607867</v>
      </c>
      <c r="W8" s="68">
        <v>4</v>
      </c>
      <c r="X8" s="125">
        <f t="shared" ca="1" si="16"/>
        <v>46966</v>
      </c>
      <c r="Y8" s="5">
        <f t="shared" si="17"/>
        <v>48</v>
      </c>
      <c r="Z8" s="5"/>
      <c r="AA8" s="92"/>
      <c r="AB8" s="94" t="s">
        <v>51</v>
      </c>
      <c r="AC8" s="121">
        <f ca="1">OFFSET('Calc (3)'!I5,'Calc (3)'!$AC$4,0)</f>
        <v>1322458.8874836881</v>
      </c>
      <c r="AE8" s="158" t="s">
        <v>88</v>
      </c>
      <c r="AF8" s="155"/>
      <c r="AG8" s="151"/>
    </row>
    <row r="9" spans="2:33" x14ac:dyDescent="0.2">
      <c r="B9" s="17">
        <f t="shared" ca="1" si="4"/>
        <v>45627</v>
      </c>
      <c r="C9" s="9">
        <f t="shared" si="18"/>
        <v>5</v>
      </c>
      <c r="D9" s="9"/>
      <c r="E9" s="13">
        <f t="shared" si="5"/>
        <v>1020.5372813857666</v>
      </c>
      <c r="F9" s="14">
        <f t="shared" si="19"/>
        <v>40061.444842465207</v>
      </c>
      <c r="G9" s="15">
        <f t="shared" si="6"/>
        <v>0.97095432062262654</v>
      </c>
      <c r="H9" s="13">
        <f t="shared" si="7"/>
        <v>403.4502778824185</v>
      </c>
      <c r="I9" s="13">
        <f t="shared" si="8"/>
        <v>1879.0388209821363</v>
      </c>
      <c r="J9" s="15">
        <f t="shared" si="0"/>
        <v>2.9045679377373457E-2</v>
      </c>
      <c r="K9" s="13">
        <f t="shared" si="9"/>
        <v>1198.4208294602431</v>
      </c>
      <c r="L9" s="13">
        <f t="shared" si="20"/>
        <v>3504.4382596312716</v>
      </c>
      <c r="M9" s="15">
        <f t="shared" si="10"/>
        <v>2.9045679377373432E-2</v>
      </c>
      <c r="N9" s="13">
        <f t="shared" si="1"/>
        <v>154.12328362530445</v>
      </c>
      <c r="O9" s="13">
        <f t="shared" si="11"/>
        <v>680.61799152188178</v>
      </c>
      <c r="P9" s="15">
        <f t="shared" si="2"/>
        <v>1.6228186517435544E-2</v>
      </c>
      <c r="Q9" s="7">
        <f t="shared" si="12"/>
        <v>41940.483663447332</v>
      </c>
      <c r="R9" s="7">
        <f t="shared" si="13"/>
        <v>41259.86567192545</v>
      </c>
      <c r="S9" s="13">
        <f>IF('Calc (3)'!$AD$32="Sim",R9,Q9)</f>
        <v>41259.86567192545</v>
      </c>
      <c r="T9" s="9">
        <f t="shared" si="14"/>
        <v>5</v>
      </c>
      <c r="U9" s="17">
        <f t="shared" ca="1" si="15"/>
        <v>45658</v>
      </c>
      <c r="V9" s="124">
        <f t="shared" si="3"/>
        <v>133105.66892095667</v>
      </c>
      <c r="W9" s="68">
        <v>5</v>
      </c>
      <c r="X9" s="125">
        <f t="shared" ca="1" si="16"/>
        <v>47331</v>
      </c>
      <c r="Y9" s="5">
        <f t="shared" si="17"/>
        <v>60</v>
      </c>
      <c r="Z9" s="5"/>
      <c r="AA9" s="98"/>
      <c r="AB9" s="100" t="s">
        <v>52</v>
      </c>
      <c r="AC9" s="122">
        <f ca="1">AC13-AC11</f>
        <v>554394.54640935617</v>
      </c>
      <c r="AE9" s="158" t="s">
        <v>91</v>
      </c>
      <c r="AF9" s="155"/>
      <c r="AG9" s="151" t="str">
        <f>IF(AE34,AE9,AE10)</f>
        <v>Com Crescimento Salárial</v>
      </c>
    </row>
    <row r="10" spans="2:33" x14ac:dyDescent="0.2">
      <c r="B10" s="17">
        <f t="shared" ca="1" si="4"/>
        <v>45658</v>
      </c>
      <c r="C10" s="9">
        <f t="shared" si="18"/>
        <v>6</v>
      </c>
      <c r="D10" s="9"/>
      <c r="E10" s="13">
        <f t="shared" si="5"/>
        <v>1024.6950765959602</v>
      </c>
      <c r="F10" s="14">
        <f t="shared" si="19"/>
        <v>41086.13991906117</v>
      </c>
      <c r="G10" s="15">
        <f t="shared" si="6"/>
        <v>0.9656135819265308</v>
      </c>
      <c r="H10" s="13">
        <f t="shared" si="7"/>
        <v>417.62988944139039</v>
      </c>
      <c r="I10" s="13">
        <f t="shared" si="8"/>
        <v>2296.6687104235266</v>
      </c>
      <c r="J10" s="15">
        <f t="shared" si="0"/>
        <v>3.4386418073469205E-2</v>
      </c>
      <c r="K10" s="13">
        <f t="shared" si="9"/>
        <v>1463.1165206512014</v>
      </c>
      <c r="L10" s="13">
        <f t="shared" si="20"/>
        <v>4967.5547802824731</v>
      </c>
      <c r="M10" s="15">
        <f t="shared" si="10"/>
        <v>3.4386418073469205E-2</v>
      </c>
      <c r="N10" s="13">
        <f t="shared" si="1"/>
        <v>159.4235529689833</v>
      </c>
      <c r="O10" s="13">
        <f t="shared" si="11"/>
        <v>833.55218977231561</v>
      </c>
      <c r="P10" s="15">
        <f t="shared" si="2"/>
        <v>1.9213882551758078E-2</v>
      </c>
      <c r="Q10" s="7">
        <f t="shared" si="12"/>
        <v>43382.808629484687</v>
      </c>
      <c r="R10" s="7">
        <f t="shared" si="13"/>
        <v>42549.256439712372</v>
      </c>
      <c r="S10" s="13">
        <f>IF('Calc (3)'!$AD$32="Sim",R10,Q10)</f>
        <v>42549.256439712372</v>
      </c>
      <c r="T10" s="9">
        <f t="shared" si="14"/>
        <v>6</v>
      </c>
      <c r="U10" s="17">
        <f t="shared" ca="1" si="15"/>
        <v>45689</v>
      </c>
      <c r="V10" s="124">
        <f t="shared" si="3"/>
        <v>159832.85362431579</v>
      </c>
      <c r="W10" s="68">
        <v>6</v>
      </c>
      <c r="X10" s="125">
        <f t="shared" ca="1" si="16"/>
        <v>47696</v>
      </c>
      <c r="Y10" s="5">
        <f t="shared" si="17"/>
        <v>72</v>
      </c>
      <c r="Z10" s="5"/>
      <c r="AA10" s="98"/>
      <c r="AB10" s="100" t="s">
        <v>139</v>
      </c>
      <c r="AC10" s="122">
        <f ca="1">IF(AE32,AC9,AC8)</f>
        <v>554394.54640935617</v>
      </c>
      <c r="AE10" s="158" t="s">
        <v>92</v>
      </c>
      <c r="AF10" s="155"/>
      <c r="AG10" s="151"/>
    </row>
    <row r="11" spans="2:33" x14ac:dyDescent="0.2">
      <c r="B11" s="17">
        <f t="shared" ca="1" si="4"/>
        <v>45689</v>
      </c>
      <c r="C11" s="9">
        <f t="shared" si="18"/>
        <v>7</v>
      </c>
      <c r="D11" s="9"/>
      <c r="E11" s="13">
        <f t="shared" si="5"/>
        <v>1028.8698111785072</v>
      </c>
      <c r="F11" s="14">
        <f t="shared" si="19"/>
        <v>42115.009730239675</v>
      </c>
      <c r="G11" s="15">
        <f t="shared" si="6"/>
        <v>0.96041337835117091</v>
      </c>
      <c r="H11" s="13">
        <f t="shared" si="7"/>
        <v>431.99209901766466</v>
      </c>
      <c r="I11" s="13">
        <f t="shared" si="8"/>
        <v>2728.6608094411913</v>
      </c>
      <c r="J11" s="15">
        <f t="shared" si="0"/>
        <v>3.958662164882909E-2</v>
      </c>
      <c r="K11" s="13">
        <f t="shared" si="9"/>
        <v>1735.9097587644719</v>
      </c>
      <c r="L11" s="13">
        <f t="shared" si="20"/>
        <v>6703.464539046945</v>
      </c>
      <c r="M11" s="15">
        <f t="shared" si="10"/>
        <v>3.9586621648829062E-2</v>
      </c>
      <c r="N11" s="13">
        <f t="shared" si="1"/>
        <v>164.7919420493123</v>
      </c>
      <c r="O11" s="13">
        <f t="shared" si="11"/>
        <v>992.75105067670665</v>
      </c>
      <c r="P11" s="15">
        <f t="shared" si="2"/>
        <v>2.213804175102594E-2</v>
      </c>
      <c r="Q11" s="7">
        <f t="shared" si="12"/>
        <v>44843.670539680854</v>
      </c>
      <c r="R11" s="7">
        <f t="shared" si="13"/>
        <v>43850.919489004147</v>
      </c>
      <c r="S11" s="13">
        <f>IF('Calc (3)'!$AD$32="Sim",R11,Q11)</f>
        <v>43850.919489004147</v>
      </c>
      <c r="T11" s="9">
        <f t="shared" si="14"/>
        <v>7</v>
      </c>
      <c r="U11" s="17">
        <f t="shared" ca="1" si="15"/>
        <v>45717</v>
      </c>
      <c r="V11" s="124">
        <f t="shared" si="3"/>
        <v>189457.17653074997</v>
      </c>
      <c r="W11" s="68">
        <v>7</v>
      </c>
      <c r="X11" s="125">
        <f t="shared" ca="1" si="16"/>
        <v>48061</v>
      </c>
      <c r="Y11" s="5">
        <f t="shared" si="17"/>
        <v>84</v>
      </c>
      <c r="Z11" s="5"/>
      <c r="AA11" s="98"/>
      <c r="AB11" s="100" t="s">
        <v>50</v>
      </c>
      <c r="AC11" s="122">
        <f ca="1">OFFSET('Calc (3)'!F5,'Calc (3)'!$AC$4,0)</f>
        <v>442457.78302295093</v>
      </c>
      <c r="AE11" s="158" t="s">
        <v>89</v>
      </c>
      <c r="AF11" s="155"/>
      <c r="AG11" s="151" t="str">
        <f>IF(AF36,AE11,AE12)</f>
        <v>Com IR</v>
      </c>
    </row>
    <row r="12" spans="2:33" x14ac:dyDescent="0.2">
      <c r="B12" s="17">
        <f t="shared" ca="1" si="4"/>
        <v>45717</v>
      </c>
      <c r="C12" s="9">
        <f t="shared" si="18"/>
        <v>8</v>
      </c>
      <c r="D12" s="9"/>
      <c r="E12" s="13">
        <f t="shared" si="5"/>
        <v>1033.0615541465074</v>
      </c>
      <c r="F12" s="14">
        <f t="shared" si="19"/>
        <v>43148.071284386184</v>
      </c>
      <c r="G12" s="15">
        <f t="shared" si="6"/>
        <v>0.95534418772532537</v>
      </c>
      <c r="H12" s="13">
        <f t="shared" si="7"/>
        <v>446.53889354059208</v>
      </c>
      <c r="I12" s="13">
        <f t="shared" si="8"/>
        <v>3175.1997029817835</v>
      </c>
      <c r="J12" s="15">
        <f t="shared" si="0"/>
        <v>4.4655812274674633E-2</v>
      </c>
      <c r="K12" s="13">
        <f t="shared" si="9"/>
        <v>2016.8774731100493</v>
      </c>
      <c r="L12" s="13">
        <f t="shared" si="20"/>
        <v>8720.3420121569943</v>
      </c>
      <c r="M12" s="15">
        <f t="shared" si="10"/>
        <v>4.4655812274674592E-2</v>
      </c>
      <c r="N12" s="13">
        <f t="shared" si="1"/>
        <v>170.22919168336344</v>
      </c>
      <c r="O12" s="13">
        <f t="shared" si="11"/>
        <v>1158.3222298717228</v>
      </c>
      <c r="P12" s="15">
        <f t="shared" si="2"/>
        <v>2.5005190807609191E-2</v>
      </c>
      <c r="Q12" s="7">
        <f t="shared" si="12"/>
        <v>46323.270987367956</v>
      </c>
      <c r="R12" s="7">
        <f t="shared" si="13"/>
        <v>45164.948757496233</v>
      </c>
      <c r="S12" s="13">
        <f>IF('Calc (3)'!$AD$32="Sim",R12,Q12)</f>
        <v>45164.948757496233</v>
      </c>
      <c r="T12" s="9">
        <f t="shared" si="14"/>
        <v>8</v>
      </c>
      <c r="U12" s="17">
        <f t="shared" ca="1" si="15"/>
        <v>45748</v>
      </c>
      <c r="V12" s="124">
        <f t="shared" si="3"/>
        <v>222244.85978410122</v>
      </c>
      <c r="W12" s="68">
        <v>8</v>
      </c>
      <c r="X12" s="125">
        <f t="shared" ca="1" si="16"/>
        <v>48427</v>
      </c>
      <c r="Y12" s="5">
        <f t="shared" si="17"/>
        <v>96</v>
      </c>
      <c r="Z12" s="5"/>
      <c r="AA12" s="98"/>
      <c r="AB12" s="100" t="s">
        <v>49</v>
      </c>
      <c r="AC12" s="122">
        <f ca="1">OFFSET('Calc (3)'!Q5,'Calc (3)'!$AC$4,0)</f>
        <v>1764916.6705066387</v>
      </c>
      <c r="AE12" s="159" t="s">
        <v>90</v>
      </c>
      <c r="AF12" s="156"/>
      <c r="AG12" s="151"/>
    </row>
    <row r="13" spans="2:33" x14ac:dyDescent="0.2">
      <c r="B13" s="17">
        <f t="shared" ca="1" si="4"/>
        <v>45748</v>
      </c>
      <c r="C13" s="9">
        <f t="shared" si="18"/>
        <v>9</v>
      </c>
      <c r="D13" s="9"/>
      <c r="E13" s="13">
        <f t="shared" si="5"/>
        <v>1037.2703747942285</v>
      </c>
      <c r="F13" s="14">
        <f t="shared" si="19"/>
        <v>44185.341659180413</v>
      </c>
      <c r="G13" s="15">
        <f t="shared" si="6"/>
        <v>0.95039737984076378</v>
      </c>
      <c r="H13" s="13">
        <f t="shared" si="7"/>
        <v>461.27228041193951</v>
      </c>
      <c r="I13" s="13">
        <f t="shared" si="8"/>
        <v>3636.4719833937229</v>
      </c>
      <c r="J13" s="15">
        <f t="shared" si="0"/>
        <v>4.9602620159236221E-2</v>
      </c>
      <c r="K13" s="13">
        <f t="shared" si="9"/>
        <v>2306.0971814691002</v>
      </c>
      <c r="L13" s="13">
        <f t="shared" si="20"/>
        <v>11026.439193626094</v>
      </c>
      <c r="M13" s="15">
        <f t="shared" si="10"/>
        <v>4.9602620159236235E-2</v>
      </c>
      <c r="N13" s="13">
        <f t="shared" si="1"/>
        <v>175.73605031967065</v>
      </c>
      <c r="O13" s="13">
        <f t="shared" si="11"/>
        <v>1330.3748019246123</v>
      </c>
      <c r="P13" s="15">
        <f t="shared" si="2"/>
        <v>2.7819413372064689E-2</v>
      </c>
      <c r="Q13" s="7">
        <f t="shared" si="12"/>
        <v>47821.813642574125</v>
      </c>
      <c r="R13" s="7">
        <f t="shared" si="13"/>
        <v>46491.438840649513</v>
      </c>
      <c r="S13" s="13">
        <f>IF('Calc (3)'!$AD$32="Sim",R13,Q13)</f>
        <v>46491.438840649513</v>
      </c>
      <c r="T13" s="9">
        <f t="shared" si="14"/>
        <v>9</v>
      </c>
      <c r="U13" s="17">
        <f t="shared" ca="1" si="15"/>
        <v>45778</v>
      </c>
      <c r="V13" s="124">
        <f t="shared" si="3"/>
        <v>258484.87392297029</v>
      </c>
      <c r="W13" s="68">
        <v>9</v>
      </c>
      <c r="X13" s="125">
        <f t="shared" ca="1" si="16"/>
        <v>48792</v>
      </c>
      <c r="Y13" s="5">
        <f t="shared" si="17"/>
        <v>108</v>
      </c>
      <c r="Z13" s="5"/>
      <c r="AA13" s="98"/>
      <c r="AB13" s="100" t="s">
        <v>10</v>
      </c>
      <c r="AC13" s="122">
        <f ca="1">OFFSET('Calc (3)'!R5,'Calc (3)'!$AC$4,0)</f>
        <v>996852.32943230704</v>
      </c>
      <c r="AE13" s="157" t="s">
        <v>93</v>
      </c>
      <c r="AF13" s="154"/>
      <c r="AG13" s="2" t="str">
        <f>CONCATENATE(AG7, " | ",AG9, " | ",AG11)</f>
        <v>Patrimônio Real | Com Crescimento Salárial | Com IR</v>
      </c>
    </row>
    <row r="14" spans="2:33" x14ac:dyDescent="0.2">
      <c r="B14" s="17">
        <f t="shared" ca="1" si="4"/>
        <v>45778</v>
      </c>
      <c r="C14" s="9">
        <f t="shared" si="18"/>
        <v>10</v>
      </c>
      <c r="D14" s="9"/>
      <c r="E14" s="13">
        <f t="shared" si="5"/>
        <v>1041.4963426982515</v>
      </c>
      <c r="F14" s="14">
        <f t="shared" si="19"/>
        <v>45226.838001878663</v>
      </c>
      <c r="G14" s="15">
        <f t="shared" si="6"/>
        <v>0.94556511408098853</v>
      </c>
      <c r="H14" s="13">
        <f t="shared" si="7"/>
        <v>476.19428771254672</v>
      </c>
      <c r="I14" s="13">
        <f t="shared" si="8"/>
        <v>4112.66627110627</v>
      </c>
      <c r="J14" s="15">
        <f t="shared" si="0"/>
        <v>5.4434885919011466E-2</v>
      </c>
      <c r="K14" s="13">
        <f t="shared" si="9"/>
        <v>2603.6469942132535</v>
      </c>
      <c r="L14" s="13">
        <f t="shared" si="20"/>
        <v>13630.086187839348</v>
      </c>
      <c r="M14" s="15">
        <f t="shared" si="10"/>
        <v>5.4434885919011473E-2</v>
      </c>
      <c r="N14" s="13">
        <f t="shared" si="1"/>
        <v>181.31327411525919</v>
      </c>
      <c r="O14" s="13">
        <f t="shared" si="11"/>
        <v>1509.0192768930065</v>
      </c>
      <c r="P14" s="15">
        <f t="shared" si="2"/>
        <v>3.0584402886253692E-2</v>
      </c>
      <c r="Q14" s="7">
        <f t="shared" si="12"/>
        <v>49339.504272984923</v>
      </c>
      <c r="R14" s="7">
        <f t="shared" si="13"/>
        <v>47830.484996091916</v>
      </c>
      <c r="S14" s="13">
        <f>IF('Calc (3)'!$AD$32="Sim",R14,Q14)</f>
        <v>47830.484996091916</v>
      </c>
      <c r="T14" s="9">
        <f t="shared" si="14"/>
        <v>10</v>
      </c>
      <c r="U14" s="17">
        <f t="shared" ca="1" si="15"/>
        <v>45809</v>
      </c>
      <c r="V14" s="124">
        <f t="shared" si="3"/>
        <v>298490.80913825921</v>
      </c>
      <c r="W14" s="68">
        <v>10</v>
      </c>
      <c r="X14" s="125">
        <f t="shared" ca="1" si="16"/>
        <v>49157</v>
      </c>
      <c r="Y14" s="5">
        <f t="shared" si="17"/>
        <v>120</v>
      </c>
      <c r="Z14" s="5"/>
      <c r="AA14" s="66"/>
      <c r="AB14" s="86" t="s">
        <v>11</v>
      </c>
      <c r="AC14" s="87">
        <f ca="1">IF('Calc (3)'!$AD$32="Sim",AC13,AC12)</f>
        <v>996852.32943230704</v>
      </c>
    </row>
    <row r="15" spans="2:33" x14ac:dyDescent="0.2">
      <c r="B15" s="17">
        <f t="shared" ca="1" si="4"/>
        <v>45809</v>
      </c>
      <c r="C15" s="9">
        <f t="shared" si="18"/>
        <v>11</v>
      </c>
      <c r="E15" s="13">
        <f t="shared" si="5"/>
        <v>1045.7395277186213</v>
      </c>
      <c r="F15" s="14">
        <f t="shared" si="19"/>
        <v>46272.577529597285</v>
      </c>
      <c r="G15" s="15">
        <f t="shared" si="6"/>
        <v>0.94084025083447531</v>
      </c>
      <c r="H15" s="13">
        <f t="shared" si="7"/>
        <v>491.3069644110538</v>
      </c>
      <c r="I15" s="13">
        <f t="shared" si="8"/>
        <v>4603.9732355173237</v>
      </c>
      <c r="J15" s="15">
        <f t="shared" si="0"/>
        <v>5.9159749165524689E-2</v>
      </c>
      <c r="K15" s="13">
        <f t="shared" si="9"/>
        <v>2909.60561845146</v>
      </c>
      <c r="L15" s="13">
        <f t="shared" si="20"/>
        <v>16539.691806290808</v>
      </c>
      <c r="M15" s="15">
        <f t="shared" si="10"/>
        <v>5.915974916552471E-2</v>
      </c>
      <c r="N15" s="13">
        <f t="shared" si="1"/>
        <v>186.96162701344579</v>
      </c>
      <c r="O15" s="13">
        <f t="shared" si="11"/>
        <v>1694.3676170658509</v>
      </c>
      <c r="P15" s="15">
        <f t="shared" si="2"/>
        <v>3.3303508032381336E-2</v>
      </c>
      <c r="Q15" s="7">
        <f t="shared" si="12"/>
        <v>50876.550765114596</v>
      </c>
      <c r="R15" s="7">
        <f t="shared" si="13"/>
        <v>49182.183148048745</v>
      </c>
      <c r="S15" s="13">
        <f>IF('Calc (3)'!$AD$32="Sim",R15,Q15)</f>
        <v>49182.183148048745</v>
      </c>
      <c r="T15" s="9">
        <f t="shared" si="14"/>
        <v>11</v>
      </c>
      <c r="U15" s="17">
        <f t="shared" ca="1" si="15"/>
        <v>45839</v>
      </c>
      <c r="V15" s="124">
        <f t="shared" si="3"/>
        <v>342602.89715637639</v>
      </c>
      <c r="W15" s="68">
        <v>11</v>
      </c>
      <c r="X15" s="125">
        <f t="shared" ca="1" si="16"/>
        <v>49522</v>
      </c>
      <c r="Y15" s="5">
        <f t="shared" si="17"/>
        <v>132</v>
      </c>
      <c r="Z15" s="5"/>
    </row>
    <row r="16" spans="2:33" x14ac:dyDescent="0.2">
      <c r="B16" s="17">
        <f t="shared" ca="1" si="4"/>
        <v>45839</v>
      </c>
      <c r="C16" s="9">
        <f t="shared" si="18"/>
        <v>12</v>
      </c>
      <c r="D16" s="9">
        <v>1</v>
      </c>
      <c r="E16" s="13">
        <f t="shared" si="5"/>
        <v>1050.0000000000009</v>
      </c>
      <c r="F16" s="14">
        <f t="shared" si="19"/>
        <v>47322.577529597285</v>
      </c>
      <c r="G16" s="15">
        <f t="shared" si="6"/>
        <v>0.93621627457446999</v>
      </c>
      <c r="H16" s="13">
        <f t="shared" si="7"/>
        <v>506.61238057471729</v>
      </c>
      <c r="I16" s="13">
        <f t="shared" si="8"/>
        <v>5110.5856160920412</v>
      </c>
      <c r="J16" s="15">
        <f t="shared" si="0"/>
        <v>6.3783725425530013E-2</v>
      </c>
      <c r="K16" s="13">
        <f t="shared" si="9"/>
        <v>3224.0523622045803</v>
      </c>
      <c r="L16" s="13">
        <f t="shared" si="20"/>
        <v>19763.744168495388</v>
      </c>
      <c r="M16" s="15">
        <f t="shared" si="10"/>
        <v>6.3783725425530055E-2</v>
      </c>
      <c r="N16" s="13">
        <f t="shared" si="1"/>
        <v>192.68188082241818</v>
      </c>
      <c r="O16" s="13">
        <f t="shared" si="11"/>
        <v>1886.53325388745</v>
      </c>
      <c r="P16" s="15">
        <f t="shared" si="2"/>
        <v>3.5979771974572305E-2</v>
      </c>
      <c r="Q16" s="7">
        <f t="shared" si="12"/>
        <v>52433.163145689316</v>
      </c>
      <c r="R16" s="7">
        <f t="shared" si="13"/>
        <v>50546.629891801866</v>
      </c>
      <c r="S16" s="13">
        <f>IF('Calc (3)'!$AD$32="Sim",R16,Q16)</f>
        <v>50546.629891801866</v>
      </c>
      <c r="T16" s="9">
        <f t="shared" si="14"/>
        <v>12</v>
      </c>
      <c r="U16" s="17">
        <f t="shared" ca="1" si="15"/>
        <v>45870</v>
      </c>
      <c r="V16" s="124">
        <f t="shared" si="3"/>
        <v>391190.19571655762</v>
      </c>
      <c r="W16" s="68">
        <v>12</v>
      </c>
      <c r="X16" s="125">
        <f t="shared" ca="1" si="16"/>
        <v>49888</v>
      </c>
      <c r="Y16" s="5">
        <f t="shared" si="17"/>
        <v>144</v>
      </c>
      <c r="Z16" s="5"/>
      <c r="AA16" s="55" t="s">
        <v>62</v>
      </c>
    </row>
    <row r="17" spans="2:33" x14ac:dyDescent="0.2">
      <c r="B17" s="17">
        <f t="shared" ca="1" si="4"/>
        <v>45870</v>
      </c>
      <c r="C17" s="9">
        <f t="shared" si="18"/>
        <v>13</v>
      </c>
      <c r="D17" s="9"/>
      <c r="E17" s="13">
        <f t="shared" si="5"/>
        <v>1054.2778299728318</v>
      </c>
      <c r="F17" s="14">
        <f t="shared" si="19"/>
        <v>48376.855359570116</v>
      </c>
      <c r="G17" s="15">
        <f t="shared" si="6"/>
        <v>0.93168722685131578</v>
      </c>
      <c r="H17" s="13">
        <f t="shared" si="7"/>
        <v>522.11262758233818</v>
      </c>
      <c r="I17" s="13">
        <f t="shared" si="8"/>
        <v>5632.6982436743792</v>
      </c>
      <c r="J17" s="15">
        <f t="shared" si="0"/>
        <v>6.8312773148684225E-2</v>
      </c>
      <c r="K17" s="13">
        <f t="shared" si="9"/>
        <v>3547.0671386078975</v>
      </c>
      <c r="L17" s="13">
        <f t="shared" si="20"/>
        <v>23310.811307103286</v>
      </c>
      <c r="M17" s="15">
        <f t="shared" si="10"/>
        <v>6.8312773148684253E-2</v>
      </c>
      <c r="N17" s="13">
        <f t="shared" si="1"/>
        <v>198.47481529460086</v>
      </c>
      <c r="O17" s="13">
        <f t="shared" si="11"/>
        <v>2085.6311050664735</v>
      </c>
      <c r="P17" s="15">
        <f t="shared" si="2"/>
        <v>3.8615966360091979E-2</v>
      </c>
      <c r="Q17" s="7">
        <f t="shared" si="12"/>
        <v>54009.553603244487</v>
      </c>
      <c r="R17" s="7">
        <f t="shared" si="13"/>
        <v>51923.922498178013</v>
      </c>
      <c r="S17" s="13">
        <f>IF('Calc (3)'!$AD$32="Sim",R17,Q17)</f>
        <v>51923.922498178013</v>
      </c>
      <c r="T17" s="9">
        <f t="shared" si="14"/>
        <v>13</v>
      </c>
      <c r="U17" s="17">
        <f t="shared" ca="1" si="15"/>
        <v>45901</v>
      </c>
      <c r="V17" s="124">
        <f t="shared" si="3"/>
        <v>444652.94855420542</v>
      </c>
      <c r="W17" s="68">
        <v>13</v>
      </c>
      <c r="X17" s="125">
        <f t="shared" ca="1" si="16"/>
        <v>50253</v>
      </c>
      <c r="Y17" s="5">
        <f t="shared" si="17"/>
        <v>156</v>
      </c>
      <c r="Z17" s="5"/>
      <c r="AA17" s="73" t="s">
        <v>2</v>
      </c>
      <c r="AB17" s="56" t="s">
        <v>61</v>
      </c>
      <c r="AC17" s="56" t="s">
        <v>4</v>
      </c>
      <c r="AD17" s="56" t="s">
        <v>46</v>
      </c>
      <c r="AE17" s="56" t="s">
        <v>44</v>
      </c>
      <c r="AF17" s="57" t="s">
        <v>45</v>
      </c>
    </row>
    <row r="18" spans="2:33" x14ac:dyDescent="0.2">
      <c r="B18" s="17">
        <f t="shared" ca="1" si="4"/>
        <v>45901</v>
      </c>
      <c r="C18" s="9">
        <f t="shared" si="18"/>
        <v>14</v>
      </c>
      <c r="D18" s="9"/>
      <c r="E18" s="13">
        <f t="shared" si="5"/>
        <v>1058.5730883544973</v>
      </c>
      <c r="F18" s="14">
        <f t="shared" si="19"/>
        <v>49435.428447924613</v>
      </c>
      <c r="G18" s="15">
        <f t="shared" si="6"/>
        <v>0.92724764773833179</v>
      </c>
      <c r="H18" s="13">
        <f t="shared" si="7"/>
        <v>537.80981833932037</v>
      </c>
      <c r="I18" s="13">
        <f t="shared" si="8"/>
        <v>6170.5080620136996</v>
      </c>
      <c r="J18" s="15">
        <f t="shared" si="0"/>
        <v>7.2752352261668207E-2</v>
      </c>
      <c r="K18" s="13">
        <f t="shared" si="9"/>
        <v>3878.7304701417233</v>
      </c>
      <c r="L18" s="13">
        <f t="shared" si="20"/>
        <v>27189.541777245009</v>
      </c>
      <c r="M18" s="15">
        <f t="shared" si="10"/>
        <v>7.2752352261668235E-2</v>
      </c>
      <c r="N18" s="13">
        <f t="shared" si="1"/>
        <v>204.34121820681602</v>
      </c>
      <c r="O18" s="13">
        <f t="shared" si="11"/>
        <v>2291.7775918719708</v>
      </c>
      <c r="P18" s="15">
        <f t="shared" si="2"/>
        <v>4.1214620878876257E-2</v>
      </c>
      <c r="Q18" s="7">
        <f t="shared" si="12"/>
        <v>55605.936509938307</v>
      </c>
      <c r="R18" s="7">
        <f t="shared" si="13"/>
        <v>53314.158918066336</v>
      </c>
      <c r="S18" s="13">
        <f>IF('Calc (3)'!$AD$32="Sim",R18,Q18)</f>
        <v>53314.158918066336</v>
      </c>
      <c r="T18" s="9">
        <f t="shared" si="14"/>
        <v>14</v>
      </c>
      <c r="U18" s="17">
        <f t="shared" ca="1" si="15"/>
        <v>45931</v>
      </c>
      <c r="V18" s="124">
        <f t="shared" si="3"/>
        <v>503425.13481960917</v>
      </c>
      <c r="W18" s="68">
        <v>14</v>
      </c>
      <c r="X18" s="125">
        <f t="shared" ca="1" si="16"/>
        <v>50618</v>
      </c>
      <c r="Y18" s="5">
        <f t="shared" si="17"/>
        <v>168</v>
      </c>
      <c r="Z18" s="5"/>
      <c r="AA18" s="75">
        <f>Período_3</f>
        <v>20</v>
      </c>
      <c r="AB18" s="71">
        <f>AA18*12</f>
        <v>240</v>
      </c>
      <c r="AC18" s="72">
        <f ca="1">INDEX($U$5:$U$997,AB18,0)</f>
        <v>52810</v>
      </c>
      <c r="AD18" s="78">
        <f ca="1">INDEX($S$5:$S$997,MATCH(AC18,$U$5:$U$997,0),0)</f>
        <v>996852.32943230704</v>
      </c>
      <c r="AE18" s="82">
        <f>INDEX($G$5:$G$997,AB18,0)</f>
        <v>0.44385489200283479</v>
      </c>
      <c r="AF18" s="83">
        <f>INDEX($J$5:$J$997,AB18,0)</f>
        <v>0.55614510799716521</v>
      </c>
    </row>
    <row r="19" spans="2:33" x14ac:dyDescent="0.2">
      <c r="B19" s="17">
        <f t="shared" ca="1" si="4"/>
        <v>45931</v>
      </c>
      <c r="C19" s="9">
        <f t="shared" si="18"/>
        <v>15</v>
      </c>
      <c r="D19" s="9"/>
      <c r="E19" s="13">
        <f t="shared" si="5"/>
        <v>1062.8858461504924</v>
      </c>
      <c r="F19" s="14">
        <f t="shared" si="19"/>
        <v>50498.314294075106</v>
      </c>
      <c r="G19" s="15">
        <f t="shared" si="6"/>
        <v>0.92289252451262638</v>
      </c>
      <c r="H19" s="13">
        <f t="shared" si="7"/>
        <v>553.70608749488372</v>
      </c>
      <c r="I19" s="13">
        <f t="shared" si="8"/>
        <v>6724.2141495085834</v>
      </c>
      <c r="J19" s="15">
        <f t="shared" si="0"/>
        <v>7.7107475487373622E-2</v>
      </c>
      <c r="K19" s="13">
        <f t="shared" si="9"/>
        <v>4219.1234928903286</v>
      </c>
      <c r="L19" s="13">
        <f t="shared" si="20"/>
        <v>31408.665270135338</v>
      </c>
      <c r="M19" s="15">
        <f t="shared" si="10"/>
        <v>7.7107475487373622E-2</v>
      </c>
      <c r="N19" s="13">
        <f t="shared" si="1"/>
        <v>210.28188544124643</v>
      </c>
      <c r="O19" s="13">
        <f t="shared" si="11"/>
        <v>2505.0906566182457</v>
      </c>
      <c r="P19" s="15">
        <f t="shared" si="2"/>
        <v>4.3778049043883861E-2</v>
      </c>
      <c r="Q19" s="7">
        <f t="shared" si="12"/>
        <v>57222.52844358368</v>
      </c>
      <c r="R19" s="7">
        <f t="shared" si="13"/>
        <v>54717.437786965434</v>
      </c>
      <c r="S19" s="13">
        <f>IF('Calc (3)'!$AD$32="Sim",R19,Q19)</f>
        <v>54717.437786965434</v>
      </c>
      <c r="T19" s="9">
        <f t="shared" si="14"/>
        <v>15</v>
      </c>
      <c r="U19" s="17">
        <f t="shared" ca="1" si="15"/>
        <v>45962</v>
      </c>
      <c r="V19" s="124">
        <f t="shared" si="3"/>
        <v>567977.2229586537</v>
      </c>
      <c r="W19" s="68">
        <v>15</v>
      </c>
      <c r="X19" s="125">
        <f t="shared" ca="1" si="16"/>
        <v>50983</v>
      </c>
      <c r="Y19" s="5">
        <f t="shared" si="17"/>
        <v>180</v>
      </c>
      <c r="Z19" s="5"/>
      <c r="AE19" s="256"/>
      <c r="AF19" s="256"/>
    </row>
    <row r="20" spans="2:33" x14ac:dyDescent="0.2">
      <c r="B20" s="17">
        <f t="shared" ca="1" si="4"/>
        <v>45962</v>
      </c>
      <c r="C20" s="9">
        <f t="shared" si="18"/>
        <v>16</v>
      </c>
      <c r="D20" s="9"/>
      <c r="E20" s="13">
        <f t="shared" si="5"/>
        <v>1067.2161746555973</v>
      </c>
      <c r="F20" s="14">
        <f t="shared" si="19"/>
        <v>51565.5304687307</v>
      </c>
      <c r="G20" s="15">
        <f t="shared" si="6"/>
        <v>0.9186172465489455</v>
      </c>
      <c r="H20" s="13">
        <f t="shared" si="7"/>
        <v>569.80359166145024</v>
      </c>
      <c r="I20" s="13">
        <f t="shared" si="8"/>
        <v>7294.0177411700333</v>
      </c>
      <c r="J20" s="15">
        <f t="shared" si="0"/>
        <v>8.1382753451054501E-2</v>
      </c>
      <c r="K20" s="13">
        <f t="shared" si="9"/>
        <v>4568.3279608292796</v>
      </c>
      <c r="L20" s="13">
        <f t="shared" si="20"/>
        <v>35976.993230964617</v>
      </c>
      <c r="M20" s="15">
        <f t="shared" si="10"/>
        <v>8.1382753451054543E-2</v>
      </c>
      <c r="N20" s="13">
        <f t="shared" si="1"/>
        <v>216.29762106720923</v>
      </c>
      <c r="O20" s="13">
        <f t="shared" si="11"/>
        <v>2725.6897803407483</v>
      </c>
      <c r="P20" s="15">
        <f t="shared" si="2"/>
        <v>4.6308370744209376E-2</v>
      </c>
      <c r="Q20" s="7">
        <f t="shared" si="12"/>
        <v>58859.548209900728</v>
      </c>
      <c r="R20" s="7">
        <f t="shared" si="13"/>
        <v>56133.858429559979</v>
      </c>
      <c r="S20" s="13">
        <f>IF('Calc (3)'!$AD$32="Sim",R20,Q20)</f>
        <v>56133.858429559979</v>
      </c>
      <c r="T20" s="9">
        <f t="shared" si="14"/>
        <v>16</v>
      </c>
      <c r="U20" s="17">
        <f t="shared" ca="1" si="15"/>
        <v>45992</v>
      </c>
      <c r="V20" s="124">
        <f t="shared" si="3"/>
        <v>638819.14526539179</v>
      </c>
      <c r="W20" s="68">
        <v>16</v>
      </c>
      <c r="X20" s="125">
        <f t="shared" ca="1" si="16"/>
        <v>51349</v>
      </c>
      <c r="Y20" s="5">
        <f t="shared" si="17"/>
        <v>192</v>
      </c>
      <c r="Z20" s="5"/>
      <c r="AA20" s="55" t="s">
        <v>54</v>
      </c>
      <c r="AD20" s="65"/>
      <c r="AE20" s="19" t="s">
        <v>2</v>
      </c>
      <c r="AF20" s="255" t="s">
        <v>21</v>
      </c>
    </row>
    <row r="21" spans="2:33" x14ac:dyDescent="0.2">
      <c r="B21" s="17">
        <f t="shared" ca="1" si="4"/>
        <v>45992</v>
      </c>
      <c r="C21" s="9">
        <f t="shared" si="18"/>
        <v>17</v>
      </c>
      <c r="D21" s="9"/>
      <c r="E21" s="13">
        <f t="shared" si="5"/>
        <v>1071.564145455056</v>
      </c>
      <c r="F21" s="14">
        <f t="shared" si="19"/>
        <v>52637.094614185757</v>
      </c>
      <c r="G21" s="15">
        <f t="shared" si="6"/>
        <v>0.91441756556634701</v>
      </c>
      <c r="H21" s="13">
        <f t="shared" si="7"/>
        <v>586.10450963622793</v>
      </c>
      <c r="I21" s="13">
        <f t="shared" si="8"/>
        <v>7880.122250806261</v>
      </c>
      <c r="J21" s="15">
        <f t="shared" si="0"/>
        <v>8.5582434433652987E-2</v>
      </c>
      <c r="K21" s="13">
        <f t="shared" si="9"/>
        <v>4926.4262501415069</v>
      </c>
      <c r="L21" s="13">
        <f t="shared" si="20"/>
        <v>40903.419481106124</v>
      </c>
      <c r="M21" s="15">
        <f t="shared" si="10"/>
        <v>8.5582434433653043E-2</v>
      </c>
      <c r="N21" s="13">
        <f t="shared" si="1"/>
        <v>222.38923742374823</v>
      </c>
      <c r="O21" s="13">
        <f t="shared" si="11"/>
        <v>2953.6960006647496</v>
      </c>
      <c r="P21" s="15">
        <f t="shared" si="2"/>
        <v>4.8807532032647108E-2</v>
      </c>
      <c r="Q21" s="7">
        <f t="shared" si="12"/>
        <v>60517.216864992013</v>
      </c>
      <c r="R21" s="7">
        <f t="shared" si="13"/>
        <v>57563.520864327264</v>
      </c>
      <c r="S21" s="13">
        <f>IF('Calc (3)'!$AD$32="Sim",R21,Q21)</f>
        <v>57563.520864327264</v>
      </c>
      <c r="T21" s="9">
        <f t="shared" si="14"/>
        <v>17</v>
      </c>
      <c r="U21" s="17">
        <f t="shared" ca="1" si="15"/>
        <v>46023</v>
      </c>
      <c r="V21" s="124">
        <f t="shared" si="3"/>
        <v>716503.51059237809</v>
      </c>
      <c r="W21" s="68">
        <v>17</v>
      </c>
      <c r="X21" s="125">
        <f t="shared" ca="1" si="16"/>
        <v>51714</v>
      </c>
      <c r="Y21" s="5">
        <f t="shared" si="17"/>
        <v>204</v>
      </c>
      <c r="Z21" s="5"/>
      <c r="AA21" s="117" t="s">
        <v>53</v>
      </c>
      <c r="AB21" s="70">
        <f ca="1">INDEX('Calc (3)'!$B$5:$B$997,MATCH(1000000,'Calc (3)'!$S$5:$S$997,1)+1,0)</f>
        <v>52810</v>
      </c>
      <c r="AC21" s="118" t="str">
        <f ca="1">"Aprox. "&amp; TEXT(AE21,"0") &amp; " anos ou " &amp; TEXT(AF21,"0") &amp; " meses"</f>
        <v>Aprox. 20 anos ou 240 meses</v>
      </c>
      <c r="AD21" s="96"/>
      <c r="AE21" s="253">
        <f ca="1">(AB21-Mês_Atual_2)/365.25</f>
        <v>20</v>
      </c>
      <c r="AF21" s="254">
        <f ca="1">(AB21-Mês_Atual_2)/365.25*12</f>
        <v>240</v>
      </c>
    </row>
    <row r="22" spans="2:33" x14ac:dyDescent="0.2">
      <c r="B22" s="17">
        <f t="shared" ca="1" si="4"/>
        <v>46023</v>
      </c>
      <c r="C22" s="9">
        <f t="shared" si="18"/>
        <v>18</v>
      </c>
      <c r="D22" s="9"/>
      <c r="E22" s="13">
        <f t="shared" si="5"/>
        <v>1075.9298304257593</v>
      </c>
      <c r="F22" s="14">
        <f t="shared" si="19"/>
        <v>53713.024444611518</v>
      </c>
      <c r="G22" s="15">
        <f t="shared" si="6"/>
        <v>0.91028956050096932</v>
      </c>
      <c r="H22" s="13">
        <f t="shared" si="7"/>
        <v>602.61104262501146</v>
      </c>
      <c r="I22" s="13">
        <f t="shared" si="8"/>
        <v>8482.7332934312726</v>
      </c>
      <c r="J22" s="15">
        <f t="shared" si="0"/>
        <v>8.9710439499030681E-2</v>
      </c>
      <c r="K22" s="13">
        <f t="shared" si="9"/>
        <v>5293.5013635621581</v>
      </c>
      <c r="L22" s="13">
        <f t="shared" si="20"/>
        <v>46196.920844668282</v>
      </c>
      <c r="M22" s="15">
        <f t="shared" si="10"/>
        <v>8.9710439499030695E-2</v>
      </c>
      <c r="N22" s="13">
        <f t="shared" si="1"/>
        <v>228.55755520305266</v>
      </c>
      <c r="O22" s="13">
        <f t="shared" si="11"/>
        <v>3189.2319298691073</v>
      </c>
      <c r="P22" s="15">
        <f t="shared" si="2"/>
        <v>5.1277322535430339E-2</v>
      </c>
      <c r="Q22" s="7">
        <f t="shared" si="12"/>
        <v>62195.757738042783</v>
      </c>
      <c r="R22" s="7">
        <f t="shared" si="13"/>
        <v>59006.525808173676</v>
      </c>
      <c r="S22" s="13">
        <f>IF('Calc (3)'!$AD$32="Sim",R22,Q22)</f>
        <v>59006.525808173676</v>
      </c>
      <c r="T22" s="9">
        <f t="shared" si="14"/>
        <v>18</v>
      </c>
      <c r="U22" s="17">
        <f t="shared" ca="1" si="15"/>
        <v>46054</v>
      </c>
      <c r="V22" s="124">
        <f t="shared" si="3"/>
        <v>801629.07408069156</v>
      </c>
      <c r="W22" s="68">
        <v>18</v>
      </c>
      <c r="X22" s="125">
        <f t="shared" ca="1" si="16"/>
        <v>52079</v>
      </c>
      <c r="Y22" s="5">
        <f t="shared" si="17"/>
        <v>216</v>
      </c>
      <c r="Z22" s="5"/>
      <c r="AA22" s="119" t="s">
        <v>36</v>
      </c>
      <c r="AB22" s="72">
        <f ca="1">INDEX('Calc (3)'!$B$5:$B$997,MATCH(50%,'Calc (3)'!$G$5:$G$997,-1)+1,0)</f>
        <v>51561</v>
      </c>
      <c r="AC22" s="120" t="str">
        <f ca="1">"Aproximadamente "&amp; ROUND((AB22-'Calc (3)'!$B$5)/365.25,0) &amp; " anos"</f>
        <v>Aproximadamente 17 anos</v>
      </c>
      <c r="AD22" s="115"/>
      <c r="AE22" s="115"/>
      <c r="AF22" s="114"/>
    </row>
    <row r="23" spans="2:33" x14ac:dyDescent="0.2">
      <c r="B23" s="17">
        <f t="shared" ca="1" si="4"/>
        <v>46054</v>
      </c>
      <c r="C23" s="9">
        <f t="shared" si="18"/>
        <v>19</v>
      </c>
      <c r="D23" s="9"/>
      <c r="E23" s="13">
        <f t="shared" si="5"/>
        <v>1080.3133017374337</v>
      </c>
      <c r="F23" s="14">
        <f t="shared" si="19"/>
        <v>54793.337746348952</v>
      </c>
      <c r="G23" s="15">
        <f t="shared" si="6"/>
        <v>0.90622960638877359</v>
      </c>
      <c r="H23" s="13">
        <f t="shared" si="7"/>
        <v>619.32541446822427</v>
      </c>
      <c r="I23" s="13">
        <f t="shared" si="8"/>
        <v>9102.0587078994977</v>
      </c>
      <c r="J23" s="15">
        <f t="shared" si="0"/>
        <v>9.377039361122641E-2</v>
      </c>
      <c r="K23" s="13">
        <f t="shared" si="9"/>
        <v>5669.6369347525033</v>
      </c>
      <c r="L23" s="13">
        <f t="shared" si="20"/>
        <v>51866.557779420786</v>
      </c>
      <c r="M23" s="15">
        <f t="shared" si="10"/>
        <v>9.3770393611226466E-2</v>
      </c>
      <c r="N23" s="13">
        <f t="shared" si="1"/>
        <v>234.80340353471163</v>
      </c>
      <c r="O23" s="13">
        <f t="shared" si="11"/>
        <v>3432.4217731469835</v>
      </c>
      <c r="P23" s="15">
        <f t="shared" si="2"/>
        <v>5.3719390810959743E-2</v>
      </c>
      <c r="Q23" s="7">
        <f t="shared" si="12"/>
        <v>63895.396454248439</v>
      </c>
      <c r="R23" s="7">
        <f t="shared" si="13"/>
        <v>60462.974681101456</v>
      </c>
      <c r="S23" s="13">
        <f>IF('Calc (3)'!$AD$32="Sim",R23,Q23)</f>
        <v>60462.974681101456</v>
      </c>
      <c r="T23" s="9">
        <f t="shared" si="14"/>
        <v>19</v>
      </c>
      <c r="U23" s="17">
        <f t="shared" ca="1" si="15"/>
        <v>46082</v>
      </c>
      <c r="V23" s="124">
        <f t="shared" si="3"/>
        <v>894844.48425540049</v>
      </c>
      <c r="W23" s="68">
        <v>19</v>
      </c>
      <c r="X23" s="125">
        <f t="shared" ca="1" si="16"/>
        <v>52444</v>
      </c>
      <c r="Y23" s="5">
        <f t="shared" si="17"/>
        <v>228</v>
      </c>
      <c r="Z23" s="5"/>
      <c r="AA23" s="91" t="s">
        <v>37</v>
      </c>
      <c r="AB23" s="23">
        <f ca="1">INDEX('Calc (3)'!$B$5:$B$997,MATCH('Calc (3)'!$AF$27,'Calc (3)'!$H$5:$H$997,1)+1,0)</f>
        <v>46661</v>
      </c>
      <c r="AC23" s="89" t="str">
        <f ca="1">"Aproximadamente "&amp; ROUND((AB23-'Calc (3)'!$B$5)/365.25,0) &amp; " anos"</f>
        <v>Aproximadamente 3 anos</v>
      </c>
      <c r="AD23" s="90"/>
      <c r="AE23" s="90"/>
      <c r="AF23" s="65"/>
    </row>
    <row r="24" spans="2:33" x14ac:dyDescent="0.2">
      <c r="B24" s="17">
        <f t="shared" ca="1" si="4"/>
        <v>46082</v>
      </c>
      <c r="C24" s="9">
        <f t="shared" si="18"/>
        <v>20</v>
      </c>
      <c r="D24" s="9"/>
      <c r="E24" s="13">
        <f t="shared" si="5"/>
        <v>1084.7146318538339</v>
      </c>
      <c r="F24" s="14">
        <f t="shared" si="19"/>
        <v>55878.052378202789</v>
      </c>
      <c r="G24" s="15">
        <f t="shared" si="6"/>
        <v>0.90223434673416902</v>
      </c>
      <c r="H24" s="13">
        <f t="shared" si="7"/>
        <v>636.24987186922249</v>
      </c>
      <c r="I24" s="13">
        <f t="shared" si="8"/>
        <v>9738.3085797687199</v>
      </c>
      <c r="J24" s="15">
        <f t="shared" si="0"/>
        <v>9.7765653265830976E-2</v>
      </c>
      <c r="K24" s="13">
        <f t="shared" si="9"/>
        <v>6054.9172327030683</v>
      </c>
      <c r="L24" s="13">
        <f t="shared" si="20"/>
        <v>57921.475012123854</v>
      </c>
      <c r="M24" s="15">
        <f t="shared" si="10"/>
        <v>9.7765653265830962E-2</v>
      </c>
      <c r="N24" s="13">
        <f t="shared" si="1"/>
        <v>241.12762007081128</v>
      </c>
      <c r="O24" s="13">
        <f t="shared" si="11"/>
        <v>3683.3913470656407</v>
      </c>
      <c r="P24" s="15">
        <f t="shared" si="2"/>
        <v>5.6135257933991822E-2</v>
      </c>
      <c r="Q24" s="7">
        <f t="shared" si="12"/>
        <v>65616.360957971498</v>
      </c>
      <c r="R24" s="7">
        <f t="shared" si="13"/>
        <v>61932.969610905857</v>
      </c>
      <c r="S24" s="13">
        <f>IF('Calc (3)'!$AD$32="Sim",R24,Q24)</f>
        <v>61932.969610905857</v>
      </c>
      <c r="T24" s="9">
        <f t="shared" si="14"/>
        <v>20</v>
      </c>
      <c r="U24" s="17">
        <f t="shared" ca="1" si="15"/>
        <v>46113</v>
      </c>
      <c r="V24" s="124">
        <f t="shared" si="3"/>
        <v>996852.32943230704</v>
      </c>
      <c r="W24" s="68">
        <v>20</v>
      </c>
      <c r="X24" s="125">
        <f t="shared" ca="1" si="16"/>
        <v>52810</v>
      </c>
      <c r="Y24" s="5">
        <f t="shared" si="17"/>
        <v>240</v>
      </c>
      <c r="Z24" s="5"/>
    </row>
    <row r="25" spans="2:33" x14ac:dyDescent="0.2">
      <c r="B25" s="17">
        <f t="shared" ca="1" si="4"/>
        <v>46113</v>
      </c>
      <c r="C25" s="9">
        <f t="shared" si="18"/>
        <v>21</v>
      </c>
      <c r="D25" s="9"/>
      <c r="E25" s="13">
        <f t="shared" si="5"/>
        <v>1089.1338935339411</v>
      </c>
      <c r="F25" s="14">
        <f t="shared" si="19"/>
        <v>56967.186271736733</v>
      </c>
      <c r="G25" s="15">
        <f t="shared" si="6"/>
        <v>0.89830066891727967</v>
      </c>
      <c r="H25" s="13">
        <f t="shared" si="7"/>
        <v>653.38668462488488</v>
      </c>
      <c r="I25" s="13">
        <f t="shared" si="8"/>
        <v>10391.695264393606</v>
      </c>
      <c r="J25" s="15">
        <f t="shared" si="0"/>
        <v>0.10169933108272033</v>
      </c>
      <c r="K25" s="13">
        <f t="shared" si="9"/>
        <v>6449.4271661661769</v>
      </c>
      <c r="L25" s="13">
        <f t="shared" si="20"/>
        <v>64370.902178290031</v>
      </c>
      <c r="M25" s="15">
        <f t="shared" si="10"/>
        <v>0.10169933108272029</v>
      </c>
      <c r="N25" s="13">
        <f t="shared" si="1"/>
        <v>247.53105107188398</v>
      </c>
      <c r="O25" s="13">
        <f t="shared" si="11"/>
        <v>3942.2680982274178</v>
      </c>
      <c r="P25" s="15">
        <f t="shared" si="2"/>
        <v>5.8526329539970792E-2</v>
      </c>
      <c r="Q25" s="7">
        <f t="shared" si="12"/>
        <v>67358.881536130328</v>
      </c>
      <c r="R25" s="7">
        <f t="shared" si="13"/>
        <v>63416.61343790291</v>
      </c>
      <c r="S25" s="13">
        <f>IF('Calc (3)'!$AD$32="Sim",R25,Q25)</f>
        <v>63416.61343790291</v>
      </c>
      <c r="T25" s="9">
        <f t="shared" si="14"/>
        <v>21</v>
      </c>
      <c r="U25" s="17">
        <f t="shared" ca="1" si="15"/>
        <v>46143</v>
      </c>
      <c r="V25" s="124">
        <f t="shared" si="3"/>
        <v>1108413.5071072108</v>
      </c>
      <c r="W25" s="68">
        <v>21</v>
      </c>
      <c r="X25" s="125">
        <f t="shared" ca="1" si="16"/>
        <v>53175</v>
      </c>
      <c r="Y25" s="5">
        <f t="shared" si="17"/>
        <v>252</v>
      </c>
      <c r="Z25" s="5"/>
      <c r="AA25" s="55" t="s">
        <v>48</v>
      </c>
    </row>
    <row r="26" spans="2:33" x14ac:dyDescent="0.2">
      <c r="B26" s="17">
        <f t="shared" ca="1" si="4"/>
        <v>46143</v>
      </c>
      <c r="C26" s="9">
        <f t="shared" si="18"/>
        <v>22</v>
      </c>
      <c r="D26" s="9"/>
      <c r="E26" s="13">
        <f t="shared" si="5"/>
        <v>1093.5711598331652</v>
      </c>
      <c r="F26" s="14">
        <f t="shared" si="19"/>
        <v>58060.757431569895</v>
      </c>
      <c r="G26" s="15">
        <f t="shared" si="6"/>
        <v>0.89442568225700692</v>
      </c>
      <c r="H26" s="13">
        <f t="shared" si="7"/>
        <v>670.73814585851062</v>
      </c>
      <c r="I26" s="13">
        <f t="shared" si="8"/>
        <v>11062.433410252117</v>
      </c>
      <c r="J26" s="15">
        <f t="shared" si="0"/>
        <v>0.10557431774299308</v>
      </c>
      <c r="K26" s="13">
        <f t="shared" si="9"/>
        <v>6853.2522881180776</v>
      </c>
      <c r="L26" s="13">
        <f t="shared" si="20"/>
        <v>71224.154466408101</v>
      </c>
      <c r="M26" s="15">
        <f t="shared" si="10"/>
        <v>0.10557431774299306</v>
      </c>
      <c r="N26" s="13">
        <f t="shared" si="1"/>
        <v>254.01455149371802</v>
      </c>
      <c r="O26" s="13">
        <f t="shared" si="11"/>
        <v>4209.1811221340395</v>
      </c>
      <c r="P26" s="15">
        <f t="shared" si="2"/>
        <v>6.0893906529374708E-2</v>
      </c>
      <c r="Q26" s="7">
        <f t="shared" si="12"/>
        <v>69123.190841822012</v>
      </c>
      <c r="R26" s="7">
        <f t="shared" si="13"/>
        <v>64914.009719687972</v>
      </c>
      <c r="S26" s="13">
        <f>IF('Calc (3)'!$AD$32="Sim",R26,Q26)</f>
        <v>64914.009719687972</v>
      </c>
      <c r="T26" s="9">
        <f t="shared" si="14"/>
        <v>22</v>
      </c>
      <c r="U26" s="17">
        <f t="shared" ca="1" si="15"/>
        <v>46174</v>
      </c>
      <c r="V26" s="124">
        <f t="shared" si="3"/>
        <v>1230351.9418594281</v>
      </c>
      <c r="W26" s="68">
        <v>22</v>
      </c>
      <c r="X26" s="125">
        <f t="shared" ca="1" si="16"/>
        <v>53540</v>
      </c>
      <c r="Y26" s="5">
        <f t="shared" si="17"/>
        <v>264</v>
      </c>
      <c r="Z26" s="5"/>
      <c r="AA26" s="92"/>
      <c r="AB26" s="93"/>
      <c r="AC26" s="94" t="s">
        <v>0</v>
      </c>
      <c r="AD26" s="95">
        <f>'Nova Simulação'!F4</f>
        <v>35000</v>
      </c>
      <c r="AE26" s="96"/>
      <c r="AF26" s="96"/>
      <c r="AG26" s="97"/>
    </row>
    <row r="27" spans="2:33" x14ac:dyDescent="0.2">
      <c r="B27" s="17">
        <f t="shared" ca="1" si="4"/>
        <v>46174</v>
      </c>
      <c r="C27" s="9">
        <f t="shared" si="18"/>
        <v>23</v>
      </c>
      <c r="D27" s="9"/>
      <c r="E27" s="13">
        <f t="shared" si="5"/>
        <v>1098.0265041045534</v>
      </c>
      <c r="F27" s="14">
        <f t="shared" si="19"/>
        <v>59158.783935674452</v>
      </c>
      <c r="G27" s="15">
        <f t="shared" si="6"/>
        <v>0.89060669840119588</v>
      </c>
      <c r="H27" s="13">
        <f t="shared" si="7"/>
        <v>688.30657225504763</v>
      </c>
      <c r="I27" s="13">
        <f t="shared" si="8"/>
        <v>11750.739982507164</v>
      </c>
      <c r="J27" s="15">
        <f t="shared" si="0"/>
        <v>0.10939330159880412</v>
      </c>
      <c r="K27" s="13">
        <f t="shared" si="9"/>
        <v>7266.4788002508867</v>
      </c>
      <c r="L27" s="13">
        <f t="shared" si="20"/>
        <v>78490.633266658988</v>
      </c>
      <c r="M27" s="15">
        <f t="shared" si="10"/>
        <v>0.10939330159880414</v>
      </c>
      <c r="N27" s="13">
        <f t="shared" si="1"/>
        <v>260.57898507503558</v>
      </c>
      <c r="O27" s="13">
        <f t="shared" si="11"/>
        <v>4484.2611822562758</v>
      </c>
      <c r="P27" s="15">
        <f t="shared" si="2"/>
        <v>6.3239194602835086E-2</v>
      </c>
      <c r="Q27" s="7">
        <f t="shared" si="12"/>
        <v>70909.523918181614</v>
      </c>
      <c r="R27" s="7">
        <f t="shared" si="13"/>
        <v>66425.262735925338</v>
      </c>
      <c r="S27" s="13">
        <f>IF('Calc (3)'!$AD$32="Sim",R27,Q27)</f>
        <v>66425.262735925338</v>
      </c>
      <c r="T27" s="9">
        <f t="shared" si="14"/>
        <v>23</v>
      </c>
      <c r="U27" s="17">
        <f t="shared" ca="1" si="15"/>
        <v>46204</v>
      </c>
      <c r="V27" s="124">
        <f t="shared" si="3"/>
        <v>1363559.6793074924</v>
      </c>
      <c r="W27" s="68">
        <v>23</v>
      </c>
      <c r="X27" s="125">
        <f t="shared" ca="1" si="16"/>
        <v>53905</v>
      </c>
      <c r="Y27" s="5">
        <f t="shared" si="17"/>
        <v>276</v>
      </c>
      <c r="Z27" s="5"/>
      <c r="AA27" s="98"/>
      <c r="AB27" s="99"/>
      <c r="AC27" s="100" t="s">
        <v>33</v>
      </c>
      <c r="AD27" s="101">
        <f>'Nova Simulação'!F7</f>
        <v>1000</v>
      </c>
      <c r="AE27" s="102" t="str">
        <f>'Nova Simulação'!H7</f>
        <v>Mensal</v>
      </c>
      <c r="AF27" s="103">
        <f>IF(AG27,AD27/12,AD27)</f>
        <v>1000</v>
      </c>
      <c r="AG27" s="104" t="b">
        <f>IF(AE27="anual",TRUE,FALSE)</f>
        <v>0</v>
      </c>
    </row>
    <row r="28" spans="2:33" x14ac:dyDescent="0.2">
      <c r="B28" s="17">
        <f t="shared" ca="1" si="4"/>
        <v>46204</v>
      </c>
      <c r="C28" s="9">
        <f t="shared" si="18"/>
        <v>24</v>
      </c>
      <c r="D28" s="9">
        <v>2</v>
      </c>
      <c r="E28" s="13">
        <f t="shared" si="5"/>
        <v>1102.500000000002</v>
      </c>
      <c r="F28" s="14">
        <f t="shared" si="19"/>
        <v>60261.283935674452</v>
      </c>
      <c r="G28" s="15">
        <f t="shared" si="6"/>
        <v>0.88684121376089642</v>
      </c>
      <c r="H28" s="13">
        <f t="shared" si="7"/>
        <v>706.09430429867564</v>
      </c>
      <c r="I28" s="13">
        <f t="shared" si="8"/>
        <v>12456.834286805841</v>
      </c>
      <c r="J28" s="15">
        <f t="shared" si="0"/>
        <v>0.11315878623910358</v>
      </c>
      <c r="K28" s="13">
        <f t="shared" si="9"/>
        <v>7689.1935574945237</v>
      </c>
      <c r="L28" s="13">
        <f t="shared" si="20"/>
        <v>86179.826824153512</v>
      </c>
      <c r="M28" s="15">
        <f t="shared" si="10"/>
        <v>0.11315878623910353</v>
      </c>
      <c r="N28" s="13">
        <f t="shared" si="1"/>
        <v>267.2252244260489</v>
      </c>
      <c r="O28" s="13">
        <f t="shared" si="11"/>
        <v>4767.6407293113152</v>
      </c>
      <c r="P28" s="15">
        <f t="shared" si="2"/>
        <v>6.5563312773369228E-2</v>
      </c>
      <c r="Q28" s="7">
        <f t="shared" si="12"/>
        <v>72718.118222480291</v>
      </c>
      <c r="R28" s="7">
        <f t="shared" si="13"/>
        <v>67950.477493168975</v>
      </c>
      <c r="S28" s="13">
        <f>IF('Calc (3)'!$AD$32="Sim",R28,Q28)</f>
        <v>67950.477493168975</v>
      </c>
      <c r="T28" s="9">
        <f t="shared" si="14"/>
        <v>24</v>
      </c>
      <c r="U28" s="17">
        <f t="shared" ca="1" si="15"/>
        <v>46235</v>
      </c>
      <c r="V28" s="124">
        <f t="shared" si="3"/>
        <v>1509002.3858181634</v>
      </c>
      <c r="W28" s="68">
        <v>24</v>
      </c>
      <c r="X28" s="125">
        <f t="shared" ca="1" si="16"/>
        <v>54271</v>
      </c>
      <c r="Y28" s="5">
        <f t="shared" si="17"/>
        <v>288</v>
      </c>
      <c r="Z28" s="5"/>
      <c r="AA28" s="98"/>
      <c r="AB28" s="99"/>
      <c r="AC28" s="100" t="s">
        <v>12</v>
      </c>
      <c r="AD28" s="105">
        <f>'Nova Simulação'!F10</f>
        <v>0.15</v>
      </c>
      <c r="AE28" s="102" t="str">
        <f>'Nova Simulação'!H10</f>
        <v>Anual</v>
      </c>
      <c r="AF28" s="106">
        <f>IF(AF36,IF(AG28,(1+AD28)^(1/12)-1,AD28)*(1-AE36),IF(AG28,(1+AD28)^(1/12)-1,AD28))</f>
        <v>9.9576793818753721E-3</v>
      </c>
      <c r="AG28" s="104" t="b">
        <f>IF(AE28="anual",TRUE,FALSE)</f>
        <v>1</v>
      </c>
    </row>
    <row r="29" spans="2:33" x14ac:dyDescent="0.2">
      <c r="B29" s="17">
        <f t="shared" ca="1" si="4"/>
        <v>46235</v>
      </c>
      <c r="C29" s="9">
        <f t="shared" si="18"/>
        <v>25</v>
      </c>
      <c r="D29" s="9"/>
      <c r="E29" s="13">
        <f t="shared" si="5"/>
        <v>1106.9917214714744</v>
      </c>
      <c r="F29" s="14">
        <f t="shared" si="19"/>
        <v>61368.275657145925</v>
      </c>
      <c r="G29" s="15">
        <f t="shared" si="6"/>
        <v>0.88312689374437492</v>
      </c>
      <c r="H29" s="13">
        <f t="shared" si="7"/>
        <v>724.10370651276776</v>
      </c>
      <c r="I29" s="13">
        <f t="shared" si="8"/>
        <v>13180.937993318608</v>
      </c>
      <c r="J29" s="15">
        <f t="shared" si="0"/>
        <v>0.11687310625562508</v>
      </c>
      <c r="K29" s="13">
        <f t="shared" si="9"/>
        <v>8121.4840725688045</v>
      </c>
      <c r="L29" s="13">
        <f t="shared" si="20"/>
        <v>94301.310896722309</v>
      </c>
      <c r="M29" s="15">
        <f t="shared" si="10"/>
        <v>0.11687310625562505</v>
      </c>
      <c r="N29" s="13">
        <f t="shared" si="1"/>
        <v>273.95415111790237</v>
      </c>
      <c r="O29" s="13">
        <f t="shared" si="11"/>
        <v>5059.4539207498165</v>
      </c>
      <c r="P29" s="15">
        <f t="shared" si="2"/>
        <v>6.7867300981494516E-2</v>
      </c>
      <c r="Q29" s="7">
        <f t="shared" si="12"/>
        <v>74549.213650464546</v>
      </c>
      <c r="R29" s="7">
        <f t="shared" si="13"/>
        <v>69489.759729714729</v>
      </c>
      <c r="S29" s="13">
        <f>IF('Calc (3)'!$AD$32="Sim",R29,Q29)</f>
        <v>69489.759729714729</v>
      </c>
      <c r="T29" s="9">
        <f t="shared" si="14"/>
        <v>25</v>
      </c>
      <c r="U29" s="17">
        <f t="shared" ca="1" si="15"/>
        <v>46266</v>
      </c>
      <c r="V29" s="124">
        <f t="shared" si="3"/>
        <v>1667725.2860024006</v>
      </c>
      <c r="W29" s="68">
        <v>25</v>
      </c>
      <c r="X29" s="125">
        <f t="shared" ca="1" si="16"/>
        <v>54636</v>
      </c>
      <c r="Y29" s="5">
        <f t="shared" si="17"/>
        <v>300</v>
      </c>
      <c r="Z29" s="5"/>
      <c r="AA29" s="98"/>
      <c r="AB29" s="99"/>
      <c r="AC29" s="100" t="s">
        <v>13</v>
      </c>
      <c r="AD29" s="107">
        <f>'Nova Simulação'!F13</f>
        <v>20</v>
      </c>
      <c r="AE29" s="102" t="str">
        <f>'Nova Simulação'!H13</f>
        <v>Anos</v>
      </c>
      <c r="AF29" s="108">
        <f>IF(AG29,AD29,AD29/12)</f>
        <v>20</v>
      </c>
      <c r="AG29" s="104" t="b">
        <f>IF(AE29="anos",TRUE,FALSE)</f>
        <v>1</v>
      </c>
    </row>
    <row r="30" spans="2:33" x14ac:dyDescent="0.2">
      <c r="B30" s="17">
        <f t="shared" ca="1" si="4"/>
        <v>46266</v>
      </c>
      <c r="C30" s="9">
        <f t="shared" si="18"/>
        <v>26</v>
      </c>
      <c r="D30" s="9"/>
      <c r="E30" s="13">
        <f t="shared" si="5"/>
        <v>1111.5017427722232</v>
      </c>
      <c r="F30" s="14">
        <f t="shared" si="19"/>
        <v>62479.777399918152</v>
      </c>
      <c r="G30" s="15">
        <f t="shared" si="6"/>
        <v>0.87946155857934916</v>
      </c>
      <c r="H30" s="13">
        <f t="shared" si="7"/>
        <v>742.33716770225283</v>
      </c>
      <c r="I30" s="13">
        <f t="shared" si="8"/>
        <v>13923.275161020862</v>
      </c>
      <c r="J30" s="15">
        <f t="shared" si="0"/>
        <v>0.12053844142065084</v>
      </c>
      <c r="K30" s="13">
        <f t="shared" si="9"/>
        <v>8563.43852056592</v>
      </c>
      <c r="L30" s="13">
        <f t="shared" si="20"/>
        <v>102864.74941728823</v>
      </c>
      <c r="M30" s="15">
        <f t="shared" si="10"/>
        <v>0.12053844142065086</v>
      </c>
      <c r="N30" s="13">
        <f t="shared" si="1"/>
        <v>280.76665577300957</v>
      </c>
      <c r="O30" s="13">
        <f t="shared" si="11"/>
        <v>5359.8366404549452</v>
      </c>
      <c r="P30" s="15">
        <f t="shared" si="2"/>
        <v>7.0152126921629782E-2</v>
      </c>
      <c r="Q30" s="7">
        <f t="shared" si="12"/>
        <v>76403.052560939017</v>
      </c>
      <c r="R30" s="7">
        <f t="shared" si="13"/>
        <v>71043.215920484072</v>
      </c>
      <c r="S30" s="13">
        <f>IF('Calc (3)'!$AD$32="Sim",R30,Q30)</f>
        <v>71043.215920484072</v>
      </c>
      <c r="T30" s="9">
        <f t="shared" si="14"/>
        <v>26</v>
      </c>
      <c r="U30" s="17">
        <f t="shared" ca="1" si="15"/>
        <v>46296</v>
      </c>
      <c r="V30" s="124">
        <f t="shared" si="3"/>
        <v>1840859.572546995</v>
      </c>
      <c r="W30" s="68">
        <v>26</v>
      </c>
      <c r="X30" s="125">
        <f t="shared" ca="1" si="16"/>
        <v>55001</v>
      </c>
      <c r="Y30" s="5">
        <f t="shared" si="17"/>
        <v>312</v>
      </c>
      <c r="Z30" s="5"/>
      <c r="AA30" s="66"/>
      <c r="AB30" s="88"/>
      <c r="AC30" s="86" t="s">
        <v>1</v>
      </c>
      <c r="AD30" s="61">
        <f>'Nova Simulação'!F16</f>
        <v>4.4999999999999998E-2</v>
      </c>
      <c r="AE30" s="62" t="str">
        <f>'Nova Simulação'!H16</f>
        <v>Anual</v>
      </c>
      <c r="AF30" s="63">
        <f>(1+AD30)^(1/12)-1</f>
        <v>3.6748094004368514E-3</v>
      </c>
      <c r="AG30" s="64" t="b">
        <f>IF(AE30="anual",TRUE,FALSE)</f>
        <v>1</v>
      </c>
    </row>
    <row r="31" spans="2:33" x14ac:dyDescent="0.2">
      <c r="B31" s="17">
        <f t="shared" ca="1" si="4"/>
        <v>46296</v>
      </c>
      <c r="C31" s="9">
        <f t="shared" si="18"/>
        <v>27</v>
      </c>
      <c r="D31" s="9"/>
      <c r="E31" s="13">
        <f t="shared" si="5"/>
        <v>1116.0301384580182</v>
      </c>
      <c r="F31" s="14">
        <f t="shared" si="19"/>
        <v>63595.807538376168</v>
      </c>
      <c r="G31" s="15">
        <f t="shared" si="6"/>
        <v>0.8758431705398656</v>
      </c>
      <c r="H31" s="13">
        <f t="shared" si="7"/>
        <v>760.79710119840274</v>
      </c>
      <c r="I31" s="13">
        <f t="shared" si="8"/>
        <v>14684.072262219264</v>
      </c>
      <c r="J31" s="15">
        <f t="shared" si="0"/>
        <v>0.1241568294601344</v>
      </c>
      <c r="K31" s="13">
        <f t="shared" si="9"/>
        <v>9015.1457435635748</v>
      </c>
      <c r="L31" s="13">
        <f t="shared" si="20"/>
        <v>111879.8951608518</v>
      </c>
      <c r="M31" s="15">
        <f t="shared" si="10"/>
        <v>0.12415682946013434</v>
      </c>
      <c r="N31" s="13">
        <f t="shared" si="1"/>
        <v>287.66363815629495</v>
      </c>
      <c r="O31" s="13">
        <f t="shared" si="11"/>
        <v>5668.9265186557022</v>
      </c>
      <c r="P31" s="15">
        <f t="shared" si="2"/>
        <v>7.2418692173471896E-2</v>
      </c>
      <c r="Q31" s="7">
        <f t="shared" si="12"/>
        <v>78279.879800595445</v>
      </c>
      <c r="R31" s="7">
        <f t="shared" si="13"/>
        <v>72610.953281939743</v>
      </c>
      <c r="S31" s="13">
        <f>IF('Calc (3)'!$AD$32="Sim",R31,Q31)</f>
        <v>72610.953281939743</v>
      </c>
      <c r="T31" s="9">
        <f t="shared" si="14"/>
        <v>27</v>
      </c>
      <c r="U31" s="17">
        <f t="shared" ca="1" si="15"/>
        <v>46327</v>
      </c>
      <c r="V31" s="124">
        <f t="shared" si="3"/>
        <v>2029629.3256423739</v>
      </c>
      <c r="W31" s="68">
        <v>27</v>
      </c>
      <c r="X31" s="125">
        <f t="shared" ca="1" si="16"/>
        <v>55366</v>
      </c>
      <c r="Y31" s="5">
        <f t="shared" si="17"/>
        <v>324</v>
      </c>
      <c r="Z31" s="5"/>
      <c r="AA31" s="92"/>
      <c r="AB31" s="93"/>
      <c r="AC31" s="94" t="s">
        <v>22</v>
      </c>
      <c r="AD31" s="109" t="str">
        <f>'Nova Simulação'!H21</f>
        <v>Este mês</v>
      </c>
      <c r="AE31" s="110">
        <f>IF(AD31=AF31,0,1)</f>
        <v>0</v>
      </c>
      <c r="AF31" s="250" t="s">
        <v>143</v>
      </c>
      <c r="AG31" s="97"/>
    </row>
    <row r="32" spans="2:33" x14ac:dyDescent="0.2">
      <c r="B32" s="17">
        <f t="shared" ca="1" si="4"/>
        <v>46327</v>
      </c>
      <c r="C32" s="9">
        <f t="shared" si="18"/>
        <v>28</v>
      </c>
      <c r="D32" s="9"/>
      <c r="E32" s="13">
        <f t="shared" si="5"/>
        <v>1120.5769833883783</v>
      </c>
      <c r="F32" s="14">
        <f t="shared" si="19"/>
        <v>64716.384521764543</v>
      </c>
      <c r="G32" s="15">
        <f t="shared" si="6"/>
        <v>0.87226982241809703</v>
      </c>
      <c r="H32" s="13">
        <f t="shared" si="7"/>
        <v>779.48594510607165</v>
      </c>
      <c r="I32" s="13">
        <f t="shared" si="8"/>
        <v>15463.558207325335</v>
      </c>
      <c r="J32" s="15">
        <f t="shared" si="0"/>
        <v>0.12773017758190297</v>
      </c>
      <c r="K32" s="13">
        <f t="shared" si="9"/>
        <v>9476.695255268758</v>
      </c>
      <c r="L32" s="13">
        <f t="shared" si="20"/>
        <v>121356.59041612055</v>
      </c>
      <c r="M32" s="15">
        <f t="shared" si="10"/>
        <v>0.12773017758190297</v>
      </c>
      <c r="N32" s="13">
        <f t="shared" si="1"/>
        <v>294.64600726734795</v>
      </c>
      <c r="O32" s="13">
        <f t="shared" si="11"/>
        <v>5986.8629520566028</v>
      </c>
      <c r="P32" s="15">
        <f t="shared" si="2"/>
        <v>7.466783771952637E-2</v>
      </c>
      <c r="Q32" s="7">
        <f t="shared" si="12"/>
        <v>80179.942729089904</v>
      </c>
      <c r="R32" s="7">
        <f t="shared" si="13"/>
        <v>74193.079777033301</v>
      </c>
      <c r="S32" s="13">
        <f>IF('Calc (3)'!$AD$32="Sim",R32,Q32)</f>
        <v>74193.079777033301</v>
      </c>
      <c r="T32" s="9">
        <f t="shared" si="14"/>
        <v>28</v>
      </c>
      <c r="U32" s="17">
        <f t="shared" ca="1" si="15"/>
        <v>46357</v>
      </c>
      <c r="V32" s="124">
        <f t="shared" si="3"/>
        <v>2235358.9821910476</v>
      </c>
      <c r="W32" s="68">
        <v>28</v>
      </c>
      <c r="X32" s="125">
        <f t="shared" ca="1" si="16"/>
        <v>55732</v>
      </c>
      <c r="Y32" s="5">
        <f t="shared" si="17"/>
        <v>336</v>
      </c>
      <c r="Z32" s="5"/>
      <c r="AA32" s="98"/>
      <c r="AB32" s="99"/>
      <c r="AC32" s="100" t="s">
        <v>18</v>
      </c>
      <c r="AD32" s="111" t="str">
        <f>'Nova Simulação'!H24</f>
        <v>Sim</v>
      </c>
      <c r="AE32" s="112" t="b">
        <f>IF(AD32="sim",TRUE,FALSE)</f>
        <v>1</v>
      </c>
      <c r="AF32" s="113"/>
      <c r="AG32" s="114"/>
    </row>
    <row r="33" spans="2:33" x14ac:dyDescent="0.2">
      <c r="B33" s="17">
        <f t="shared" ca="1" si="4"/>
        <v>46357</v>
      </c>
      <c r="C33" s="9">
        <f t="shared" si="18"/>
        <v>29</v>
      </c>
      <c r="D33" s="9"/>
      <c r="E33" s="13">
        <f t="shared" si="5"/>
        <v>1125.1423527278098</v>
      </c>
      <c r="F33" s="14">
        <f t="shared" si="19"/>
        <v>65841.526874492352</v>
      </c>
      <c r="G33" s="15">
        <f t="shared" si="6"/>
        <v>0.8687397271017564</v>
      </c>
      <c r="H33" s="13">
        <f t="shared" si="7"/>
        <v>798.40616255340672</v>
      </c>
      <c r="I33" s="13">
        <f t="shared" si="8"/>
        <v>16261.964369878742</v>
      </c>
      <c r="J33" s="15">
        <f t="shared" si="0"/>
        <v>0.1312602728982436</v>
      </c>
      <c r="K33" s="13">
        <f t="shared" si="9"/>
        <v>9948.1772456926119</v>
      </c>
      <c r="L33" s="13">
        <f t="shared" si="20"/>
        <v>131304.76766181318</v>
      </c>
      <c r="M33" s="15">
        <f t="shared" si="10"/>
        <v>0.13126027289824355</v>
      </c>
      <c r="N33" s="13">
        <f t="shared" si="1"/>
        <v>301.71468143349972</v>
      </c>
      <c r="O33" s="13">
        <f t="shared" si="11"/>
        <v>6313.7871241861576</v>
      </c>
      <c r="P33" s="15">
        <f t="shared" si="2"/>
        <v>7.6900348919316144E-2</v>
      </c>
      <c r="Q33" s="7">
        <f t="shared" si="12"/>
        <v>82103.491244371122</v>
      </c>
      <c r="R33" s="7">
        <f t="shared" si="13"/>
        <v>75789.704120184964</v>
      </c>
      <c r="S33" s="13">
        <f>IF('Calc (3)'!$AD$32="Sim",R33,Q33)</f>
        <v>75789.704120184964</v>
      </c>
      <c r="T33" s="9">
        <f t="shared" si="14"/>
        <v>29</v>
      </c>
      <c r="U33" s="17">
        <f t="shared" ca="1" si="15"/>
        <v>46388</v>
      </c>
      <c r="V33" s="124">
        <f t="shared" si="3"/>
        <v>2459481.3981338139</v>
      </c>
      <c r="W33" s="68">
        <v>29</v>
      </c>
      <c r="X33" s="125">
        <f t="shared" ca="1" si="16"/>
        <v>56097</v>
      </c>
      <c r="Y33" s="5">
        <f t="shared" si="17"/>
        <v>348</v>
      </c>
      <c r="Z33" s="5"/>
      <c r="AA33" s="98"/>
      <c r="AB33" s="99"/>
      <c r="AC33" s="100" t="s">
        <v>17</v>
      </c>
      <c r="AD33" s="111" t="str">
        <f>'Nova Simulação'!H27</f>
        <v>Não</v>
      </c>
      <c r="AE33" s="112" t="b">
        <f>IF(AD33="sim",TRUE,FALSE)</f>
        <v>0</v>
      </c>
      <c r="AF33" s="115"/>
      <c r="AG33" s="114"/>
    </row>
    <row r="34" spans="2:33" x14ac:dyDescent="0.2">
      <c r="B34" s="17">
        <f t="shared" ca="1" si="4"/>
        <v>46388</v>
      </c>
      <c r="C34" s="9">
        <f t="shared" si="18"/>
        <v>30</v>
      </c>
      <c r="D34" s="9"/>
      <c r="E34" s="13">
        <f t="shared" si="5"/>
        <v>1129.7263219470483</v>
      </c>
      <c r="F34" s="14">
        <f t="shared" si="19"/>
        <v>66971.2531964394</v>
      </c>
      <c r="G34" s="15">
        <f t="shared" si="6"/>
        <v>0.8652512081353666</v>
      </c>
      <c r="H34" s="13">
        <f t="shared" si="7"/>
        <v>817.5602419440595</v>
      </c>
      <c r="I34" s="13">
        <f t="shared" si="8"/>
        <v>17079.524611822802</v>
      </c>
      <c r="J34" s="15">
        <f>1-G34</f>
        <v>0.1347487918646334</v>
      </c>
      <c r="K34" s="13">
        <f t="shared" si="9"/>
        <v>10429.682585856441</v>
      </c>
      <c r="L34" s="13">
        <f t="shared" si="20"/>
        <v>141734.45024766962</v>
      </c>
      <c r="M34" s="15">
        <f t="shared" si="10"/>
        <v>0.13474879186463343</v>
      </c>
      <c r="N34" s="13">
        <f t="shared" si="1"/>
        <v>308.87058840383111</v>
      </c>
      <c r="O34" s="13">
        <f t="shared" si="11"/>
        <v>6649.8420259663835</v>
      </c>
      <c r="P34" s="15">
        <f t="shared" si="2"/>
        <v>7.9116960001680101E-2</v>
      </c>
      <c r="Q34" s="7">
        <f t="shared" si="12"/>
        <v>84050.777808262224</v>
      </c>
      <c r="R34" s="7">
        <f t="shared" si="13"/>
        <v>77400.935782295841</v>
      </c>
      <c r="S34" s="13">
        <f>IF('Calc (3)'!$AD$32="Sim",R34,Q34)</f>
        <v>77400.935782295841</v>
      </c>
      <c r="T34" s="9">
        <f t="shared" si="14"/>
        <v>30</v>
      </c>
      <c r="U34" s="17">
        <f t="shared" ca="1" si="15"/>
        <v>46419</v>
      </c>
      <c r="V34" s="124">
        <f t="shared" si="3"/>
        <v>2703546.5506300251</v>
      </c>
      <c r="W34" s="68">
        <v>30</v>
      </c>
      <c r="X34" s="125">
        <f t="shared" ca="1" si="16"/>
        <v>56462</v>
      </c>
      <c r="Y34" s="5">
        <f t="shared" si="17"/>
        <v>360</v>
      </c>
      <c r="Z34" s="5"/>
      <c r="AA34" s="98"/>
      <c r="AB34" s="99"/>
      <c r="AC34" s="100" t="s">
        <v>124</v>
      </c>
      <c r="AD34" s="111" t="str">
        <f>'Nova Simulação'!H30</f>
        <v>Sim</v>
      </c>
      <c r="AE34" s="112" t="b">
        <f>IF(AD34="sim",TRUE,FALSE)</f>
        <v>1</v>
      </c>
      <c r="AF34" s="115"/>
      <c r="AG34" s="114"/>
    </row>
    <row r="35" spans="2:33" x14ac:dyDescent="0.2">
      <c r="B35" s="17">
        <f t="shared" ca="1" si="4"/>
        <v>46419</v>
      </c>
      <c r="C35" s="9">
        <f t="shared" si="18"/>
        <v>31</v>
      </c>
      <c r="D35" s="9"/>
      <c r="E35" s="13">
        <f t="shared" si="5"/>
        <v>1134.3289668243062</v>
      </c>
      <c r="F35" s="14">
        <f t="shared" si="19"/>
        <v>68105.582163263709</v>
      </c>
      <c r="G35" s="15">
        <f t="shared" si="6"/>
        <v>0.86180269115870467</v>
      </c>
      <c r="H35" s="13">
        <f t="shared" si="7"/>
        <v>836.95069721192078</v>
      </c>
      <c r="I35" s="13">
        <f t="shared" si="8"/>
        <v>17916.475309034722</v>
      </c>
      <c r="J35" s="15">
        <f t="shared" si="0"/>
        <v>0.13819730884129533</v>
      </c>
      <c r="K35" s="13">
        <f t="shared" si="9"/>
        <v>10921.302832529109</v>
      </c>
      <c r="L35" s="13">
        <f t="shared" si="20"/>
        <v>152655.75308019872</v>
      </c>
      <c r="M35" s="15">
        <f t="shared" si="10"/>
        <v>0.13819730884129533</v>
      </c>
      <c r="N35" s="13">
        <f t="shared" si="1"/>
        <v>316.1146654441215</v>
      </c>
      <c r="O35" s="13">
        <f t="shared" si="11"/>
        <v>6995.1724765056424</v>
      </c>
      <c r="P35" s="15">
        <f t="shared" si="2"/>
        <v>8.1318358128765825E-2</v>
      </c>
      <c r="Q35" s="7">
        <f t="shared" si="12"/>
        <v>86022.05747229846</v>
      </c>
      <c r="R35" s="7">
        <f t="shared" si="13"/>
        <v>79026.884995792818</v>
      </c>
      <c r="S35" s="13">
        <f>IF('Calc (3)'!$AD$32="Sim",R35,Q35)</f>
        <v>79026.884995792818</v>
      </c>
      <c r="T35" s="9">
        <f t="shared" si="14"/>
        <v>31</v>
      </c>
      <c r="U35" s="17">
        <f t="shared" ca="1" si="15"/>
        <v>46447</v>
      </c>
      <c r="V35" s="124">
        <f t="shared" si="3"/>
        <v>2969230.9304932244</v>
      </c>
      <c r="W35" s="68">
        <v>31</v>
      </c>
      <c r="X35" s="125">
        <f t="shared" ca="1" si="16"/>
        <v>56827</v>
      </c>
      <c r="Y35" s="5">
        <f t="shared" si="17"/>
        <v>372</v>
      </c>
      <c r="AA35" s="98"/>
      <c r="AB35" s="99"/>
      <c r="AC35" s="100" t="s">
        <v>14</v>
      </c>
      <c r="AD35" s="105">
        <f>'Nova Simulação'!J30</f>
        <v>0.05</v>
      </c>
      <c r="AE35" s="116" t="s">
        <v>19</v>
      </c>
      <c r="AF35" s="106">
        <f>(1+AD35)^(1/12)-1</f>
        <v>4.0741237836483535E-3</v>
      </c>
      <c r="AG35" s="104" t="b">
        <f>IF(AE35="anual",TRUE,FALSE)</f>
        <v>1</v>
      </c>
    </row>
    <row r="36" spans="2:33" x14ac:dyDescent="0.2">
      <c r="B36" s="17">
        <f t="shared" ca="1" si="4"/>
        <v>46447</v>
      </c>
      <c r="C36" s="9">
        <f t="shared" si="18"/>
        <v>32</v>
      </c>
      <c r="D36" s="9"/>
      <c r="E36" s="13">
        <f t="shared" si="5"/>
        <v>1138.9503634465264</v>
      </c>
      <c r="F36" s="14">
        <f t="shared" si="19"/>
        <v>69244.532526710231</v>
      </c>
      <c r="G36" s="15">
        <f t="shared" si="6"/>
        <v>0.85839269612876545</v>
      </c>
      <c r="H36" s="13">
        <f t="shared" si="7"/>
        <v>856.58006807840468</v>
      </c>
      <c r="I36" s="13">
        <f t="shared" si="8"/>
        <v>18773.055377113127</v>
      </c>
      <c r="J36" s="15">
        <f t="shared" si="0"/>
        <v>0.14160730387123455</v>
      </c>
      <c r="K36" s="13">
        <f t="shared" si="9"/>
        <v>11423.130232995987</v>
      </c>
      <c r="L36" s="13">
        <f t="shared" si="20"/>
        <v>164078.8833131947</v>
      </c>
      <c r="M36" s="15">
        <f t="shared" si="10"/>
        <v>0.14160730387123452</v>
      </c>
      <c r="N36" s="13">
        <f t="shared" si="1"/>
        <v>323.44785943274707</v>
      </c>
      <c r="O36" s="13">
        <f t="shared" si="11"/>
        <v>7349.9251441171655</v>
      </c>
      <c r="P36" s="15">
        <f t="shared" si="2"/>
        <v>8.3505187078614471E-2</v>
      </c>
      <c r="Q36" s="7">
        <f t="shared" si="12"/>
        <v>88017.587903823383</v>
      </c>
      <c r="R36" s="7">
        <f t="shared" si="13"/>
        <v>80667.662759706218</v>
      </c>
      <c r="S36" s="13">
        <f>IF('Calc (3)'!$AD$32="Sim",R36,Q36)</f>
        <v>80667.662759706218</v>
      </c>
      <c r="T36" s="9">
        <f t="shared" si="14"/>
        <v>32</v>
      </c>
      <c r="U36" s="17">
        <f t="shared" ca="1" si="15"/>
        <v>46478</v>
      </c>
      <c r="V36" s="124">
        <f t="shared" si="3"/>
        <v>3258347.6792349191</v>
      </c>
      <c r="W36" s="68">
        <v>32</v>
      </c>
      <c r="X36" s="125">
        <f t="shared" ca="1" si="16"/>
        <v>57193</v>
      </c>
      <c r="Y36" s="5">
        <f t="shared" si="17"/>
        <v>384</v>
      </c>
      <c r="AA36" s="66"/>
      <c r="AB36" s="88"/>
      <c r="AC36" s="86" t="s">
        <v>26</v>
      </c>
      <c r="AD36" s="58" t="str">
        <f>'Nova Simulação'!H33</f>
        <v>Sim</v>
      </c>
      <c r="AE36" s="59">
        <f>'Nova Simulação'!J33</f>
        <v>0.15</v>
      </c>
      <c r="AF36" s="60" t="b">
        <f>IF(AD36="sim",TRUE,FALSE)</f>
        <v>1</v>
      </c>
      <c r="AG36" s="65"/>
    </row>
    <row r="37" spans="2:33" x14ac:dyDescent="0.2">
      <c r="B37" s="17">
        <f t="shared" ca="1" si="4"/>
        <v>46478</v>
      </c>
      <c r="C37" s="9">
        <f t="shared" si="18"/>
        <v>33</v>
      </c>
      <c r="D37" s="9"/>
      <c r="E37" s="13">
        <f t="shared" si="5"/>
        <v>1143.5905882106388</v>
      </c>
      <c r="F37" s="14">
        <f t="shared" si="19"/>
        <v>70388.123114920876</v>
      </c>
      <c r="G37" s="15">
        <f t="shared" si="6"/>
        <v>0.85501983024283812</v>
      </c>
      <c r="H37" s="13">
        <f t="shared" si="7"/>
        <v>876.45092031230524</v>
      </c>
      <c r="I37" s="13">
        <f t="shared" si="8"/>
        <v>19649.506297425432</v>
      </c>
      <c r="J37" s="15">
        <f t="shared" si="0"/>
        <v>0.14498016975716188</v>
      </c>
      <c r="K37" s="13">
        <f t="shared" si="9"/>
        <v>11935.25772985979</v>
      </c>
      <c r="L37" s="13">
        <f t="shared" si="20"/>
        <v>176014.14104305449</v>
      </c>
      <c r="M37" s="15">
        <f t="shared" si="10"/>
        <v>0.14498016975716188</v>
      </c>
      <c r="N37" s="13">
        <f t="shared" si="1"/>
        <v>330.87112695753984</v>
      </c>
      <c r="O37" s="13">
        <f t="shared" si="11"/>
        <v>7714.2485675656644</v>
      </c>
      <c r="P37" s="15">
        <f t="shared" si="2"/>
        <v>8.5678050587456436E-2</v>
      </c>
      <c r="Q37" s="7">
        <f t="shared" si="12"/>
        <v>90037.62941234633</v>
      </c>
      <c r="R37" s="7">
        <f t="shared" si="13"/>
        <v>82323.380844780666</v>
      </c>
      <c r="S37" s="13">
        <f>IF('Calc (3)'!$AD$32="Sim",R37,Q37)</f>
        <v>82323.380844780666</v>
      </c>
      <c r="T37" s="9">
        <f t="shared" si="14"/>
        <v>33</v>
      </c>
      <c r="U37" s="17">
        <f t="shared" ca="1" si="15"/>
        <v>46508</v>
      </c>
      <c r="V37" s="124">
        <f t="shared" si="3"/>
        <v>3572857.529329699</v>
      </c>
      <c r="W37" s="68">
        <v>33</v>
      </c>
      <c r="X37" s="125">
        <f t="shared" ca="1" si="16"/>
        <v>57558</v>
      </c>
      <c r="Y37" s="5">
        <f t="shared" si="17"/>
        <v>396</v>
      </c>
    </row>
    <row r="38" spans="2:33" x14ac:dyDescent="0.2">
      <c r="B38" s="17">
        <f t="shared" ca="1" si="4"/>
        <v>46508</v>
      </c>
      <c r="C38" s="9">
        <f t="shared" si="18"/>
        <v>34</v>
      </c>
      <c r="D38" s="9"/>
      <c r="E38" s="13">
        <f t="shared" si="5"/>
        <v>1148.2497178248241</v>
      </c>
      <c r="F38" s="14">
        <f t="shared" si="19"/>
        <v>71536.372832745707</v>
      </c>
      <c r="G38" s="15">
        <f t="shared" si="6"/>
        <v>0.85168278149005461</v>
      </c>
      <c r="H38" s="13">
        <f t="shared" si="7"/>
        <v>896.56584599225664</v>
      </c>
      <c r="I38" s="13">
        <f t="shared" si="8"/>
        <v>20546.072143417688</v>
      </c>
      <c r="J38" s="15">
        <f t="shared" si="0"/>
        <v>0.14831721850994539</v>
      </c>
      <c r="K38" s="13">
        <f t="shared" si="9"/>
        <v>12457.778965873295</v>
      </c>
      <c r="L38" s="13">
        <f t="shared" si="20"/>
        <v>188471.92000892779</v>
      </c>
      <c r="M38" s="15">
        <f t="shared" si="10"/>
        <v>0.14831721850994536</v>
      </c>
      <c r="N38" s="13">
        <f t="shared" si="1"/>
        <v>338.38543441361446</v>
      </c>
      <c r="O38" s="13">
        <f t="shared" si="11"/>
        <v>8088.2931775444158</v>
      </c>
      <c r="P38" s="15">
        <f t="shared" si="2"/>
        <v>8.7837515387847939E-2</v>
      </c>
      <c r="Q38" s="7">
        <f t="shared" si="12"/>
        <v>92082.444976163417</v>
      </c>
      <c r="R38" s="7">
        <f t="shared" si="13"/>
        <v>83994.151798619001</v>
      </c>
      <c r="S38" s="13">
        <f>IF('Calc (3)'!$AD$32="Sim",R38,Q38)</f>
        <v>83994.151798619001</v>
      </c>
      <c r="T38" s="9">
        <f t="shared" si="14"/>
        <v>34</v>
      </c>
      <c r="U38" s="17">
        <f t="shared" ca="1" si="15"/>
        <v>46539</v>
      </c>
      <c r="V38" s="124">
        <f t="shared" si="3"/>
        <v>3914880.6109082233</v>
      </c>
      <c r="W38" s="68">
        <v>34</v>
      </c>
      <c r="X38" s="125">
        <f t="shared" ca="1" si="16"/>
        <v>57923</v>
      </c>
      <c r="Y38" s="5">
        <f t="shared" si="17"/>
        <v>408</v>
      </c>
      <c r="AA38" s="55" t="s">
        <v>47</v>
      </c>
      <c r="AB38" s="2"/>
    </row>
    <row r="39" spans="2:33" x14ac:dyDescent="0.2">
      <c r="B39" s="17">
        <f t="shared" ca="1" si="4"/>
        <v>46539</v>
      </c>
      <c r="C39" s="9">
        <f t="shared" si="18"/>
        <v>35</v>
      </c>
      <c r="D39" s="9"/>
      <c r="E39" s="13">
        <f t="shared" si="5"/>
        <v>1152.9278293097816</v>
      </c>
      <c r="F39" s="14">
        <f t="shared" si="19"/>
        <v>72689.300662055495</v>
      </c>
      <c r="G39" s="15">
        <f t="shared" si="6"/>
        <v>0.84838031276724102</v>
      </c>
      <c r="H39" s="13">
        <f t="shared" si="7"/>
        <v>916.92746377181595</v>
      </c>
      <c r="I39" s="13">
        <f t="shared" si="8"/>
        <v>21462.999607189504</v>
      </c>
      <c r="J39" s="15">
        <f t="shared" si="0"/>
        <v>0.15161968723275898</v>
      </c>
      <c r="K39" s="13">
        <f t="shared" si="9"/>
        <v>12990.788288804339</v>
      </c>
      <c r="L39" s="13">
        <f t="shared" si="20"/>
        <v>201462.70829773211</v>
      </c>
      <c r="M39" s="15">
        <f t="shared" si="10"/>
        <v>0.15161968723275901</v>
      </c>
      <c r="N39" s="13">
        <f t="shared" si="1"/>
        <v>345.99175810217474</v>
      </c>
      <c r="O39" s="13">
        <f t="shared" si="11"/>
        <v>8472.2113183851907</v>
      </c>
      <c r="P39" s="15">
        <f t="shared" si="2"/>
        <v>8.9984113974458574E-2</v>
      </c>
      <c r="Q39" s="7">
        <f t="shared" si="12"/>
        <v>94152.300269245025</v>
      </c>
      <c r="R39" s="7">
        <f t="shared" si="13"/>
        <v>85680.088950859834</v>
      </c>
      <c r="S39" s="13">
        <f>IF('Calc (3)'!$AD$32="Sim",R39,Q39)</f>
        <v>85680.088950859834</v>
      </c>
      <c r="T39" s="9">
        <f t="shared" si="14"/>
        <v>35</v>
      </c>
      <c r="U39" s="17">
        <f t="shared" ca="1" si="15"/>
        <v>46569</v>
      </c>
      <c r="V39" s="124">
        <f t="shared" si="3"/>
        <v>4286709.1930370051</v>
      </c>
      <c r="W39" s="68">
        <v>35</v>
      </c>
      <c r="X39" s="125">
        <f t="shared" ca="1" si="16"/>
        <v>58288</v>
      </c>
      <c r="Y39" s="5">
        <f t="shared" si="17"/>
        <v>420</v>
      </c>
      <c r="AA39" s="73" t="s">
        <v>2</v>
      </c>
      <c r="AB39" s="56" t="s">
        <v>61</v>
      </c>
      <c r="AC39" s="56" t="s">
        <v>4</v>
      </c>
      <c r="AD39" s="56" t="s">
        <v>46</v>
      </c>
      <c r="AE39" s="56" t="s">
        <v>44</v>
      </c>
      <c r="AF39" s="57" t="s">
        <v>45</v>
      </c>
    </row>
    <row r="40" spans="2:33" x14ac:dyDescent="0.2">
      <c r="B40" s="17">
        <f t="shared" ca="1" si="4"/>
        <v>46569</v>
      </c>
      <c r="C40" s="9">
        <f t="shared" si="18"/>
        <v>36</v>
      </c>
      <c r="D40" s="9">
        <v>3</v>
      </c>
      <c r="E40" s="13">
        <f t="shared" si="5"/>
        <v>1157.6250000000027</v>
      </c>
      <c r="F40" s="14">
        <f t="shared" si="19"/>
        <v>73846.925662055495</v>
      </c>
      <c r="G40" s="15">
        <f t="shared" si="6"/>
        <v>0.84511125650228258</v>
      </c>
      <c r="H40" s="13">
        <f t="shared" si="7"/>
        <v>937.53841914720022</v>
      </c>
      <c r="I40" s="13">
        <f t="shared" si="8"/>
        <v>22400.538026336704</v>
      </c>
      <c r="J40" s="15">
        <f t="shared" si="0"/>
        <v>0.15488874349771742</v>
      </c>
      <c r="K40" s="13">
        <f t="shared" si="9"/>
        <v>13534.380756333267</v>
      </c>
      <c r="L40" s="13">
        <f t="shared" si="20"/>
        <v>214997.08905406538</v>
      </c>
      <c r="M40" s="15">
        <f t="shared" si="10"/>
        <v>0.15488874349771742</v>
      </c>
      <c r="N40" s="13">
        <f t="shared" si="1"/>
        <v>353.69108433030823</v>
      </c>
      <c r="O40" s="13">
        <f t="shared" si="11"/>
        <v>8866.1572700034594</v>
      </c>
      <c r="P40" s="15">
        <f t="shared" si="2"/>
        <v>9.2118347125574679E-2</v>
      </c>
      <c r="Q40" s="7">
        <f t="shared" si="12"/>
        <v>96247.463688392221</v>
      </c>
      <c r="R40" s="7">
        <f t="shared" si="13"/>
        <v>87381.306418388762</v>
      </c>
      <c r="S40" s="13">
        <f>IF('Calc (3)'!$AD$32="Sim",R40,Q40)</f>
        <v>87381.306418388762</v>
      </c>
      <c r="T40" s="9">
        <f t="shared" si="14"/>
        <v>36</v>
      </c>
      <c r="U40" s="17">
        <f t="shared" ca="1" si="15"/>
        <v>46600</v>
      </c>
      <c r="V40" s="124">
        <f t="shared" si="3"/>
        <v>4690821.4330831142</v>
      </c>
      <c r="W40" s="68">
        <v>36</v>
      </c>
      <c r="X40" s="125">
        <f t="shared" ca="1" si="16"/>
        <v>58654</v>
      </c>
      <c r="Y40" s="5">
        <f t="shared" si="17"/>
        <v>432</v>
      </c>
      <c r="AA40" s="74">
        <v>5</v>
      </c>
      <c r="AB40" s="69">
        <f>AA40*12</f>
        <v>60</v>
      </c>
      <c r="AC40" s="70">
        <f ca="1">INDEX($U$5:$U$997,AB40,0)</f>
        <v>47331</v>
      </c>
      <c r="AD40" s="77">
        <f ca="1">INDEX($S$5:$S$997,MATCH(AC40,$U$5:$U$997,0),0)</f>
        <v>133105.66892095667</v>
      </c>
      <c r="AE40" s="80">
        <f>INDEX($G$5:$G$997,AB40,0)</f>
        <v>0.7744975876219784</v>
      </c>
      <c r="AF40" s="81">
        <f>INDEX($J$5:$J$997,AB40,0)</f>
        <v>0.2255024123780216</v>
      </c>
    </row>
    <row r="41" spans="2:33" x14ac:dyDescent="0.2">
      <c r="B41" s="17">
        <f t="shared" ca="1" si="4"/>
        <v>46600</v>
      </c>
      <c r="C41" s="9">
        <f t="shared" si="18"/>
        <v>37</v>
      </c>
      <c r="D41" s="9"/>
      <c r="E41" s="13">
        <f t="shared" si="5"/>
        <v>1162.3413075450487</v>
      </c>
      <c r="F41" s="14">
        <f t="shared" si="19"/>
        <v>75009.266969600547</v>
      </c>
      <c r="G41" s="15">
        <f t="shared" si="6"/>
        <v>0.84187450973465661</v>
      </c>
      <c r="H41" s="13">
        <f t="shared" si="7"/>
        <v>958.40138472770172</v>
      </c>
      <c r="I41" s="13">
        <f t="shared" si="8"/>
        <v>23358.939411064406</v>
      </c>
      <c r="J41" s="15">
        <f t="shared" si="0"/>
        <v>0.15812549026534339</v>
      </c>
      <c r="K41" s="13">
        <f t="shared" si="9"/>
        <v>14088.652140982915</v>
      </c>
      <c r="L41" s="13">
        <f t="shared" si="20"/>
        <v>229085.74119504829</v>
      </c>
      <c r="M41" s="15">
        <f t="shared" si="10"/>
        <v>0.15812549026534337</v>
      </c>
      <c r="N41" s="13">
        <f t="shared" si="1"/>
        <v>361.48440951177992</v>
      </c>
      <c r="O41" s="13">
        <f t="shared" si="11"/>
        <v>9270.287270081506</v>
      </c>
      <c r="P41" s="15">
        <f t="shared" si="2"/>
        <v>9.4240686205127891E-2</v>
      </c>
      <c r="Q41" s="7">
        <f t="shared" si="12"/>
        <v>98368.206380664968</v>
      </c>
      <c r="R41" s="7">
        <f t="shared" si="13"/>
        <v>89097.919110583462</v>
      </c>
      <c r="S41" s="13">
        <f>IF('Calc (3)'!$AD$32="Sim",R41,Q41)</f>
        <v>89097.919110583462</v>
      </c>
      <c r="T41" s="9">
        <f t="shared" si="14"/>
        <v>37</v>
      </c>
      <c r="U41" s="17">
        <f t="shared" ca="1" si="15"/>
        <v>46631</v>
      </c>
      <c r="V41" s="124">
        <f t="shared" si="3"/>
        <v>5129896.2134184595</v>
      </c>
      <c r="W41" s="68">
        <v>37</v>
      </c>
      <c r="X41" s="125">
        <f t="shared" ca="1" si="16"/>
        <v>59019</v>
      </c>
      <c r="Y41" s="5">
        <f t="shared" si="17"/>
        <v>444</v>
      </c>
      <c r="AA41" s="75">
        <v>10</v>
      </c>
      <c r="AB41" s="71">
        <f>AA41*12</f>
        <v>120</v>
      </c>
      <c r="AC41" s="72">
        <f t="shared" ref="AC41:AC49" ca="1" si="21">INDEX($U$5:$U$997,AB41,0)</f>
        <v>49157</v>
      </c>
      <c r="AD41" s="78">
        <f t="shared" ref="AD41:AD49" ca="1" si="22">INDEX($S$5:$S$997,MATCH(AC41,$U$5:$U$997,0),0)</f>
        <v>298490.80913825921</v>
      </c>
      <c r="AE41" s="82">
        <f t="shared" ref="AE41:AE49" si="23">INDEX($G$5:$G$997,AB41,0)</f>
        <v>0.63650889780073838</v>
      </c>
      <c r="AF41" s="83">
        <f t="shared" ref="AF41:AF49" si="24">INDEX($J$5:$J$997,AB41,0)</f>
        <v>0.36349110219926162</v>
      </c>
    </row>
    <row r="42" spans="2:33" x14ac:dyDescent="0.2">
      <c r="B42" s="17">
        <f t="shared" ca="1" si="4"/>
        <v>46631</v>
      </c>
      <c r="C42" s="9">
        <f t="shared" si="18"/>
        <v>38</v>
      </c>
      <c r="D42" s="9"/>
      <c r="E42" s="13">
        <f t="shared" si="5"/>
        <v>1167.0768299108349</v>
      </c>
      <c r="F42" s="14">
        <f t="shared" si="19"/>
        <v>76176.343799511378</v>
      </c>
      <c r="G42" s="15">
        <f t="shared" si="6"/>
        <v>0.83866902960840972</v>
      </c>
      <c r="H42" s="13">
        <f t="shared" si="7"/>
        <v>979.51906050880893</v>
      </c>
      <c r="I42" s="13">
        <f t="shared" si="8"/>
        <v>24338.458471573216</v>
      </c>
      <c r="J42" s="15">
        <f t="shared" si="0"/>
        <v>0.16133097039159028</v>
      </c>
      <c r="K42" s="13">
        <f t="shared" si="9"/>
        <v>14653.698935081484</v>
      </c>
      <c r="L42" s="13">
        <f t="shared" si="20"/>
        <v>243739.44013012978</v>
      </c>
      <c r="M42" s="15">
        <f t="shared" si="10"/>
        <v>0.16133097039159031</v>
      </c>
      <c r="N42" s="13">
        <f t="shared" si="1"/>
        <v>369.37274026883313</v>
      </c>
      <c r="O42" s="13">
        <f t="shared" si="11"/>
        <v>9684.7595364917506</v>
      </c>
      <c r="P42" s="15">
        <f t="shared" si="2"/>
        <v>9.6351575267216077E-2</v>
      </c>
      <c r="Q42" s="7">
        <f t="shared" si="12"/>
        <v>100514.80227108461</v>
      </c>
      <c r="R42" s="7">
        <f t="shared" si="13"/>
        <v>90830.042734592862</v>
      </c>
      <c r="S42" s="13">
        <f>IF('Calc (3)'!$AD$32="Sim",R42,Q42)</f>
        <v>90830.042734592862</v>
      </c>
      <c r="T42" s="9">
        <f t="shared" si="14"/>
        <v>38</v>
      </c>
      <c r="U42" s="17">
        <f t="shared" ca="1" si="15"/>
        <v>46661</v>
      </c>
      <c r="V42" s="124">
        <f t="shared" si="3"/>
        <v>5606829.1509243483</v>
      </c>
      <c r="W42" s="68">
        <v>38</v>
      </c>
      <c r="X42" s="125">
        <f t="shared" ca="1" si="16"/>
        <v>59384</v>
      </c>
      <c r="Y42" s="5">
        <f t="shared" si="17"/>
        <v>456</v>
      </c>
      <c r="AA42" s="75">
        <v>15</v>
      </c>
      <c r="AB42" s="71">
        <f t="shared" ref="AB42:AB49" si="25">AA42*12</f>
        <v>180</v>
      </c>
      <c r="AC42" s="72">
        <f t="shared" ca="1" si="21"/>
        <v>50983</v>
      </c>
      <c r="AD42" s="78">
        <f t="shared" ca="1" si="22"/>
        <v>567977.2229586537</v>
      </c>
      <c r="AE42" s="82">
        <f t="shared" si="23"/>
        <v>0.52978096766951255</v>
      </c>
      <c r="AF42" s="83">
        <f t="shared" si="24"/>
        <v>0.47021903233048745</v>
      </c>
    </row>
    <row r="43" spans="2:33" x14ac:dyDescent="0.2">
      <c r="B43" s="17">
        <f t="shared" ca="1" si="4"/>
        <v>46661</v>
      </c>
      <c r="C43" s="9">
        <f t="shared" si="18"/>
        <v>39</v>
      </c>
      <c r="D43" s="9"/>
      <c r="E43" s="13">
        <f t="shared" si="5"/>
        <v>1171.8316453809196</v>
      </c>
      <c r="F43" s="14">
        <f t="shared" si="19"/>
        <v>77348.175444892302</v>
      </c>
      <c r="G43" s="15">
        <f t="shared" si="6"/>
        <v>0.83549382923779025</v>
      </c>
      <c r="H43" s="13">
        <f t="shared" si="7"/>
        <v>1000.8941741480591</v>
      </c>
      <c r="I43" s="13">
        <f t="shared" si="8"/>
        <v>25339.352645721276</v>
      </c>
      <c r="J43" s="15">
        <f t="shared" si="0"/>
        <v>0.16450617076220975</v>
      </c>
      <c r="K43" s="13">
        <f t="shared" si="9"/>
        <v>15229.618355758503</v>
      </c>
      <c r="L43" s="13">
        <f t="shared" si="20"/>
        <v>258969.05848588829</v>
      </c>
      <c r="M43" s="15">
        <f t="shared" si="10"/>
        <v>0.16450617076220972</v>
      </c>
      <c r="N43" s="13">
        <f t="shared" si="1"/>
        <v>377.35709353501005</v>
      </c>
      <c r="O43" s="13">
        <f t="shared" si="11"/>
        <v>10109.734289962784</v>
      </c>
      <c r="P43" s="15">
        <f t="shared" si="2"/>
        <v>9.8451432982608625E-2</v>
      </c>
      <c r="Q43" s="7">
        <f t="shared" si="12"/>
        <v>102687.52809061359</v>
      </c>
      <c r="R43" s="7">
        <f t="shared" si="13"/>
        <v>92577.793800650805</v>
      </c>
      <c r="S43" s="13">
        <f>IF('Calc (3)'!$AD$32="Sim",R43,Q43)</f>
        <v>92577.793800650805</v>
      </c>
      <c r="T43" s="9">
        <f t="shared" si="14"/>
        <v>39</v>
      </c>
      <c r="U43" s="17">
        <f t="shared" ca="1" si="15"/>
        <v>46692</v>
      </c>
      <c r="V43" s="124">
        <f t="shared" si="3"/>
        <v>6124749.8714479543</v>
      </c>
      <c r="W43" s="68">
        <v>39</v>
      </c>
      <c r="X43" s="125">
        <f t="shared" ca="1" si="16"/>
        <v>59749</v>
      </c>
      <c r="Y43" s="5">
        <f t="shared" si="17"/>
        <v>468</v>
      </c>
      <c r="AA43" s="75">
        <v>20</v>
      </c>
      <c r="AB43" s="71">
        <f t="shared" si="25"/>
        <v>240</v>
      </c>
      <c r="AC43" s="72">
        <f t="shared" ca="1" si="21"/>
        <v>52810</v>
      </c>
      <c r="AD43" s="78">
        <f t="shared" ca="1" si="22"/>
        <v>996852.32943230704</v>
      </c>
      <c r="AE43" s="82">
        <f t="shared" si="23"/>
        <v>0.44385489200283479</v>
      </c>
      <c r="AF43" s="83">
        <f t="shared" si="24"/>
        <v>0.55614510799716521</v>
      </c>
    </row>
    <row r="44" spans="2:33" x14ac:dyDescent="0.2">
      <c r="B44" s="17">
        <f t="shared" ca="1" si="4"/>
        <v>46692</v>
      </c>
      <c r="C44" s="9">
        <f t="shared" si="18"/>
        <v>40</v>
      </c>
      <c r="D44" s="9"/>
      <c r="E44" s="13">
        <f t="shared" si="5"/>
        <v>1176.6058325577978</v>
      </c>
      <c r="F44" s="14">
        <f t="shared" si="19"/>
        <v>78524.781277450093</v>
      </c>
      <c r="G44" s="15">
        <f t="shared" si="6"/>
        <v>0.83234797391007542</v>
      </c>
      <c r="H44" s="13">
        <f t="shared" si="7"/>
        <v>1022.529481243651</v>
      </c>
      <c r="I44" s="13">
        <f t="shared" si="8"/>
        <v>26361.882126964927</v>
      </c>
      <c r="J44" s="15">
        <f t="shared" si="0"/>
        <v>0.16765202608992458</v>
      </c>
      <c r="K44" s="13">
        <f t="shared" si="9"/>
        <v>15816.508349974043</v>
      </c>
      <c r="L44" s="13">
        <f t="shared" si="20"/>
        <v>274785.56683586235</v>
      </c>
      <c r="M44" s="15">
        <f t="shared" si="10"/>
        <v>0.16765202608992458</v>
      </c>
      <c r="N44" s="13">
        <f t="shared" si="1"/>
        <v>385.43849665900024</v>
      </c>
      <c r="O44" s="13">
        <f t="shared" si="11"/>
        <v>10545.373776990891</v>
      </c>
      <c r="P44" s="15">
        <f t="shared" si="2"/>
        <v>0.10054065440456181</v>
      </c>
      <c r="Q44" s="7">
        <f t="shared" si="12"/>
        <v>104886.66340441503</v>
      </c>
      <c r="R44" s="7">
        <f t="shared" si="13"/>
        <v>94341.289627424136</v>
      </c>
      <c r="S44" s="13">
        <f>IF('Calc (3)'!$AD$32="Sim",R44,Q44)</f>
        <v>94341.289627424136</v>
      </c>
      <c r="T44" s="9">
        <f t="shared" si="14"/>
        <v>40</v>
      </c>
      <c r="U44" s="17">
        <f t="shared" ca="1" si="15"/>
        <v>46722</v>
      </c>
      <c r="V44" s="124">
        <f t="shared" si="3"/>
        <v>6687040.6485756859</v>
      </c>
      <c r="W44" s="68">
        <v>40</v>
      </c>
      <c r="X44" s="125">
        <f t="shared" ca="1" si="16"/>
        <v>60115</v>
      </c>
      <c r="Y44" s="5">
        <f t="shared" si="17"/>
        <v>480</v>
      </c>
      <c r="AA44" s="75">
        <v>25</v>
      </c>
      <c r="AB44" s="71">
        <f t="shared" si="25"/>
        <v>300</v>
      </c>
      <c r="AC44" s="72">
        <f t="shared" ca="1" si="21"/>
        <v>54636</v>
      </c>
      <c r="AD44" s="78">
        <f t="shared" ca="1" si="22"/>
        <v>1667725.2860024006</v>
      </c>
      <c r="AE44" s="82">
        <f t="shared" si="23"/>
        <v>0.37363520279833029</v>
      </c>
      <c r="AF44" s="83">
        <f t="shared" si="24"/>
        <v>0.62636479720166971</v>
      </c>
    </row>
    <row r="45" spans="2:33" x14ac:dyDescent="0.2">
      <c r="B45" s="17">
        <f t="shared" ca="1" si="4"/>
        <v>46722</v>
      </c>
      <c r="C45" s="9">
        <f t="shared" si="18"/>
        <v>41</v>
      </c>
      <c r="D45" s="9"/>
      <c r="E45" s="13">
        <f t="shared" si="5"/>
        <v>1181.3994703642009</v>
      </c>
      <c r="F45" s="14">
        <f t="shared" si="19"/>
        <v>79706.180747814287</v>
      </c>
      <c r="G45" s="15">
        <f t="shared" si="6"/>
        <v>0.82923057759393426</v>
      </c>
      <c r="H45" s="13">
        <f t="shared" si="7"/>
        <v>1044.4277656158456</v>
      </c>
      <c r="I45" s="13">
        <f t="shared" si="8"/>
        <v>27406.309892580772</v>
      </c>
      <c r="J45" s="15">
        <f t="shared" si="0"/>
        <v>0.17076942240606574</v>
      </c>
      <c r="K45" s="13">
        <f t="shared" si="9"/>
        <v>16414.467599581301</v>
      </c>
      <c r="L45" s="13">
        <f t="shared" si="20"/>
        <v>291200.03443544364</v>
      </c>
      <c r="M45" s="15">
        <f t="shared" si="10"/>
        <v>0.17076942240606574</v>
      </c>
      <c r="N45" s="13">
        <f t="shared" si="1"/>
        <v>393.61798750952806</v>
      </c>
      <c r="O45" s="13">
        <f t="shared" si="11"/>
        <v>10991.842292999485</v>
      </c>
      <c r="P45" s="15">
        <f t="shared" si="2"/>
        <v>0.10261961258936647</v>
      </c>
      <c r="Q45" s="7">
        <f t="shared" si="12"/>
        <v>107112.49064039507</v>
      </c>
      <c r="R45" s="7">
        <f t="shared" si="13"/>
        <v>96120.648347395589</v>
      </c>
      <c r="S45" s="13">
        <f>IF('Calc (3)'!$AD$32="Sim",R45,Q45)</f>
        <v>96120.648347395589</v>
      </c>
      <c r="T45" s="9">
        <f t="shared" si="14"/>
        <v>41</v>
      </c>
      <c r="U45" s="17">
        <f t="shared" ca="1" si="15"/>
        <v>46753</v>
      </c>
      <c r="V45" s="124">
        <f t="shared" si="3"/>
        <v>7297356.513865198</v>
      </c>
      <c r="W45" s="68">
        <v>41</v>
      </c>
      <c r="X45" s="125">
        <f t="shared" ca="1" si="16"/>
        <v>60480</v>
      </c>
      <c r="Y45" s="5">
        <f t="shared" si="17"/>
        <v>492</v>
      </c>
      <c r="AA45" s="75">
        <v>30</v>
      </c>
      <c r="AB45" s="71">
        <f>AA45*12</f>
        <v>360</v>
      </c>
      <c r="AC45" s="72">
        <f t="shared" ca="1" si="21"/>
        <v>56462</v>
      </c>
      <c r="AD45" s="78">
        <f t="shared" ca="1" si="22"/>
        <v>2703546.5506300251</v>
      </c>
      <c r="AE45" s="82">
        <f t="shared" si="23"/>
        <v>0.31576961348567806</v>
      </c>
      <c r="AF45" s="83">
        <f t="shared" si="24"/>
        <v>0.684230386514322</v>
      </c>
    </row>
    <row r="46" spans="2:33" x14ac:dyDescent="0.2">
      <c r="B46" s="17">
        <f t="shared" ca="1" si="4"/>
        <v>46753</v>
      </c>
      <c r="C46" s="9">
        <f t="shared" si="18"/>
        <v>42</v>
      </c>
      <c r="D46" s="9"/>
      <c r="E46" s="13">
        <f t="shared" si="5"/>
        <v>1186.2126380444013</v>
      </c>
      <c r="F46" s="14">
        <f t="shared" si="19"/>
        <v>80892.393385858682</v>
      </c>
      <c r="G46" s="15">
        <f t="shared" si="6"/>
        <v>0.82614079972502008</v>
      </c>
      <c r="H46" s="13">
        <f t="shared" si="7"/>
        <v>1066.5918395911808</v>
      </c>
      <c r="I46" s="13">
        <f t="shared" si="8"/>
        <v>28472.901732171951</v>
      </c>
      <c r="J46" s="15">
        <f t="shared" si="0"/>
        <v>0.17385920027497992</v>
      </c>
      <c r="K46" s="13">
        <f t="shared" si="9"/>
        <v>17023.595526423116</v>
      </c>
      <c r="L46" s="13">
        <f t="shared" si="20"/>
        <v>308223.62996186677</v>
      </c>
      <c r="M46" s="15">
        <f t="shared" si="10"/>
        <v>0.17385920027497995</v>
      </c>
      <c r="N46" s="13">
        <f t="shared" si="1"/>
        <v>401.89661458128955</v>
      </c>
      <c r="O46" s="13">
        <f t="shared" si="11"/>
        <v>11449.306205748857</v>
      </c>
      <c r="P46" s="15">
        <f t="shared" si="2"/>
        <v>0.10468866008538071</v>
      </c>
      <c r="Q46" s="7">
        <f t="shared" si="12"/>
        <v>109365.29511803066</v>
      </c>
      <c r="R46" s="7">
        <f t="shared" si="13"/>
        <v>97915.988912281799</v>
      </c>
      <c r="S46" s="13">
        <f>IF('Calc (3)'!$AD$32="Sim",R46,Q46)</f>
        <v>97915.988912281799</v>
      </c>
      <c r="T46" s="9">
        <f t="shared" si="14"/>
        <v>42</v>
      </c>
      <c r="U46" s="17">
        <f t="shared" ca="1" si="15"/>
        <v>46784</v>
      </c>
      <c r="V46" s="124">
        <f t="shared" si="3"/>
        <v>7959646.9540617624</v>
      </c>
      <c r="W46" s="68">
        <v>42</v>
      </c>
      <c r="X46" s="125">
        <f t="shared" ca="1" si="16"/>
        <v>60845</v>
      </c>
      <c r="Y46" s="5">
        <f t="shared" si="17"/>
        <v>504</v>
      </c>
      <c r="AA46" s="75">
        <v>35</v>
      </c>
      <c r="AB46" s="71">
        <f t="shared" si="25"/>
        <v>420</v>
      </c>
      <c r="AC46" s="72">
        <f t="shared" ca="1" si="21"/>
        <v>58288</v>
      </c>
      <c r="AD46" s="78">
        <f t="shared" ca="1" si="22"/>
        <v>4286709.1930370051</v>
      </c>
      <c r="AE46" s="82">
        <f t="shared" si="23"/>
        <v>0.26779959594760205</v>
      </c>
      <c r="AF46" s="83">
        <f t="shared" si="24"/>
        <v>0.73220040405239795</v>
      </c>
    </row>
    <row r="47" spans="2:33" x14ac:dyDescent="0.2">
      <c r="B47" s="17">
        <f t="shared" ca="1" si="4"/>
        <v>46784</v>
      </c>
      <c r="C47" s="9">
        <f t="shared" si="18"/>
        <v>43</v>
      </c>
      <c r="D47" s="9"/>
      <c r="E47" s="13">
        <f t="shared" si="5"/>
        <v>1191.0454151655222</v>
      </c>
      <c r="F47" s="14">
        <f t="shared" si="19"/>
        <v>82083.438801024211</v>
      </c>
      <c r="G47" s="15">
        <f t="shared" si="6"/>
        <v>0.8230778422434466</v>
      </c>
      <c r="H47" s="13">
        <f t="shared" si="7"/>
        <v>1089.0245442895291</v>
      </c>
      <c r="I47" s="13">
        <f t="shared" si="8"/>
        <v>29561.92627646148</v>
      </c>
      <c r="J47" s="15">
        <f t="shared" si="0"/>
        <v>0.1769221577565534</v>
      </c>
      <c r="K47" s="13">
        <f t="shared" si="9"/>
        <v>17643.992297462231</v>
      </c>
      <c r="L47" s="13">
        <f t="shared" si="20"/>
        <v>325867.62225932901</v>
      </c>
      <c r="M47" s="15">
        <f t="shared" si="10"/>
        <v>0.17692215775655343</v>
      </c>
      <c r="N47" s="13">
        <f t="shared" si="1"/>
        <v>410.27543710194863</v>
      </c>
      <c r="O47" s="13">
        <f t="shared" si="11"/>
        <v>11917.933978999266</v>
      </c>
      <c r="P47" s="15">
        <f t="shared" si="2"/>
        <v>0.10674813030283713</v>
      </c>
      <c r="Q47" s="7">
        <f t="shared" si="12"/>
        <v>111645.36507748571</v>
      </c>
      <c r="R47" s="7">
        <f t="shared" si="13"/>
        <v>99727.431098486442</v>
      </c>
      <c r="S47" s="13">
        <f>IF('Calc (3)'!$AD$32="Sim",R47,Q47)</f>
        <v>99727.431098486442</v>
      </c>
      <c r="T47" s="9">
        <f t="shared" si="14"/>
        <v>43</v>
      </c>
      <c r="U47" s="17">
        <f t="shared" ca="1" si="15"/>
        <v>46813</v>
      </c>
      <c r="V47" s="124">
        <f t="shared" si="3"/>
        <v>8678179.319863148</v>
      </c>
      <c r="W47" s="68">
        <v>43</v>
      </c>
      <c r="X47" s="125">
        <f t="shared" ca="1" si="16"/>
        <v>61210</v>
      </c>
      <c r="Y47" s="5">
        <f t="shared" si="17"/>
        <v>516</v>
      </c>
      <c r="AA47" s="75">
        <v>40</v>
      </c>
      <c r="AB47" s="71">
        <f t="shared" si="25"/>
        <v>480</v>
      </c>
      <c r="AC47" s="72">
        <f t="shared" ca="1" si="21"/>
        <v>60115</v>
      </c>
      <c r="AD47" s="78">
        <f t="shared" ca="1" si="22"/>
        <v>6687040.6485756859</v>
      </c>
      <c r="AE47" s="82">
        <f t="shared" si="23"/>
        <v>0.22783839125989255</v>
      </c>
      <c r="AF47" s="83">
        <f t="shared" si="24"/>
        <v>0.77216160874010742</v>
      </c>
    </row>
    <row r="48" spans="2:33" x14ac:dyDescent="0.2">
      <c r="B48" s="17">
        <f t="shared" ca="1" si="4"/>
        <v>46813</v>
      </c>
      <c r="C48" s="9">
        <f t="shared" si="18"/>
        <v>44</v>
      </c>
      <c r="D48" s="9"/>
      <c r="E48" s="13">
        <f t="shared" si="5"/>
        <v>1195.8978816188533</v>
      </c>
      <c r="F48" s="14">
        <f t="shared" si="19"/>
        <v>83279.336682643057</v>
      </c>
      <c r="G48" s="15">
        <f t="shared" si="6"/>
        <v>0.82004094686041362</v>
      </c>
      <c r="H48" s="13">
        <f t="shared" si="7"/>
        <v>1111.7287499140282</v>
      </c>
      <c r="I48" s="13">
        <f t="shared" si="8"/>
        <v>30673.655026375509</v>
      </c>
      <c r="J48" s="15">
        <f t="shared" si="0"/>
        <v>0.17995905313958638</v>
      </c>
      <c r="K48" s="13">
        <f t="shared" si="9"/>
        <v>18275.758829945742</v>
      </c>
      <c r="L48" s="13">
        <f t="shared" si="20"/>
        <v>344143.38108927477</v>
      </c>
      <c r="M48" s="15">
        <f t="shared" si="10"/>
        <v>0.17995905313958641</v>
      </c>
      <c r="N48" s="13">
        <f t="shared" si="1"/>
        <v>418.75552514020404</v>
      </c>
      <c r="O48" s="13">
        <f t="shared" si="11"/>
        <v>12397.896196429778</v>
      </c>
      <c r="P48" s="15">
        <f t="shared" si="2"/>
        <v>0.10879833877541428</v>
      </c>
      <c r="Q48" s="7">
        <f t="shared" si="12"/>
        <v>113952.99170901858</v>
      </c>
      <c r="R48" s="7">
        <f t="shared" si="13"/>
        <v>101555.0955125888</v>
      </c>
      <c r="S48" s="13">
        <f>IF('Calc (3)'!$AD$32="Sim",R48,Q48)</f>
        <v>101555.0955125888</v>
      </c>
      <c r="T48" s="9">
        <f t="shared" si="14"/>
        <v>44</v>
      </c>
      <c r="U48" s="17">
        <f t="shared" ca="1" si="15"/>
        <v>46844</v>
      </c>
      <c r="V48" s="124">
        <f t="shared" si="3"/>
        <v>9457564.0805413034</v>
      </c>
      <c r="W48" s="68">
        <v>44</v>
      </c>
      <c r="X48" s="125">
        <f t="shared" ca="1" si="16"/>
        <v>61576</v>
      </c>
      <c r="Y48" s="5">
        <f t="shared" si="17"/>
        <v>528</v>
      </c>
      <c r="AA48" s="75">
        <v>45</v>
      </c>
      <c r="AB48" s="71">
        <f t="shared" si="25"/>
        <v>540</v>
      </c>
      <c r="AC48" s="72">
        <f t="shared" ca="1" si="21"/>
        <v>61941</v>
      </c>
      <c r="AD48" s="78">
        <f t="shared" ca="1" si="22"/>
        <v>10302782.069233831</v>
      </c>
      <c r="AE48" s="82">
        <f t="shared" si="23"/>
        <v>0.19440550510878254</v>
      </c>
      <c r="AF48" s="83">
        <f t="shared" si="24"/>
        <v>0.80559449489121748</v>
      </c>
    </row>
    <row r="49" spans="2:32" x14ac:dyDescent="0.2">
      <c r="B49" s="17">
        <f t="shared" ca="1" si="4"/>
        <v>46844</v>
      </c>
      <c r="C49" s="9">
        <f t="shared" si="18"/>
        <v>45</v>
      </c>
      <c r="D49" s="9"/>
      <c r="E49" s="13">
        <f t="shared" si="5"/>
        <v>1200.7701176211713</v>
      </c>
      <c r="F49" s="14">
        <f t="shared" si="19"/>
        <v>84480.106800264228</v>
      </c>
      <c r="G49" s="15">
        <f t="shared" si="6"/>
        <v>0.81702939253356377</v>
      </c>
      <c r="H49" s="13">
        <f t="shared" si="7"/>
        <v>1134.7073560439096</v>
      </c>
      <c r="I49" s="13">
        <f t="shared" si="8"/>
        <v>31808.362382419418</v>
      </c>
      <c r="J49" s="15">
        <f t="shared" si="0"/>
        <v>0.18297060746643623</v>
      </c>
      <c r="K49" s="13">
        <f t="shared" si="9"/>
        <v>18918.99679660394</v>
      </c>
      <c r="L49" s="13">
        <f t="shared" si="20"/>
        <v>363062.37788587873</v>
      </c>
      <c r="M49" s="15">
        <f t="shared" si="10"/>
        <v>0.18297060746643623</v>
      </c>
      <c r="N49" s="13">
        <f t="shared" si="1"/>
        <v>427.33795971493703</v>
      </c>
      <c r="O49" s="13">
        <f t="shared" si="11"/>
        <v>12889.365585815496</v>
      </c>
      <c r="P49" s="15">
        <f t="shared" si="2"/>
        <v>0.11083958432342002</v>
      </c>
      <c r="Q49" s="7">
        <f t="shared" si="12"/>
        <v>116288.46918268366</v>
      </c>
      <c r="R49" s="7">
        <f t="shared" si="13"/>
        <v>103399.10359686817</v>
      </c>
      <c r="S49" s="13">
        <f>IF('Calc (3)'!$AD$32="Sim",R49,Q49)</f>
        <v>103399.10359686817</v>
      </c>
      <c r="T49" s="9">
        <f t="shared" si="14"/>
        <v>45</v>
      </c>
      <c r="U49" s="17">
        <f t="shared" ca="1" si="15"/>
        <v>46874</v>
      </c>
      <c r="V49" s="124">
        <f t="shared" si="3"/>
        <v>10302782.069233831</v>
      </c>
      <c r="W49" s="68">
        <v>45</v>
      </c>
      <c r="X49" s="125">
        <f t="shared" ca="1" si="16"/>
        <v>61941</v>
      </c>
      <c r="Y49" s="5">
        <f t="shared" si="17"/>
        <v>540</v>
      </c>
      <c r="AA49" s="76">
        <v>50</v>
      </c>
      <c r="AB49" s="19">
        <f t="shared" si="25"/>
        <v>600</v>
      </c>
      <c r="AC49" s="23">
        <f t="shared" ca="1" si="21"/>
        <v>63767</v>
      </c>
      <c r="AD49" s="79">
        <f t="shared" ca="1" si="22"/>
        <v>15720529.603704063</v>
      </c>
      <c r="AE49" s="84">
        <f t="shared" si="23"/>
        <v>0.16632435253636571</v>
      </c>
      <c r="AF49" s="85">
        <f t="shared" si="24"/>
        <v>0.83367564746363432</v>
      </c>
    </row>
    <row r="50" spans="2:32" x14ac:dyDescent="0.2">
      <c r="B50" s="17">
        <f t="shared" ca="1" si="4"/>
        <v>46874</v>
      </c>
      <c r="C50" s="9">
        <f t="shared" si="18"/>
        <v>46</v>
      </c>
      <c r="D50" s="9"/>
      <c r="E50" s="13">
        <f t="shared" si="5"/>
        <v>1205.662203716066</v>
      </c>
      <c r="F50" s="14">
        <f t="shared" si="19"/>
        <v>85685.769003980298</v>
      </c>
      <c r="G50" s="15">
        <f t="shared" si="6"/>
        <v>0.81404249313270571</v>
      </c>
      <c r="H50" s="13">
        <f t="shared" si="7"/>
        <v>1157.9632919302587</v>
      </c>
      <c r="I50" s="13">
        <f t="shared" si="8"/>
        <v>32966.325674349675</v>
      </c>
      <c r="J50" s="15">
        <f t="shared" si="0"/>
        <v>0.18595750686729429</v>
      </c>
      <c r="K50" s="13">
        <f t="shared" si="9"/>
        <v>19573.808630883723</v>
      </c>
      <c r="L50" s="13">
        <f t="shared" si="20"/>
        <v>382636.18651676248</v>
      </c>
      <c r="M50" s="15">
        <f t="shared" si="10"/>
        <v>0.18595750686729429</v>
      </c>
      <c r="N50" s="13">
        <f t="shared" si="1"/>
        <v>436.02383290545038</v>
      </c>
      <c r="O50" s="13">
        <f t="shared" si="11"/>
        <v>13392.517043465967</v>
      </c>
      <c r="P50" s="15">
        <f t="shared" si="2"/>
        <v>0.11287215012742551</v>
      </c>
      <c r="Q50" s="7">
        <f t="shared" si="12"/>
        <v>118652.09467832999</v>
      </c>
      <c r="R50" s="7">
        <f t="shared" si="13"/>
        <v>105259.57763486402</v>
      </c>
      <c r="S50" s="13">
        <f>IF('Calc (3)'!$AD$32="Sim",R50,Q50)</f>
        <v>105259.57763486402</v>
      </c>
      <c r="T50" s="9">
        <f t="shared" si="14"/>
        <v>46</v>
      </c>
      <c r="U50" s="17">
        <f t="shared" ca="1" si="15"/>
        <v>46905</v>
      </c>
      <c r="V50" s="124">
        <f t="shared" si="3"/>
        <v>11219213.875042828</v>
      </c>
      <c r="W50" s="68">
        <v>46</v>
      </c>
      <c r="X50" s="125">
        <f t="shared" ca="1" si="16"/>
        <v>62306</v>
      </c>
      <c r="Y50" s="5">
        <f t="shared" si="17"/>
        <v>552</v>
      </c>
    </row>
    <row r="51" spans="2:32" x14ac:dyDescent="0.2">
      <c r="B51" s="17">
        <f t="shared" ca="1" si="4"/>
        <v>46905</v>
      </c>
      <c r="C51" s="9">
        <f t="shared" si="18"/>
        <v>47</v>
      </c>
      <c r="D51" s="9"/>
      <c r="E51" s="13">
        <f t="shared" si="5"/>
        <v>1210.5742207752714</v>
      </c>
      <c r="F51" s="14">
        <f t="shared" si="19"/>
        <v>86896.343224755576</v>
      </c>
      <c r="G51" s="15">
        <f t="shared" si="6"/>
        <v>0.81107959527936202</v>
      </c>
      <c r="H51" s="13">
        <f t="shared" si="7"/>
        <v>1181.4995167947311</v>
      </c>
      <c r="I51" s="13">
        <f t="shared" si="8"/>
        <v>34147.825191144409</v>
      </c>
      <c r="J51" s="15">
        <f t="shared" si="0"/>
        <v>0.18892040472063798</v>
      </c>
      <c r="K51" s="13">
        <f t="shared" si="9"/>
        <v>20240.29753221682</v>
      </c>
      <c r="L51" s="13">
        <f t="shared" si="20"/>
        <v>402876.4840489793</v>
      </c>
      <c r="M51" s="15">
        <f t="shared" si="10"/>
        <v>0.18892040472063795</v>
      </c>
      <c r="N51" s="13">
        <f t="shared" si="1"/>
        <v>444.81424796281073</v>
      </c>
      <c r="O51" s="13">
        <f t="shared" si="11"/>
        <v>13907.527658927604</v>
      </c>
      <c r="P51" s="15">
        <f t="shared" si="2"/>
        <v>0.11489630472029211</v>
      </c>
      <c r="Q51" s="7">
        <f t="shared" si="12"/>
        <v>121044.1684159</v>
      </c>
      <c r="R51" s="7">
        <f t="shared" si="13"/>
        <v>107136.6407569724</v>
      </c>
      <c r="S51" s="13">
        <f>IF('Calc (3)'!$AD$32="Sim",R51,Q51)</f>
        <v>107136.6407569724</v>
      </c>
      <c r="T51" s="9">
        <f t="shared" si="14"/>
        <v>47</v>
      </c>
      <c r="U51" s="17">
        <f t="shared" ca="1" si="15"/>
        <v>46935</v>
      </c>
      <c r="V51" s="124">
        <f t="shared" si="3"/>
        <v>12212671.550286982</v>
      </c>
      <c r="W51" s="68">
        <v>47</v>
      </c>
      <c r="X51" s="125">
        <f t="shared" ca="1" si="16"/>
        <v>62671</v>
      </c>
      <c r="Y51" s="5">
        <f t="shared" si="17"/>
        <v>564</v>
      </c>
    </row>
    <row r="52" spans="2:32" x14ac:dyDescent="0.2">
      <c r="B52" s="17">
        <f t="shared" ca="1" si="4"/>
        <v>46935</v>
      </c>
      <c r="C52" s="9">
        <f t="shared" si="18"/>
        <v>48</v>
      </c>
      <c r="D52" s="9">
        <v>4</v>
      </c>
      <c r="E52" s="13">
        <f t="shared" si="5"/>
        <v>1215.5062500000035</v>
      </c>
      <c r="F52" s="14">
        <f t="shared" si="19"/>
        <v>88111.849474755581</v>
      </c>
      <c r="G52" s="15">
        <f t="shared" si="6"/>
        <v>0.80814007634522367</v>
      </c>
      <c r="H52" s="13">
        <f t="shared" si="7"/>
        <v>1205.3190201312575</v>
      </c>
      <c r="I52" s="13">
        <f t="shared" si="8"/>
        <v>35353.14421127567</v>
      </c>
      <c r="J52" s="15">
        <f t="shared" si="0"/>
        <v>0.19185992365477633</v>
      </c>
      <c r="K52" s="13">
        <f t="shared" si="9"/>
        <v>20918.567471323084</v>
      </c>
      <c r="L52" s="13">
        <f t="shared" si="20"/>
        <v>423795.05152030237</v>
      </c>
      <c r="M52" s="15">
        <f t="shared" si="10"/>
        <v>0.19185992365477633</v>
      </c>
      <c r="N52" s="13">
        <f t="shared" si="1"/>
        <v>453.71031942230417</v>
      </c>
      <c r="O52" s="13">
        <f t="shared" si="11"/>
        <v>14434.576739952594</v>
      </c>
      <c r="P52" s="15">
        <f t="shared" si="2"/>
        <v>0.11691230290473592</v>
      </c>
      <c r="Q52" s="7">
        <f t="shared" si="12"/>
        <v>123464.99368603126</v>
      </c>
      <c r="R52" s="7">
        <f t="shared" si="13"/>
        <v>109030.41694607867</v>
      </c>
      <c r="S52" s="13">
        <f>IF('Calc (3)'!$AD$32="Sim",R52,Q52)</f>
        <v>109030.41694607867</v>
      </c>
      <c r="T52" s="9">
        <f t="shared" si="14"/>
        <v>48</v>
      </c>
      <c r="U52" s="17">
        <f t="shared" ca="1" si="15"/>
        <v>46966</v>
      </c>
      <c r="V52" s="124">
        <f t="shared" si="3"/>
        <v>13289432.814414026</v>
      </c>
      <c r="W52" s="68">
        <v>48</v>
      </c>
      <c r="X52" s="125">
        <f t="shared" ca="1" si="16"/>
        <v>63037</v>
      </c>
      <c r="Y52" s="5">
        <f t="shared" si="17"/>
        <v>576</v>
      </c>
    </row>
    <row r="53" spans="2:32" x14ac:dyDescent="0.2">
      <c r="B53" s="17">
        <f t="shared" ca="1" si="4"/>
        <v>46966</v>
      </c>
      <c r="C53" s="9">
        <f t="shared" si="18"/>
        <v>49</v>
      </c>
      <c r="D53" s="9"/>
      <c r="E53" s="13">
        <f t="shared" si="5"/>
        <v>1220.4583729223018</v>
      </c>
      <c r="F53" s="14">
        <f t="shared" si="19"/>
        <v>89332.30784767789</v>
      </c>
      <c r="G53" s="15">
        <f t="shared" si="6"/>
        <v>0.80522334259603712</v>
      </c>
      <c r="H53" s="13">
        <f t="shared" si="7"/>
        <v>1229.4248220107665</v>
      </c>
      <c r="I53" s="13">
        <f t="shared" si="8"/>
        <v>36582.56903328644</v>
      </c>
      <c r="J53" s="15">
        <f t="shared" si="0"/>
        <v>0.19477665740396288</v>
      </c>
      <c r="K53" s="13">
        <f t="shared" si="9"/>
        <v>21608.723195549013</v>
      </c>
      <c r="L53" s="13">
        <f t="shared" si="20"/>
        <v>445403.77471585141</v>
      </c>
      <c r="M53" s="15">
        <f t="shared" si="10"/>
        <v>0.19477665740396286</v>
      </c>
      <c r="N53" s="13">
        <f t="shared" si="1"/>
        <v>462.7131732170165</v>
      </c>
      <c r="O53" s="13">
        <f t="shared" si="11"/>
        <v>14973.845837737434</v>
      </c>
      <c r="P53" s="15">
        <f t="shared" si="2"/>
        <v>0.11892038660287299</v>
      </c>
      <c r="Q53" s="7">
        <f t="shared" si="12"/>
        <v>125914.87688096434</v>
      </c>
      <c r="R53" s="7">
        <f t="shared" si="13"/>
        <v>110941.0310432269</v>
      </c>
      <c r="S53" s="13">
        <f>IF('Calc (3)'!$AD$32="Sim",R53,Q53)</f>
        <v>110941.0310432269</v>
      </c>
      <c r="T53" s="9">
        <f t="shared" si="14"/>
        <v>49</v>
      </c>
      <c r="U53" s="17">
        <f t="shared" ca="1" si="15"/>
        <v>46997</v>
      </c>
      <c r="V53" s="124">
        <f t="shared" si="3"/>
        <v>14456277.95026839</v>
      </c>
      <c r="W53" s="68">
        <v>49</v>
      </c>
      <c r="X53" s="125">
        <f t="shared" ca="1" si="16"/>
        <v>63402</v>
      </c>
      <c r="Y53" s="5">
        <f t="shared" si="17"/>
        <v>588</v>
      </c>
    </row>
    <row r="54" spans="2:32" x14ac:dyDescent="0.2">
      <c r="B54" s="17">
        <f t="shared" ca="1" si="4"/>
        <v>46997</v>
      </c>
      <c r="C54" s="9">
        <f t="shared" si="18"/>
        <v>50</v>
      </c>
      <c r="D54" s="9"/>
      <c r="E54" s="13">
        <f t="shared" si="5"/>
        <v>1225.4306714063773</v>
      </c>
      <c r="F54" s="14">
        <f t="shared" si="19"/>
        <v>90557.738519084261</v>
      </c>
      <c r="G54" s="15">
        <f t="shared" si="6"/>
        <v>0.80232882746874179</v>
      </c>
      <c r="H54" s="13">
        <f t="shared" si="7"/>
        <v>1253.8199733889546</v>
      </c>
      <c r="I54" s="13">
        <f t="shared" si="8"/>
        <v>37836.389006675396</v>
      </c>
      <c r="J54" s="15">
        <f t="shared" si="0"/>
        <v>0.19767117253125821</v>
      </c>
      <c r="K54" s="13">
        <f t="shared" si="9"/>
        <v>22310.870234241796</v>
      </c>
      <c r="L54" s="13">
        <f t="shared" si="20"/>
        <v>467714.64495009324</v>
      </c>
      <c r="M54" s="15">
        <f t="shared" si="10"/>
        <v>0.19767117253125821</v>
      </c>
      <c r="N54" s="13">
        <f t="shared" si="1"/>
        <v>471.82394679254946</v>
      </c>
      <c r="O54" s="13">
        <f t="shared" si="11"/>
        <v>15525.518772433599</v>
      </c>
      <c r="P54" s="15">
        <f t="shared" si="2"/>
        <v>0.12092078564355462</v>
      </c>
      <c r="Q54" s="7">
        <f t="shared" si="12"/>
        <v>128394.12752575966</v>
      </c>
      <c r="R54" s="7">
        <f t="shared" si="13"/>
        <v>112868.60875332606</v>
      </c>
      <c r="S54" s="13">
        <f>IF('Calc (3)'!$AD$32="Sim",R54,Q54)</f>
        <v>112868.60875332606</v>
      </c>
      <c r="T54" s="9">
        <f t="shared" si="14"/>
        <v>50</v>
      </c>
      <c r="U54" s="17">
        <f t="shared" ca="1" si="15"/>
        <v>47027</v>
      </c>
      <c r="V54" s="124">
        <f t="shared" si="3"/>
        <v>15720529.603704063</v>
      </c>
      <c r="W54" s="68">
        <v>50</v>
      </c>
      <c r="X54" s="125">
        <f t="shared" ca="1" si="16"/>
        <v>63767</v>
      </c>
      <c r="Y54" s="5">
        <f t="shared" si="17"/>
        <v>600</v>
      </c>
    </row>
    <row r="55" spans="2:32" x14ac:dyDescent="0.2">
      <c r="B55" s="17">
        <f t="shared" ca="1" si="4"/>
        <v>47027</v>
      </c>
      <c r="C55" s="9">
        <f t="shared" si="18"/>
        <v>51</v>
      </c>
      <c r="D55" s="9"/>
      <c r="E55" s="13">
        <f t="shared" si="5"/>
        <v>1230.4232276499663</v>
      </c>
      <c r="F55" s="14">
        <f t="shared" si="19"/>
        <v>91788.161746734229</v>
      </c>
      <c r="G55" s="15">
        <f t="shared" si="6"/>
        <v>0.79945598997082612</v>
      </c>
      <c r="H55" s="13">
        <f t="shared" si="7"/>
        <v>1278.5075564171341</v>
      </c>
      <c r="I55" s="13">
        <f t="shared" si="8"/>
        <v>39114.89656309253</v>
      </c>
      <c r="J55" s="15">
        <f t="shared" si="0"/>
        <v>0.20054401002917388</v>
      </c>
      <c r="K55" s="13">
        <f t="shared" si="9"/>
        <v>23025.114904159054</v>
      </c>
      <c r="L55" s="13">
        <f t="shared" si="20"/>
        <v>490739.75985425228</v>
      </c>
      <c r="M55" s="15">
        <f t="shared" si="10"/>
        <v>0.20054401002917385</v>
      </c>
      <c r="N55" s="13">
        <f t="shared" si="1"/>
        <v>481.04378922288464</v>
      </c>
      <c r="O55" s="13">
        <f t="shared" si="11"/>
        <v>16089.781658933469</v>
      </c>
      <c r="P55" s="15">
        <f t="shared" si="2"/>
        <v>0.12291371849274529</v>
      </c>
      <c r="Q55" s="7">
        <f t="shared" si="12"/>
        <v>130903.05830982675</v>
      </c>
      <c r="R55" s="7">
        <f t="shared" si="13"/>
        <v>114813.27665089328</v>
      </c>
      <c r="S55" s="13">
        <f>IF('Calc (3)'!$AD$32="Sim",R55,Q55)</f>
        <v>114813.27665089328</v>
      </c>
      <c r="T55" s="9">
        <f t="shared" si="14"/>
        <v>51</v>
      </c>
      <c r="U55" s="17">
        <f t="shared" ca="1" si="15"/>
        <v>47058</v>
      </c>
      <c r="V55" s="22"/>
      <c r="W55" s="22"/>
      <c r="X55" s="22"/>
    </row>
    <row r="56" spans="2:32" x14ac:dyDescent="0.2">
      <c r="B56" s="17">
        <f t="shared" ca="1" si="4"/>
        <v>47058</v>
      </c>
      <c r="C56" s="9">
        <f t="shared" si="18"/>
        <v>52</v>
      </c>
      <c r="D56" s="9"/>
      <c r="E56" s="13">
        <f t="shared" si="5"/>
        <v>1235.4361241856884</v>
      </c>
      <c r="F56" s="14">
        <f t="shared" si="19"/>
        <v>93023.597870919912</v>
      </c>
      <c r="G56" s="15">
        <f t="shared" si="6"/>
        <v>0.79660431319190406</v>
      </c>
      <c r="H56" s="13">
        <f t="shared" si="7"/>
        <v>1303.4906847561915</v>
      </c>
      <c r="I56" s="13">
        <f t="shared" si="8"/>
        <v>40418.387247848725</v>
      </c>
      <c r="J56" s="15">
        <f t="shared" si="0"/>
        <v>0.20339568680809594</v>
      </c>
      <c r="K56" s="13">
        <f t="shared" si="9"/>
        <v>23751.564314914605</v>
      </c>
      <c r="L56" s="13">
        <f t="shared" si="20"/>
        <v>514491.32416916685</v>
      </c>
      <c r="M56" s="15">
        <f t="shared" si="10"/>
        <v>0.20339568680809594</v>
      </c>
      <c r="N56" s="13">
        <f t="shared" si="1"/>
        <v>490.37386132740545</v>
      </c>
      <c r="O56" s="13">
        <f t="shared" si="11"/>
        <v>16666.822932934127</v>
      </c>
      <c r="P56" s="15">
        <f t="shared" si="2"/>
        <v>0.12489939293169233</v>
      </c>
      <c r="Q56" s="7">
        <f t="shared" si="12"/>
        <v>133441.98511876864</v>
      </c>
      <c r="R56" s="7">
        <f t="shared" si="13"/>
        <v>116775.16218583452</v>
      </c>
      <c r="S56" s="13">
        <f>IF('Calc (3)'!$AD$32="Sim",R56,Q56)</f>
        <v>116775.16218583452</v>
      </c>
      <c r="T56" s="9">
        <f t="shared" si="14"/>
        <v>52</v>
      </c>
      <c r="U56" s="17">
        <f t="shared" ca="1" si="15"/>
        <v>47088</v>
      </c>
      <c r="V56" s="22"/>
      <c r="W56" s="22"/>
      <c r="X56" s="22"/>
    </row>
    <row r="57" spans="2:32" x14ac:dyDescent="0.2">
      <c r="B57" s="17">
        <f t="shared" ca="1" si="4"/>
        <v>47088</v>
      </c>
      <c r="C57" s="9">
        <f t="shared" si="18"/>
        <v>53</v>
      </c>
      <c r="D57" s="9"/>
      <c r="E57" s="13">
        <f t="shared" si="5"/>
        <v>1240.4694438824117</v>
      </c>
      <c r="F57" s="14">
        <f t="shared" si="19"/>
        <v>94264.06731480232</v>
      </c>
      <c r="G57" s="15">
        <f t="shared" si="6"/>
        <v>0.79377330291843606</v>
      </c>
      <c r="H57" s="13">
        <f t="shared" si="7"/>
        <v>1328.7725038936828</v>
      </c>
      <c r="I57" s="13">
        <f t="shared" si="8"/>
        <v>41747.159751742409</v>
      </c>
      <c r="J57" s="15">
        <f t="shared" si="0"/>
        <v>0.20622669708156394</v>
      </c>
      <c r="K57" s="13">
        <f t="shared" si="9"/>
        <v>24490.326374460361</v>
      </c>
      <c r="L57" s="13">
        <f t="shared" si="20"/>
        <v>538981.65054362721</v>
      </c>
      <c r="M57" s="15">
        <f t="shared" si="10"/>
        <v>0.20622669708156391</v>
      </c>
      <c r="N57" s="13">
        <f t="shared" si="1"/>
        <v>499.81533578908972</v>
      </c>
      <c r="O57" s="13">
        <f t="shared" si="11"/>
        <v>17256.833377282048</v>
      </c>
      <c r="P57" s="15">
        <f t="shared" si="2"/>
        <v>0.12687800668719051</v>
      </c>
      <c r="Q57" s="7">
        <f t="shared" si="12"/>
        <v>136011.22706654473</v>
      </c>
      <c r="R57" s="7">
        <f t="shared" si="13"/>
        <v>118754.39368926268</v>
      </c>
      <c r="S57" s="13">
        <f>IF('Calc (3)'!$AD$32="Sim",R57,Q57)</f>
        <v>118754.39368926268</v>
      </c>
      <c r="T57" s="9">
        <f t="shared" si="14"/>
        <v>53</v>
      </c>
      <c r="U57" s="17">
        <f t="shared" ca="1" si="15"/>
        <v>47119</v>
      </c>
      <c r="V57" s="22"/>
      <c r="W57" s="22"/>
      <c r="X57" s="22"/>
    </row>
    <row r="58" spans="2:32" x14ac:dyDescent="0.2">
      <c r="B58" s="17">
        <f t="shared" ca="1" si="4"/>
        <v>47119</v>
      </c>
      <c r="C58" s="9">
        <f t="shared" si="18"/>
        <v>54</v>
      </c>
      <c r="D58" s="9"/>
      <c r="E58" s="13">
        <f t="shared" si="5"/>
        <v>1245.5232699466221</v>
      </c>
      <c r="F58" s="14">
        <f t="shared" si="19"/>
        <v>95509.590584748948</v>
      </c>
      <c r="G58" s="15">
        <f t="shared" si="6"/>
        <v>0.79096248634334965</v>
      </c>
      <c r="H58" s="13">
        <f t="shared" si="7"/>
        <v>1354.356191464102</v>
      </c>
      <c r="I58" s="13">
        <f t="shared" si="8"/>
        <v>43101.515943206512</v>
      </c>
      <c r="J58" s="15">
        <f t="shared" si="0"/>
        <v>0.20903751365665035</v>
      </c>
      <c r="K58" s="13">
        <f t="shared" si="9"/>
        <v>25241.509794604703</v>
      </c>
      <c r="L58" s="13">
        <f t="shared" si="20"/>
        <v>564223.16033823194</v>
      </c>
      <c r="M58" s="15">
        <f t="shared" si="10"/>
        <v>0.20903751365665041</v>
      </c>
      <c r="N58" s="13">
        <f t="shared" si="1"/>
        <v>509.36939727388449</v>
      </c>
      <c r="O58" s="13">
        <f t="shared" si="11"/>
        <v>17860.006148601795</v>
      </c>
      <c r="P58" s="15">
        <f t="shared" si="2"/>
        <v>0.12884974801784546</v>
      </c>
      <c r="Q58" s="7">
        <f t="shared" si="12"/>
        <v>138611.10652795545</v>
      </c>
      <c r="R58" s="7">
        <f t="shared" si="13"/>
        <v>120751.10037935365</v>
      </c>
      <c r="S58" s="13">
        <f>IF('Calc (3)'!$AD$32="Sim",R58,Q58)</f>
        <v>120751.10037935365</v>
      </c>
      <c r="T58" s="9">
        <f t="shared" si="14"/>
        <v>54</v>
      </c>
      <c r="U58" s="17">
        <f t="shared" ca="1" si="15"/>
        <v>47150</v>
      </c>
      <c r="V58" s="22"/>
      <c r="W58" s="22"/>
      <c r="X58" s="22"/>
    </row>
    <row r="59" spans="2:32" x14ac:dyDescent="0.2">
      <c r="B59" s="17">
        <f t="shared" ca="1" si="4"/>
        <v>47150</v>
      </c>
      <c r="C59" s="9">
        <f t="shared" si="18"/>
        <v>55</v>
      </c>
      <c r="D59" s="9"/>
      <c r="E59" s="13">
        <f t="shared" si="5"/>
        <v>1250.5976859237992</v>
      </c>
      <c r="F59" s="14">
        <f t="shared" si="19"/>
        <v>96760.188270672748</v>
      </c>
      <c r="G59" s="15">
        <f t="shared" si="6"/>
        <v>0.78817141086305731</v>
      </c>
      <c r="H59" s="13">
        <f t="shared" si="7"/>
        <v>1380.2449575723526</v>
      </c>
      <c r="I59" s="13">
        <f t="shared" si="8"/>
        <v>44481.760900778863</v>
      </c>
      <c r="J59" s="15">
        <f t="shared" si="0"/>
        <v>0.21182858913694269</v>
      </c>
      <c r="K59" s="13">
        <f t="shared" si="9"/>
        <v>26005.224096567472</v>
      </c>
      <c r="L59" s="13">
        <f t="shared" si="20"/>
        <v>590228.38443479943</v>
      </c>
      <c r="M59" s="15">
        <f t="shared" si="10"/>
        <v>0.21182858913694269</v>
      </c>
      <c r="N59" s="13">
        <f t="shared" si="1"/>
        <v>519.03724255127429</v>
      </c>
      <c r="O59" s="13">
        <f t="shared" si="11"/>
        <v>18476.53680421137</v>
      </c>
      <c r="P59" s="15">
        <f t="shared" si="2"/>
        <v>0.13081479625987719</v>
      </c>
      <c r="Q59" s="7">
        <f t="shared" si="12"/>
        <v>141241.94917145159</v>
      </c>
      <c r="R59" s="7">
        <f t="shared" si="13"/>
        <v>122765.41236724022</v>
      </c>
      <c r="S59" s="13">
        <f>IF('Calc (3)'!$AD$32="Sim",R59,Q59)</f>
        <v>122765.41236724022</v>
      </c>
      <c r="T59" s="9">
        <f t="shared" si="14"/>
        <v>55</v>
      </c>
      <c r="U59" s="17">
        <f t="shared" ca="1" si="15"/>
        <v>47178</v>
      </c>
      <c r="V59" s="22"/>
      <c r="W59" s="22"/>
      <c r="X59" s="22"/>
    </row>
    <row r="60" spans="2:32" x14ac:dyDescent="0.2">
      <c r="B60" s="17">
        <f t="shared" ca="1" si="4"/>
        <v>47178</v>
      </c>
      <c r="C60" s="9">
        <f t="shared" si="18"/>
        <v>56</v>
      </c>
      <c r="D60" s="9"/>
      <c r="E60" s="13">
        <f t="shared" si="5"/>
        <v>1255.692775699797</v>
      </c>
      <c r="F60" s="14">
        <f t="shared" si="19"/>
        <v>98015.881046372539</v>
      </c>
      <c r="G60" s="15">
        <f t="shared" si="6"/>
        <v>0.78539964295504261</v>
      </c>
      <c r="H60" s="13">
        <f t="shared" si="7"/>
        <v>1406.4420451204528</v>
      </c>
      <c r="I60" s="13">
        <f t="shared" si="8"/>
        <v>45888.202945899313</v>
      </c>
      <c r="J60" s="15">
        <f t="shared" si="0"/>
        <v>0.21460035704495739</v>
      </c>
      <c r="K60" s="13">
        <f t="shared" si="9"/>
        <v>26781.579616571893</v>
      </c>
      <c r="L60" s="13">
        <f t="shared" si="20"/>
        <v>617009.96405137132</v>
      </c>
      <c r="M60" s="15">
        <f t="shared" si="10"/>
        <v>0.21460035704495733</v>
      </c>
      <c r="N60" s="13">
        <f t="shared" si="1"/>
        <v>528.82008061605484</v>
      </c>
      <c r="O60" s="13">
        <f t="shared" si="11"/>
        <v>19106.623329327427</v>
      </c>
      <c r="P60" s="15">
        <f t="shared" si="2"/>
        <v>0.1327733223356852</v>
      </c>
      <c r="Q60" s="7">
        <f t="shared" si="12"/>
        <v>143904.08399227186</v>
      </c>
      <c r="R60" s="7">
        <f t="shared" si="13"/>
        <v>124797.46066294443</v>
      </c>
      <c r="S60" s="13">
        <f>IF('Calc (3)'!$AD$32="Sim",R60,Q60)</f>
        <v>124797.46066294443</v>
      </c>
      <c r="T60" s="9">
        <f t="shared" si="14"/>
        <v>56</v>
      </c>
      <c r="U60" s="17">
        <f t="shared" ca="1" si="15"/>
        <v>47209</v>
      </c>
      <c r="V60" s="22"/>
      <c r="W60" s="22"/>
      <c r="X60" s="22"/>
    </row>
    <row r="61" spans="2:32" x14ac:dyDescent="0.2">
      <c r="B61" s="17">
        <f t="shared" ca="1" si="4"/>
        <v>47209</v>
      </c>
      <c r="C61" s="9">
        <f t="shared" si="18"/>
        <v>57</v>
      </c>
      <c r="D61" s="9"/>
      <c r="E61" s="13">
        <f t="shared" si="5"/>
        <v>1260.8086235022311</v>
      </c>
      <c r="F61" s="14">
        <f t="shared" si="19"/>
        <v>99276.689669874773</v>
      </c>
      <c r="G61" s="15">
        <f t="shared" si="6"/>
        <v>0.78264676712978465</v>
      </c>
      <c r="H61" s="13">
        <f t="shared" si="7"/>
        <v>1432.9507301375072</v>
      </c>
      <c r="I61" s="13">
        <f t="shared" si="8"/>
        <v>47321.153676036818</v>
      </c>
      <c r="J61" s="15">
        <f t="shared" si="0"/>
        <v>0.21735323287021535</v>
      </c>
      <c r="K61" s="13">
        <f t="shared" si="9"/>
        <v>27570.687511473676</v>
      </c>
      <c r="L61" s="13">
        <f t="shared" si="20"/>
        <v>644580.65156284499</v>
      </c>
      <c r="M61" s="15">
        <f t="shared" si="10"/>
        <v>0.21735323287021541</v>
      </c>
      <c r="N61" s="13">
        <f t="shared" si="1"/>
        <v>538.71913281132481</v>
      </c>
      <c r="O61" s="13">
        <f t="shared" si="11"/>
        <v>19750.466164563142</v>
      </c>
      <c r="P61" s="15">
        <f t="shared" si="2"/>
        <v>0.13472548922810573</v>
      </c>
      <c r="Q61" s="7">
        <f t="shared" si="12"/>
        <v>146597.84334591159</v>
      </c>
      <c r="R61" s="7">
        <f t="shared" si="13"/>
        <v>126847.37718134845</v>
      </c>
      <c r="S61" s="13">
        <f>IF('Calc (3)'!$AD$32="Sim",R61,Q61)</f>
        <v>126847.37718134845</v>
      </c>
      <c r="T61" s="9">
        <f t="shared" si="14"/>
        <v>57</v>
      </c>
      <c r="U61" s="17">
        <f t="shared" ca="1" si="15"/>
        <v>47239</v>
      </c>
      <c r="V61" s="22"/>
      <c r="W61" s="22"/>
      <c r="X61" s="22"/>
    </row>
    <row r="62" spans="2:32" x14ac:dyDescent="0.2">
      <c r="B62" s="17">
        <f t="shared" ca="1" si="4"/>
        <v>47239</v>
      </c>
      <c r="C62" s="9">
        <f t="shared" si="18"/>
        <v>58</v>
      </c>
      <c r="D62" s="9"/>
      <c r="E62" s="13">
        <f t="shared" si="5"/>
        <v>1265.9453139018703</v>
      </c>
      <c r="F62" s="14">
        <f t="shared" si="19"/>
        <v>100542.63498377665</v>
      </c>
      <c r="G62" s="15">
        <f t="shared" si="6"/>
        <v>0.77991238495133897</v>
      </c>
      <c r="H62" s="13">
        <f t="shared" si="7"/>
        <v>1459.7743221129795</v>
      </c>
      <c r="I62" s="13">
        <f t="shared" si="8"/>
        <v>48780.927998149797</v>
      </c>
      <c r="J62" s="15">
        <f t="shared" si="0"/>
        <v>0.22008761504866103</v>
      </c>
      <c r="K62" s="13">
        <f t="shared" si="9"/>
        <v>28372.659764427401</v>
      </c>
      <c r="L62" s="13">
        <f t="shared" si="20"/>
        <v>672953.31132727233</v>
      </c>
      <c r="M62" s="15">
        <f t="shared" si="10"/>
        <v>0.22008761504866101</v>
      </c>
      <c r="N62" s="13">
        <f t="shared" si="1"/>
        <v>548.73563295270765</v>
      </c>
      <c r="O62" s="13">
        <f t="shared" si="11"/>
        <v>20408.268233722411</v>
      </c>
      <c r="P62" s="15">
        <f t="shared" si="2"/>
        <v>0.13667145242303486</v>
      </c>
      <c r="Q62" s="7">
        <f t="shared" si="12"/>
        <v>149323.56298192646</v>
      </c>
      <c r="R62" s="7">
        <f t="shared" si="13"/>
        <v>128915.29474820405</v>
      </c>
      <c r="S62" s="13">
        <f>IF('Calc (3)'!$AD$32="Sim",R62,Q62)</f>
        <v>128915.29474820405</v>
      </c>
      <c r="T62" s="9">
        <f t="shared" si="14"/>
        <v>58</v>
      </c>
      <c r="U62" s="17">
        <f t="shared" ca="1" si="15"/>
        <v>47270</v>
      </c>
      <c r="V62" s="22"/>
      <c r="W62" s="22"/>
      <c r="X62" s="22"/>
    </row>
    <row r="63" spans="2:32" x14ac:dyDescent="0.2">
      <c r="B63" s="17">
        <f t="shared" ca="1" si="4"/>
        <v>47270</v>
      </c>
      <c r="C63" s="9">
        <f t="shared" si="18"/>
        <v>59</v>
      </c>
      <c r="D63" s="9"/>
      <c r="E63" s="13">
        <f t="shared" si="5"/>
        <v>1271.1029318140361</v>
      </c>
      <c r="F63" s="14">
        <f t="shared" si="19"/>
        <v>101813.73791559068</v>
      </c>
      <c r="G63" s="15">
        <f t="shared" si="6"/>
        <v>0.77719611412138345</v>
      </c>
      <c r="H63" s="13">
        <f t="shared" si="7"/>
        <v>1486.9161643332977</v>
      </c>
      <c r="I63" s="13">
        <f t="shared" si="8"/>
        <v>50267.844162483096</v>
      </c>
      <c r="J63" s="15">
        <f t="shared" si="0"/>
        <v>0.22280388587861655</v>
      </c>
      <c r="K63" s="13">
        <f t="shared" si="9"/>
        <v>29187.609190590665</v>
      </c>
      <c r="L63" s="13">
        <f t="shared" si="20"/>
        <v>702140.92051786301</v>
      </c>
      <c r="M63" s="15">
        <f t="shared" si="10"/>
        <v>0.22280388587861658</v>
      </c>
      <c r="N63" s="13">
        <f t="shared" si="1"/>
        <v>558.87082745381417</v>
      </c>
      <c r="O63" s="13">
        <f t="shared" si="11"/>
        <v>21080.234971892438</v>
      </c>
      <c r="P63" s="15">
        <f t="shared" si="2"/>
        <v>0.13861136032284649</v>
      </c>
      <c r="Q63" s="7">
        <f t="shared" si="12"/>
        <v>152081.58207807378</v>
      </c>
      <c r="R63" s="7">
        <f t="shared" si="13"/>
        <v>131001.34710618135</v>
      </c>
      <c r="S63" s="13">
        <f>IF('Calc (3)'!$AD$32="Sim",R63,Q63)</f>
        <v>131001.34710618135</v>
      </c>
      <c r="T63" s="9">
        <f t="shared" si="14"/>
        <v>59</v>
      </c>
      <c r="U63" s="17">
        <f t="shared" ca="1" si="15"/>
        <v>47300</v>
      </c>
      <c r="V63" s="22"/>
      <c r="W63" s="22"/>
      <c r="X63" s="22"/>
    </row>
    <row r="64" spans="2:32" x14ac:dyDescent="0.2">
      <c r="B64" s="17">
        <f t="shared" ca="1" si="4"/>
        <v>47300</v>
      </c>
      <c r="C64" s="9">
        <f t="shared" si="18"/>
        <v>60</v>
      </c>
      <c r="D64" s="9">
        <v>5</v>
      </c>
      <c r="E64" s="13">
        <f t="shared" si="5"/>
        <v>1276.2815625000048</v>
      </c>
      <c r="F64" s="14">
        <f t="shared" si="19"/>
        <v>103090.01947809069</v>
      </c>
      <c r="G64" s="15">
        <f t="shared" si="6"/>
        <v>0.7744975876219784</v>
      </c>
      <c r="H64" s="13">
        <f t="shared" si="7"/>
        <v>1514.3796342218225</v>
      </c>
      <c r="I64" s="13">
        <f t="shared" si="8"/>
        <v>51782.223796704915</v>
      </c>
      <c r="J64" s="15">
        <f t="shared" si="0"/>
        <v>0.2255024123780216</v>
      </c>
      <c r="K64" s="13">
        <f t="shared" si="9"/>
        <v>30015.649442865979</v>
      </c>
      <c r="L64" s="13">
        <f t="shared" si="20"/>
        <v>732156.56996072899</v>
      </c>
      <c r="M64" s="15">
        <f t="shared" si="10"/>
        <v>0.22550241237802157</v>
      </c>
      <c r="N64" s="13">
        <f t="shared" si="1"/>
        <v>569.12597545296182</v>
      </c>
      <c r="O64" s="13">
        <f t="shared" si="11"/>
        <v>21766.574353838922</v>
      </c>
      <c r="P64" s="15">
        <f t="shared" si="2"/>
        <v>0.14054535463283552</v>
      </c>
      <c r="Q64" s="7">
        <f t="shared" si="12"/>
        <v>154872.24327479559</v>
      </c>
      <c r="R64" s="7">
        <f t="shared" si="13"/>
        <v>133105.66892095667</v>
      </c>
      <c r="S64" s="13">
        <f>IF('Calc (3)'!$AD$32="Sim",R64,Q64)</f>
        <v>133105.66892095667</v>
      </c>
      <c r="T64" s="9">
        <f t="shared" si="14"/>
        <v>60</v>
      </c>
      <c r="U64" s="17">
        <f t="shared" ca="1" si="15"/>
        <v>47331</v>
      </c>
      <c r="V64" s="22"/>
      <c r="W64" s="22"/>
      <c r="X64" s="22"/>
    </row>
    <row r="65" spans="2:24" x14ac:dyDescent="0.2">
      <c r="B65" s="17">
        <f t="shared" ca="1" si="4"/>
        <v>47331</v>
      </c>
      <c r="C65" s="9">
        <f t="shared" si="18"/>
        <v>61</v>
      </c>
      <c r="D65" s="9"/>
      <c r="E65" s="13">
        <f t="shared" si="5"/>
        <v>1281.4812915684181</v>
      </c>
      <c r="F65" s="14">
        <f t="shared" si="19"/>
        <v>104371.50076965911</v>
      </c>
      <c r="G65" s="15">
        <f t="shared" si="6"/>
        <v>0.77181645291269718</v>
      </c>
      <c r="H65" s="13">
        <f t="shared" si="7"/>
        <v>1542.1681436822189</v>
      </c>
      <c r="I65" s="13">
        <f t="shared" si="8"/>
        <v>53324.391940387133</v>
      </c>
      <c r="J65" s="15">
        <f t="shared" si="0"/>
        <v>0.22818354708730282</v>
      </c>
      <c r="K65" s="13">
        <f t="shared" si="9"/>
        <v>30856.89501768093</v>
      </c>
      <c r="L65" s="13">
        <f t="shared" si="20"/>
        <v>763013.46497840993</v>
      </c>
      <c r="M65" s="15">
        <f t="shared" si="10"/>
        <v>0.22818354708730285</v>
      </c>
      <c r="N65" s="13">
        <f t="shared" si="1"/>
        <v>579.50234894115908</v>
      </c>
      <c r="O65" s="13">
        <f t="shared" si="11"/>
        <v>22467.496922706196</v>
      </c>
      <c r="P65" s="15">
        <f t="shared" si="2"/>
        <v>0.14247357072271338</v>
      </c>
      <c r="Q65" s="7">
        <f t="shared" si="12"/>
        <v>157695.89271004623</v>
      </c>
      <c r="R65" s="7">
        <f t="shared" si="13"/>
        <v>135228.39578734004</v>
      </c>
      <c r="S65" s="13">
        <f>IF('Calc (3)'!$AD$32="Sim",R65,Q65)</f>
        <v>135228.39578734004</v>
      </c>
      <c r="T65" s="9">
        <f t="shared" si="14"/>
        <v>61</v>
      </c>
      <c r="U65" s="17">
        <f t="shared" ca="1" si="15"/>
        <v>47362</v>
      </c>
      <c r="V65" s="22"/>
      <c r="W65" s="22"/>
      <c r="X65" s="22"/>
    </row>
    <row r="66" spans="2:24" x14ac:dyDescent="0.2">
      <c r="B66" s="17">
        <f t="shared" ca="1" si="4"/>
        <v>47362</v>
      </c>
      <c r="C66" s="9">
        <f t="shared" si="18"/>
        <v>62</v>
      </c>
      <c r="D66" s="9"/>
      <c r="E66" s="13">
        <f t="shared" si="5"/>
        <v>1286.7022049766974</v>
      </c>
      <c r="F66" s="14">
        <f t="shared" si="19"/>
        <v>105658.2029746358</v>
      </c>
      <c r="G66" s="15">
        <f t="shared" si="6"/>
        <v>0.76915237117814328</v>
      </c>
      <c r="H66" s="13">
        <f t="shared" si="7"/>
        <v>1570.2851394452582</v>
      </c>
      <c r="I66" s="13">
        <f t="shared" si="8"/>
        <v>54894.677079832392</v>
      </c>
      <c r="J66" s="15">
        <f t="shared" si="0"/>
        <v>0.23084762882185672</v>
      </c>
      <c r="K66" s="13">
        <f t="shared" si="9"/>
        <v>31711.461260806464</v>
      </c>
      <c r="L66" s="13">
        <f t="shared" si="20"/>
        <v>794724.92623921635</v>
      </c>
      <c r="M66" s="15">
        <f t="shared" si="10"/>
        <v>0.23084762882185672</v>
      </c>
      <c r="N66" s="13">
        <f t="shared" si="1"/>
        <v>590.00123289136991</v>
      </c>
      <c r="O66" s="13">
        <f t="shared" si="11"/>
        <v>23183.215819025907</v>
      </c>
      <c r="P66" s="15">
        <f t="shared" si="2"/>
        <v>0.1443961379650176</v>
      </c>
      <c r="Q66" s="7">
        <f t="shared" si="12"/>
        <v>160552.88005446817</v>
      </c>
      <c r="R66" s="7">
        <f t="shared" si="13"/>
        <v>137369.66423544227</v>
      </c>
      <c r="S66" s="13">
        <f>IF('Calc (3)'!$AD$32="Sim",R66,Q66)</f>
        <v>137369.66423544227</v>
      </c>
      <c r="T66" s="9">
        <f t="shared" si="14"/>
        <v>62</v>
      </c>
      <c r="U66" s="17">
        <f t="shared" ca="1" si="15"/>
        <v>47392</v>
      </c>
      <c r="V66" s="22"/>
      <c r="W66" s="22"/>
      <c r="X66" s="22"/>
    </row>
    <row r="67" spans="2:24" x14ac:dyDescent="0.2">
      <c r="B67" s="17">
        <f t="shared" ca="1" si="4"/>
        <v>47392</v>
      </c>
      <c r="C67" s="9">
        <f t="shared" si="18"/>
        <v>63</v>
      </c>
      <c r="D67" s="9"/>
      <c r="E67" s="13">
        <f t="shared" si="5"/>
        <v>1291.9443890324658</v>
      </c>
      <c r="F67" s="14">
        <f t="shared" si="19"/>
        <v>106950.14736366826</v>
      </c>
      <c r="G67" s="15">
        <f t="shared" si="6"/>
        <v>0.76650501662220116</v>
      </c>
      <c r="H67" s="13">
        <f t="shared" si="7"/>
        <v>1598.7341034190874</v>
      </c>
      <c r="I67" s="13">
        <f t="shared" si="8"/>
        <v>56493.411183251483</v>
      </c>
      <c r="J67" s="15">
        <f t="shared" si="0"/>
        <v>0.23349498337779884</v>
      </c>
      <c r="K67" s="13">
        <f t="shared" si="9"/>
        <v>32579.464373214068</v>
      </c>
      <c r="L67" s="13">
        <f t="shared" si="20"/>
        <v>827304.3906124304</v>
      </c>
      <c r="M67" s="15">
        <f t="shared" si="10"/>
        <v>0.23349498337779886</v>
      </c>
      <c r="N67" s="13">
        <f t="shared" si="1"/>
        <v>600.62392538907147</v>
      </c>
      <c r="O67" s="13">
        <f t="shared" si="11"/>
        <v>23913.946810037392</v>
      </c>
      <c r="P67" s="15">
        <f t="shared" si="2"/>
        <v>0.14631318005213659</v>
      </c>
      <c r="Q67" s="7">
        <f t="shared" si="12"/>
        <v>163443.55854691972</v>
      </c>
      <c r="R67" s="7">
        <f t="shared" si="13"/>
        <v>139529.61173688233</v>
      </c>
      <c r="S67" s="13">
        <f>IF('Calc (3)'!$AD$32="Sim",R67,Q67)</f>
        <v>139529.61173688233</v>
      </c>
      <c r="T67" s="9">
        <f t="shared" si="14"/>
        <v>63</v>
      </c>
      <c r="U67" s="17">
        <f t="shared" ca="1" si="15"/>
        <v>47423</v>
      </c>
      <c r="V67" s="22"/>
      <c r="W67" s="22"/>
      <c r="X67" s="22"/>
    </row>
    <row r="68" spans="2:24" x14ac:dyDescent="0.2">
      <c r="B68" s="17">
        <f t="shared" ca="1" si="4"/>
        <v>47423</v>
      </c>
      <c r="C68" s="9">
        <f t="shared" si="18"/>
        <v>64</v>
      </c>
      <c r="D68" s="9"/>
      <c r="E68" s="13">
        <f t="shared" si="5"/>
        <v>1297.207930394974</v>
      </c>
      <c r="F68" s="14">
        <f t="shared" si="19"/>
        <v>108247.35529406324</v>
      </c>
      <c r="G68" s="15">
        <f t="shared" si="6"/>
        <v>0.76387407580566813</v>
      </c>
      <c r="H68" s="13">
        <f t="shared" si="7"/>
        <v>1627.5185530430028</v>
      </c>
      <c r="I68" s="13">
        <f t="shared" si="8"/>
        <v>58120.929736294485</v>
      </c>
      <c r="J68" s="15">
        <f t="shared" si="0"/>
        <v>0.23612592419433187</v>
      </c>
      <c r="K68" s="13">
        <f t="shared" si="9"/>
        <v>33461.021416971649</v>
      </c>
      <c r="L68" s="13">
        <f t="shared" si="20"/>
        <v>860765.4120294021</v>
      </c>
      <c r="M68" s="15">
        <f t="shared" si="10"/>
        <v>0.23612592419433187</v>
      </c>
      <c r="N68" s="13">
        <f t="shared" si="1"/>
        <v>611.37173776411601</v>
      </c>
      <c r="O68" s="13">
        <f t="shared" si="11"/>
        <v>24659.908319322829</v>
      </c>
      <c r="P68" s="15">
        <f t="shared" si="2"/>
        <v>0.1482248152935102</v>
      </c>
      <c r="Q68" s="7">
        <f t="shared" si="12"/>
        <v>166368.28503035771</v>
      </c>
      <c r="R68" s="7">
        <f t="shared" si="13"/>
        <v>141708.37671103489</v>
      </c>
      <c r="S68" s="13">
        <f>IF('Calc (3)'!$AD$32="Sim",R68,Q68)</f>
        <v>141708.37671103489</v>
      </c>
      <c r="T68" s="9">
        <f t="shared" si="14"/>
        <v>64</v>
      </c>
      <c r="U68" s="17">
        <f t="shared" ca="1" si="15"/>
        <v>47453</v>
      </c>
      <c r="V68" s="22"/>
      <c r="W68" s="22"/>
      <c r="X68" s="22"/>
    </row>
    <row r="69" spans="2:24" x14ac:dyDescent="0.2">
      <c r="B69" s="17">
        <f t="shared" ca="1" si="4"/>
        <v>47453</v>
      </c>
      <c r="C69" s="9">
        <f t="shared" si="18"/>
        <v>65</v>
      </c>
      <c r="D69" s="9"/>
      <c r="E69" s="13">
        <f t="shared" si="5"/>
        <v>1302.4929160765334</v>
      </c>
      <c r="F69" s="14">
        <f t="shared" si="19"/>
        <v>109549.84821013977</v>
      </c>
      <c r="G69" s="15">
        <f t="shared" si="6"/>
        <v>0.76125924702418657</v>
      </c>
      <c r="H69" s="13">
        <f t="shared" si="7"/>
        <v>1656.6420416447581</v>
      </c>
      <c r="I69" s="13">
        <f t="shared" si="8"/>
        <v>59777.571777939243</v>
      </c>
      <c r="J69" s="15">
        <f t="shared" ref="J69:J132" si="26">1-G69</f>
        <v>0.23874075297581343</v>
      </c>
      <c r="K69" s="13">
        <f t="shared" si="9"/>
        <v>34356.250321178537</v>
      </c>
      <c r="L69" s="13">
        <f t="shared" si="20"/>
        <v>895121.66235058068</v>
      </c>
      <c r="M69" s="15">
        <f t="shared" si="10"/>
        <v>0.23874075297581346</v>
      </c>
      <c r="N69" s="13">
        <f t="shared" ref="N69:N132" si="27">Q69*Inflação_3</f>
        <v>622.24599472391151</v>
      </c>
      <c r="O69" s="13">
        <f t="shared" si="11"/>
        <v>25421.321456760692</v>
      </c>
      <c r="P69" s="15">
        <f t="shared" ref="P69:P132" si="28">O69/Q69</f>
        <v>0.15013115689443804</v>
      </c>
      <c r="Q69" s="7">
        <f t="shared" si="12"/>
        <v>169327.419988079</v>
      </c>
      <c r="R69" s="7">
        <f t="shared" si="13"/>
        <v>143906.0985313183</v>
      </c>
      <c r="S69" s="13">
        <f>IF('Calc (3)'!$AD$32="Sim",R69,Q69)</f>
        <v>143906.0985313183</v>
      </c>
      <c r="T69" s="9">
        <f t="shared" si="14"/>
        <v>65</v>
      </c>
      <c r="U69" s="17">
        <f t="shared" ca="1" si="15"/>
        <v>47484</v>
      </c>
      <c r="V69" s="22"/>
      <c r="W69" s="22"/>
      <c r="X69" s="22"/>
    </row>
    <row r="70" spans="2:24" x14ac:dyDescent="0.2">
      <c r="B70" s="17">
        <f t="shared" ref="B70:B133" ca="1" si="29">DATE(YEAR(B69),MONTH(B69)+1,1)</f>
        <v>47484</v>
      </c>
      <c r="C70" s="9">
        <f t="shared" si="18"/>
        <v>66</v>
      </c>
      <c r="D70" s="9"/>
      <c r="E70" s="13">
        <f t="shared" ref="E70:E133" si="30">IF($AE$33,IF($AE$34,$E69*(1+Inflação_3)*(1+Crescimento_Salário_3),$E69*(1+Inflação_3)),IF($AE$34,$E69*(1+Crescimento_Salário_3),$E69))</f>
        <v>1307.7994334439543</v>
      </c>
      <c r="F70" s="14">
        <f t="shared" si="19"/>
        <v>110857.64764358372</v>
      </c>
      <c r="G70" s="15">
        <f t="shared" ref="G70:G133" si="31">IF(F70&lt;=0,0,F70/S70)</f>
        <v>0.75866023972364216</v>
      </c>
      <c r="H70" s="13">
        <f t="shared" ref="H70:H133" si="32">Q69*Taxa_3</f>
        <v>1686.1081588014461</v>
      </c>
      <c r="I70" s="13">
        <f t="shared" ref="I70:I133" si="33">I69+H70</f>
        <v>61463.679936740693</v>
      </c>
      <c r="J70" s="15">
        <f t="shared" si="26"/>
        <v>0.24133976027635784</v>
      </c>
      <c r="K70" s="13">
        <f t="shared" ref="K70:K133" si="34">R70-F70</f>
        <v>35265.269887939925</v>
      </c>
      <c r="L70" s="13">
        <f t="shared" si="20"/>
        <v>930386.93223852059</v>
      </c>
      <c r="M70" s="15">
        <f t="shared" ref="M70:M133" si="35">K70/R70</f>
        <v>0.24133976027635784</v>
      </c>
      <c r="N70" s="13">
        <f t="shared" si="27"/>
        <v>633.24803448793421</v>
      </c>
      <c r="O70" s="13">
        <f t="shared" ref="O70:O133" si="36">Q70-R70</f>
        <v>26198.410048800753</v>
      </c>
      <c r="P70" s="15">
        <f t="shared" si="28"/>
        <v>0.15203231321781019</v>
      </c>
      <c r="Q70" s="7">
        <f t="shared" ref="Q70:Q133" si="37">Q69+E70+H70</f>
        <v>172321.3275803244</v>
      </c>
      <c r="R70" s="7">
        <f t="shared" ref="R70:R133" si="38">(R69+E70)*(1+((1+Taxa_3)/(1+Inflação_3)-1))</f>
        <v>146122.91753152365</v>
      </c>
      <c r="S70" s="13">
        <f>IF('Calc (3)'!$AD$32="Sim",R70,Q70)</f>
        <v>146122.91753152365</v>
      </c>
      <c r="T70" s="9">
        <f t="shared" ref="T70:T133" si="39">C70</f>
        <v>66</v>
      </c>
      <c r="U70" s="17">
        <f t="shared" ref="U70:U133" ca="1" si="40">DATE(YEAR(U69),MONTH(U69)+1,1)</f>
        <v>47515</v>
      </c>
      <c r="V70" s="22"/>
      <c r="W70" s="22"/>
      <c r="X70" s="22"/>
    </row>
    <row r="71" spans="2:24" x14ac:dyDescent="0.2">
      <c r="B71" s="17">
        <f t="shared" ca="1" si="29"/>
        <v>47515</v>
      </c>
      <c r="C71" s="9">
        <f t="shared" ref="C71:C134" si="41">C70+1</f>
        <v>67</v>
      </c>
      <c r="D71" s="9"/>
      <c r="E71" s="13">
        <f t="shared" si="30"/>
        <v>1313.12757021999</v>
      </c>
      <c r="F71" s="14">
        <f t="shared" ref="F71:F134" si="42">F70+E71</f>
        <v>112170.77521380372</v>
      </c>
      <c r="G71" s="15">
        <f t="shared" si="31"/>
        <v>0.75607677395042161</v>
      </c>
      <c r="H71" s="13">
        <f t="shared" si="32"/>
        <v>1715.9205307039881</v>
      </c>
      <c r="I71" s="13">
        <f t="shared" si="33"/>
        <v>63179.600467444681</v>
      </c>
      <c r="J71" s="15">
        <f t="shared" si="26"/>
        <v>0.24392322604957839</v>
      </c>
      <c r="K71" s="13">
        <f t="shared" si="34"/>
        <v>36188.19979838084</v>
      </c>
      <c r="L71" s="13">
        <f t="shared" ref="L71:L134" si="43">L70+K71</f>
        <v>966575.13203690143</v>
      </c>
      <c r="M71" s="15">
        <f t="shared" si="35"/>
        <v>0.24392322604957836</v>
      </c>
      <c r="N71" s="13">
        <f t="shared" si="27"/>
        <v>644.379208923585</v>
      </c>
      <c r="O71" s="13">
        <f t="shared" si="36"/>
        <v>26991.40066906382</v>
      </c>
      <c r="P71" s="15">
        <f t="shared" si="28"/>
        <v>0.15392838802996775</v>
      </c>
      <c r="Q71" s="7">
        <f t="shared" si="37"/>
        <v>175350.37568124838</v>
      </c>
      <c r="R71" s="7">
        <f t="shared" si="38"/>
        <v>148358.97501218456</v>
      </c>
      <c r="S71" s="13">
        <f>IF('Calc (3)'!$AD$32="Sim",R71,Q71)</f>
        <v>148358.97501218456</v>
      </c>
      <c r="T71" s="9">
        <f t="shared" si="39"/>
        <v>67</v>
      </c>
      <c r="U71" s="17">
        <f t="shared" ca="1" si="40"/>
        <v>47543</v>
      </c>
      <c r="V71" s="22"/>
      <c r="W71" s="22"/>
      <c r="X71" s="22"/>
    </row>
    <row r="72" spans="2:24" x14ac:dyDescent="0.2">
      <c r="B72" s="17">
        <f t="shared" ca="1" si="29"/>
        <v>47543</v>
      </c>
      <c r="C72" s="9">
        <f t="shared" si="41"/>
        <v>68</v>
      </c>
      <c r="D72" s="9"/>
      <c r="E72" s="13">
        <f t="shared" si="30"/>
        <v>1318.4774144847877</v>
      </c>
      <c r="F72" s="14">
        <f t="shared" si="42"/>
        <v>113489.25262828851</v>
      </c>
      <c r="G72" s="15">
        <f t="shared" si="31"/>
        <v>0.75350857983412523</v>
      </c>
      <c r="H72" s="13">
        <f t="shared" si="32"/>
        <v>1746.0828205252676</v>
      </c>
      <c r="I72" s="13">
        <f t="shared" si="33"/>
        <v>64925.68328796995</v>
      </c>
      <c r="J72" s="15">
        <f t="shared" si="26"/>
        <v>0.24649142016587477</v>
      </c>
      <c r="K72" s="13">
        <f t="shared" si="34"/>
        <v>37125.160618700189</v>
      </c>
      <c r="L72" s="13">
        <f t="shared" si="43"/>
        <v>1003700.2926556016</v>
      </c>
      <c r="M72" s="15">
        <f t="shared" si="35"/>
        <v>0.2464914201658748</v>
      </c>
      <c r="N72" s="13">
        <f t="shared" si="27"/>
        <v>655.64088368340492</v>
      </c>
      <c r="O72" s="13">
        <f t="shared" si="36"/>
        <v>27800.522669269732</v>
      </c>
      <c r="P72" s="15">
        <f t="shared" si="28"/>
        <v>0.15581948073180543</v>
      </c>
      <c r="Q72" s="7">
        <f t="shared" si="37"/>
        <v>178414.93591625843</v>
      </c>
      <c r="R72" s="7">
        <f t="shared" si="38"/>
        <v>150614.4132469887</v>
      </c>
      <c r="S72" s="13">
        <f>IF('Calc (3)'!$AD$32="Sim",R72,Q72)</f>
        <v>150614.4132469887</v>
      </c>
      <c r="T72" s="9">
        <f t="shared" si="39"/>
        <v>68</v>
      </c>
      <c r="U72" s="17">
        <f t="shared" ca="1" si="40"/>
        <v>47574</v>
      </c>
      <c r="V72" s="22"/>
      <c r="W72" s="22"/>
      <c r="X72" s="22"/>
    </row>
    <row r="73" spans="2:24" x14ac:dyDescent="0.2">
      <c r="B73" s="17">
        <f t="shared" ca="1" si="29"/>
        <v>47574</v>
      </c>
      <c r="C73" s="9">
        <f t="shared" si="41"/>
        <v>69</v>
      </c>
      <c r="D73" s="9"/>
      <c r="E73" s="13">
        <f t="shared" si="30"/>
        <v>1323.8490546773432</v>
      </c>
      <c r="F73" s="14">
        <f t="shared" si="42"/>
        <v>114813.10168296585</v>
      </c>
      <c r="G73" s="15">
        <f t="shared" si="31"/>
        <v>0.75095539710052117</v>
      </c>
      <c r="H73" s="13">
        <f t="shared" si="32"/>
        <v>1776.5987287919424</v>
      </c>
      <c r="I73" s="13">
        <f t="shared" si="33"/>
        <v>66702.282016761892</v>
      </c>
      <c r="J73" s="15">
        <f t="shared" si="26"/>
        <v>0.24904460289947883</v>
      </c>
      <c r="K73" s="13">
        <f t="shared" si="34"/>
        <v>38076.27380626474</v>
      </c>
      <c r="L73" s="13">
        <f t="shared" si="43"/>
        <v>1041776.5664618664</v>
      </c>
      <c r="M73" s="15">
        <f t="shared" si="35"/>
        <v>0.2490446028994788</v>
      </c>
      <c r="N73" s="13">
        <f t="shared" si="27"/>
        <v>667.03443834366158</v>
      </c>
      <c r="O73" s="13">
        <f t="shared" si="36"/>
        <v>28626.008210497152</v>
      </c>
      <c r="P73" s="15">
        <f t="shared" si="28"/>
        <v>0.15770568657614054</v>
      </c>
      <c r="Q73" s="7">
        <f t="shared" si="37"/>
        <v>181515.38369972774</v>
      </c>
      <c r="R73" s="7">
        <f t="shared" si="38"/>
        <v>152889.37548923059</v>
      </c>
      <c r="S73" s="13">
        <f>IF('Calc (3)'!$AD$32="Sim",R73,Q73)</f>
        <v>152889.37548923059</v>
      </c>
      <c r="T73" s="9">
        <f t="shared" si="39"/>
        <v>69</v>
      </c>
      <c r="U73" s="17">
        <f t="shared" ca="1" si="40"/>
        <v>47604</v>
      </c>
      <c r="V73" s="22"/>
      <c r="W73" s="22"/>
      <c r="X73" s="22"/>
    </row>
    <row r="74" spans="2:24" x14ac:dyDescent="0.2">
      <c r="B74" s="17">
        <f t="shared" ca="1" si="29"/>
        <v>47604</v>
      </c>
      <c r="C74" s="9">
        <f t="shared" si="41"/>
        <v>70</v>
      </c>
      <c r="D74" s="9"/>
      <c r="E74" s="13">
        <f t="shared" si="30"/>
        <v>1329.2425795969646</v>
      </c>
      <c r="F74" s="14">
        <f t="shared" si="42"/>
        <v>116142.34426256281</v>
      </c>
      <c r="G74" s="15">
        <f t="shared" si="31"/>
        <v>0.74841697461269774</v>
      </c>
      <c r="H74" s="13">
        <f t="shared" si="32"/>
        <v>1807.4719937599759</v>
      </c>
      <c r="I74" s="13">
        <f t="shared" si="33"/>
        <v>68509.754010521865</v>
      </c>
      <c r="J74" s="15">
        <f t="shared" si="26"/>
        <v>0.25158302538730226</v>
      </c>
      <c r="K74" s="13">
        <f t="shared" si="34"/>
        <v>39041.66171574351</v>
      </c>
      <c r="L74" s="13">
        <f t="shared" si="43"/>
        <v>1080818.2281776099</v>
      </c>
      <c r="M74" s="15">
        <f t="shared" si="35"/>
        <v>0.25158302538730232</v>
      </c>
      <c r="N74" s="13">
        <f t="shared" si="27"/>
        <v>678.56126654432092</v>
      </c>
      <c r="O74" s="13">
        <f t="shared" si="36"/>
        <v>29468.092294778355</v>
      </c>
      <c r="P74" s="15">
        <f t="shared" si="28"/>
        <v>0.15958709687228989</v>
      </c>
      <c r="Q74" s="7">
        <f t="shared" si="37"/>
        <v>184652.09827308467</v>
      </c>
      <c r="R74" s="7">
        <f t="shared" si="38"/>
        <v>155184.00597830632</v>
      </c>
      <c r="S74" s="13">
        <f>IF('Calc (3)'!$AD$32="Sim",R74,Q74)</f>
        <v>155184.00597830632</v>
      </c>
      <c r="T74" s="9">
        <f t="shared" si="39"/>
        <v>70</v>
      </c>
      <c r="U74" s="17">
        <f t="shared" ca="1" si="40"/>
        <v>47635</v>
      </c>
      <c r="V74" s="22"/>
      <c r="W74" s="22"/>
      <c r="X74" s="22"/>
    </row>
    <row r="75" spans="2:24" x14ac:dyDescent="0.2">
      <c r="B75" s="17">
        <f t="shared" ca="1" si="29"/>
        <v>47635</v>
      </c>
      <c r="C75" s="9">
        <f t="shared" si="41"/>
        <v>71</v>
      </c>
      <c r="D75" s="9"/>
      <c r="E75" s="13">
        <f t="shared" si="30"/>
        <v>1334.6580784047387</v>
      </c>
      <c r="F75" s="14">
        <f t="shared" si="42"/>
        <v>117477.00234096755</v>
      </c>
      <c r="G75" s="15">
        <f t="shared" si="31"/>
        <v>0.74589306993852256</v>
      </c>
      <c r="H75" s="13">
        <f t="shared" si="32"/>
        <v>1838.7063917939204</v>
      </c>
      <c r="I75" s="13">
        <f t="shared" si="33"/>
        <v>70348.460402315788</v>
      </c>
      <c r="J75" s="15">
        <f t="shared" si="26"/>
        <v>0.25410693006147744</v>
      </c>
      <c r="K75" s="13">
        <f t="shared" si="34"/>
        <v>40021.447605282985</v>
      </c>
      <c r="L75" s="13">
        <f t="shared" si="43"/>
        <v>1120839.6757828929</v>
      </c>
      <c r="M75" s="15">
        <f t="shared" si="35"/>
        <v>0.25410693006147739</v>
      </c>
      <c r="N75" s="13">
        <f t="shared" si="27"/>
        <v>690.22277613041911</v>
      </c>
      <c r="O75" s="13">
        <f t="shared" si="36"/>
        <v>30327.012797032774</v>
      </c>
      <c r="P75" s="15">
        <f t="shared" si="28"/>
        <v>0.16146379917872597</v>
      </c>
      <c r="Q75" s="7">
        <f t="shared" si="37"/>
        <v>187825.46274328331</v>
      </c>
      <c r="R75" s="7">
        <f t="shared" si="38"/>
        <v>157498.44994625053</v>
      </c>
      <c r="S75" s="13">
        <f>IF('Calc (3)'!$AD$32="Sim",R75,Q75)</f>
        <v>157498.44994625053</v>
      </c>
      <c r="T75" s="9">
        <f t="shared" si="39"/>
        <v>71</v>
      </c>
      <c r="U75" s="17">
        <f t="shared" ca="1" si="40"/>
        <v>47665</v>
      </c>
      <c r="V75" s="22"/>
      <c r="W75" s="22"/>
      <c r="X75" s="22"/>
    </row>
    <row r="76" spans="2:24" x14ac:dyDescent="0.2">
      <c r="B76" s="17">
        <f t="shared" ca="1" si="29"/>
        <v>47665</v>
      </c>
      <c r="C76" s="9">
        <f t="shared" si="41"/>
        <v>72</v>
      </c>
      <c r="D76" s="9">
        <v>6</v>
      </c>
      <c r="E76" s="13">
        <f t="shared" si="30"/>
        <v>1340.0956406250059</v>
      </c>
      <c r="F76" s="14">
        <f t="shared" si="42"/>
        <v>118817.09798159255</v>
      </c>
      <c r="G76" s="15">
        <f t="shared" si="31"/>
        <v>0.74338344894266839</v>
      </c>
      <c r="H76" s="13">
        <f t="shared" si="32"/>
        <v>1870.3057377499931</v>
      </c>
      <c r="I76" s="13">
        <f t="shared" si="33"/>
        <v>72218.766140065782</v>
      </c>
      <c r="J76" s="15">
        <f t="shared" si="26"/>
        <v>0.25661655105733161</v>
      </c>
      <c r="K76" s="13">
        <f t="shared" si="34"/>
        <v>41015.755642723234</v>
      </c>
      <c r="L76" s="13">
        <f t="shared" si="43"/>
        <v>1161855.4314256161</v>
      </c>
      <c r="M76" s="15">
        <f t="shared" si="35"/>
        <v>0.25661655105733155</v>
      </c>
      <c r="N76" s="13">
        <f t="shared" si="27"/>
        <v>702.02038929484706</v>
      </c>
      <c r="O76" s="13">
        <f t="shared" si="36"/>
        <v>31203.010497342533</v>
      </c>
      <c r="P76" s="15">
        <f t="shared" si="28"/>
        <v>0.16333587748461389</v>
      </c>
      <c r="Q76" s="7">
        <f t="shared" si="37"/>
        <v>191035.86412165832</v>
      </c>
      <c r="R76" s="7">
        <f t="shared" si="38"/>
        <v>159832.85362431579</v>
      </c>
      <c r="S76" s="13">
        <f>IF('Calc (3)'!$AD$32="Sim",R76,Q76)</f>
        <v>159832.85362431579</v>
      </c>
      <c r="T76" s="9">
        <f t="shared" si="39"/>
        <v>72</v>
      </c>
      <c r="U76" s="17">
        <f t="shared" ca="1" si="40"/>
        <v>47696</v>
      </c>
      <c r="V76" s="22"/>
      <c r="W76" s="22"/>
      <c r="X76" s="22"/>
    </row>
    <row r="77" spans="2:24" x14ac:dyDescent="0.2">
      <c r="B77" s="17">
        <f t="shared" ca="1" si="29"/>
        <v>47696</v>
      </c>
      <c r="C77" s="9">
        <f t="shared" si="41"/>
        <v>73</v>
      </c>
      <c r="D77" s="9"/>
      <c r="E77" s="13">
        <f t="shared" si="30"/>
        <v>1345.5553561468398</v>
      </c>
      <c r="F77" s="14">
        <f t="shared" si="42"/>
        <v>120162.65333773939</v>
      </c>
      <c r="G77" s="15">
        <f t="shared" si="31"/>
        <v>0.7408878854015899</v>
      </c>
      <c r="H77" s="13">
        <f t="shared" si="32"/>
        <v>1902.2738853629821</v>
      </c>
      <c r="I77" s="13">
        <f t="shared" si="33"/>
        <v>74121.040025428767</v>
      </c>
      <c r="J77" s="15">
        <f t="shared" si="26"/>
        <v>0.2591121145984101</v>
      </c>
      <c r="K77" s="13">
        <f t="shared" si="34"/>
        <v>42024.710911854971</v>
      </c>
      <c r="L77" s="13">
        <f t="shared" si="43"/>
        <v>1203880.142337471</v>
      </c>
      <c r="M77" s="15">
        <f t="shared" si="35"/>
        <v>0.25911211459841005</v>
      </c>
      <c r="N77" s="13">
        <f t="shared" si="27"/>
        <v>713.95554272256095</v>
      </c>
      <c r="O77" s="13">
        <f t="shared" si="36"/>
        <v>32096.329113573767</v>
      </c>
      <c r="P77" s="15">
        <f t="shared" si="28"/>
        <v>0.16520341238097194</v>
      </c>
      <c r="Q77" s="7">
        <f t="shared" si="37"/>
        <v>194283.69336316813</v>
      </c>
      <c r="R77" s="7">
        <f t="shared" si="38"/>
        <v>162187.36424959436</v>
      </c>
      <c r="S77" s="13">
        <f>IF('Calc (3)'!$AD$32="Sim",R77,Q77)</f>
        <v>162187.36424959436</v>
      </c>
      <c r="T77" s="9">
        <f t="shared" si="39"/>
        <v>73</v>
      </c>
      <c r="U77" s="17">
        <f t="shared" ca="1" si="40"/>
        <v>47727</v>
      </c>
      <c r="V77" s="22"/>
      <c r="W77" s="22"/>
      <c r="X77" s="22"/>
    </row>
    <row r="78" spans="2:24" x14ac:dyDescent="0.2">
      <c r="B78" s="17">
        <f t="shared" ca="1" si="29"/>
        <v>47727</v>
      </c>
      <c r="C78" s="9">
        <f t="shared" si="41"/>
        <v>74</v>
      </c>
      <c r="D78" s="9"/>
      <c r="E78" s="13">
        <f t="shared" si="30"/>
        <v>1351.0373152255331</v>
      </c>
      <c r="F78" s="14">
        <f t="shared" si="42"/>
        <v>121513.69065296493</v>
      </c>
      <c r="G78" s="15">
        <f t="shared" si="31"/>
        <v>0.73840616063995668</v>
      </c>
      <c r="H78" s="13">
        <f t="shared" si="32"/>
        <v>1934.6147276370164</v>
      </c>
      <c r="I78" s="13">
        <f t="shared" si="33"/>
        <v>76055.654753065784</v>
      </c>
      <c r="J78" s="15">
        <f t="shared" si="26"/>
        <v>0.26159383936004332</v>
      </c>
      <c r="K78" s="13">
        <f t="shared" si="34"/>
        <v>43048.43941871851</v>
      </c>
      <c r="L78" s="13">
        <f t="shared" si="43"/>
        <v>1246928.5817561895</v>
      </c>
      <c r="M78" s="15">
        <f t="shared" si="35"/>
        <v>0.26159383936004332</v>
      </c>
      <c r="N78" s="13">
        <f t="shared" si="27"/>
        <v>726.02968773623672</v>
      </c>
      <c r="O78" s="13">
        <f t="shared" si="36"/>
        <v>33007.215334347216</v>
      </c>
      <c r="P78" s="15">
        <f t="shared" si="28"/>
        <v>0.16706648122214052</v>
      </c>
      <c r="Q78" s="7">
        <f t="shared" si="37"/>
        <v>197569.34540603065</v>
      </c>
      <c r="R78" s="7">
        <f t="shared" si="38"/>
        <v>164562.13007168344</v>
      </c>
      <c r="S78" s="13">
        <f>IF('Calc (3)'!$AD$32="Sim",R78,Q78)</f>
        <v>164562.13007168344</v>
      </c>
      <c r="T78" s="9">
        <f t="shared" si="39"/>
        <v>74</v>
      </c>
      <c r="U78" s="17">
        <f t="shared" ca="1" si="40"/>
        <v>47757</v>
      </c>
      <c r="V78" s="22"/>
      <c r="W78" s="22"/>
      <c r="X78" s="22"/>
    </row>
    <row r="79" spans="2:24" x14ac:dyDescent="0.2">
      <c r="B79" s="17">
        <f t="shared" ca="1" si="29"/>
        <v>47757</v>
      </c>
      <c r="C79" s="9">
        <f t="shared" si="41"/>
        <v>75</v>
      </c>
      <c r="D79" s="9"/>
      <c r="E79" s="13">
        <f t="shared" si="30"/>
        <v>1356.5416084840899</v>
      </c>
      <c r="F79" s="14">
        <f t="shared" si="42"/>
        <v>122870.23226144901</v>
      </c>
      <c r="G79" s="15">
        <f t="shared" si="31"/>
        <v>0.73593806318716226</v>
      </c>
      <c r="H79" s="13">
        <f t="shared" si="32"/>
        <v>1967.3321972402453</v>
      </c>
      <c r="I79" s="13">
        <f t="shared" si="33"/>
        <v>78022.986950306033</v>
      </c>
      <c r="J79" s="15">
        <f t="shared" si="26"/>
        <v>0.26406193681283774</v>
      </c>
      <c r="K79" s="13">
        <f t="shared" si="34"/>
        <v>44087.068097944022</v>
      </c>
      <c r="L79" s="13">
        <f t="shared" si="43"/>
        <v>1291015.6498541334</v>
      </c>
      <c r="M79" s="15">
        <f t="shared" si="35"/>
        <v>0.26406193681283779</v>
      </c>
      <c r="N79" s="13">
        <f t="shared" si="27"/>
        <v>738.2442904433783</v>
      </c>
      <c r="O79" s="13">
        <f t="shared" si="36"/>
        <v>33935.918852361938</v>
      </c>
      <c r="P79" s="15">
        <f t="shared" si="28"/>
        <v>0.16892515827819551</v>
      </c>
      <c r="Q79" s="7">
        <f t="shared" si="37"/>
        <v>200893.21921175497</v>
      </c>
      <c r="R79" s="7">
        <f t="shared" si="38"/>
        <v>166957.30035939303</v>
      </c>
      <c r="S79" s="13">
        <f>IF('Calc (3)'!$AD$32="Sim",R79,Q79)</f>
        <v>166957.30035939303</v>
      </c>
      <c r="T79" s="9">
        <f t="shared" si="39"/>
        <v>75</v>
      </c>
      <c r="U79" s="17">
        <f t="shared" ca="1" si="40"/>
        <v>47788</v>
      </c>
      <c r="V79" s="22"/>
      <c r="W79" s="22"/>
      <c r="X79" s="22"/>
    </row>
    <row r="80" spans="2:24" x14ac:dyDescent="0.2">
      <c r="B80" s="17">
        <f t="shared" ca="1" si="29"/>
        <v>47788</v>
      </c>
      <c r="C80" s="9">
        <f t="shared" si="41"/>
        <v>76</v>
      </c>
      <c r="D80" s="9"/>
      <c r="E80" s="13">
        <f t="shared" si="30"/>
        <v>1362.0683269147235</v>
      </c>
      <c r="F80" s="14">
        <f t="shared" si="42"/>
        <v>124232.30058836374</v>
      </c>
      <c r="G80" s="15">
        <f t="shared" si="31"/>
        <v>0.7334833884526234</v>
      </c>
      <c r="H80" s="13">
        <f t="shared" si="32"/>
        <v>2000.4302669034619</v>
      </c>
      <c r="I80" s="13">
        <f t="shared" si="33"/>
        <v>80023.417217209499</v>
      </c>
      <c r="J80" s="15">
        <f t="shared" si="26"/>
        <v>0.2665166115473766</v>
      </c>
      <c r="K80" s="13">
        <f t="shared" si="34"/>
        <v>45140.724819134033</v>
      </c>
      <c r="L80" s="13">
        <f t="shared" si="43"/>
        <v>1336156.3746732674</v>
      </c>
      <c r="M80" s="15">
        <f t="shared" si="35"/>
        <v>0.2665166115473766</v>
      </c>
      <c r="N80" s="13">
        <f t="shared" si="27"/>
        <v>750.60083188489693</v>
      </c>
      <c r="O80" s="13">
        <f t="shared" si="36"/>
        <v>34882.692398075364</v>
      </c>
      <c r="P80" s="15">
        <f t="shared" si="28"/>
        <v>0.17077951487889062</v>
      </c>
      <c r="Q80" s="7">
        <f t="shared" si="37"/>
        <v>204255.71780557313</v>
      </c>
      <c r="R80" s="7">
        <f t="shared" si="38"/>
        <v>169373.02540749777</v>
      </c>
      <c r="S80" s="13">
        <f>IF('Calc (3)'!$AD$32="Sim",R80,Q80)</f>
        <v>169373.02540749777</v>
      </c>
      <c r="T80" s="9">
        <f t="shared" si="39"/>
        <v>76</v>
      </c>
      <c r="U80" s="17">
        <f t="shared" ca="1" si="40"/>
        <v>47818</v>
      </c>
      <c r="V80" s="22"/>
      <c r="W80" s="22"/>
      <c r="X80" s="22"/>
    </row>
    <row r="81" spans="2:24" x14ac:dyDescent="0.2">
      <c r="B81" s="17">
        <f t="shared" ca="1" si="29"/>
        <v>47818</v>
      </c>
      <c r="C81" s="9">
        <f t="shared" si="41"/>
        <v>77</v>
      </c>
      <c r="D81" s="9"/>
      <c r="E81" s="13">
        <f t="shared" si="30"/>
        <v>1367.6175618803609</v>
      </c>
      <c r="F81" s="14">
        <f t="shared" si="42"/>
        <v>125599.91815024411</v>
      </c>
      <c r="G81" s="15">
        <f t="shared" si="31"/>
        <v>0.73104193841868148</v>
      </c>
      <c r="H81" s="13">
        <f t="shared" si="32"/>
        <v>2033.9129498227098</v>
      </c>
      <c r="I81" s="13">
        <f t="shared" si="33"/>
        <v>82057.330167032211</v>
      </c>
      <c r="J81" s="15">
        <f t="shared" si="26"/>
        <v>0.26895806158131852</v>
      </c>
      <c r="K81" s="13">
        <f t="shared" si="34"/>
        <v>46209.53839328824</v>
      </c>
      <c r="L81" s="13">
        <f t="shared" si="43"/>
        <v>1382365.9130665555</v>
      </c>
      <c r="M81" s="15">
        <f t="shared" si="35"/>
        <v>0.26895806158131852</v>
      </c>
      <c r="N81" s="13">
        <f t="shared" si="27"/>
        <v>763.10080818517611</v>
      </c>
      <c r="O81" s="13">
        <f t="shared" si="36"/>
        <v>35847.79177374384</v>
      </c>
      <c r="P81" s="15">
        <f t="shared" si="28"/>
        <v>0.17262961954967532</v>
      </c>
      <c r="Q81" s="7">
        <f t="shared" si="37"/>
        <v>207657.24831727619</v>
      </c>
      <c r="R81" s="7">
        <f t="shared" si="38"/>
        <v>171809.45654353235</v>
      </c>
      <c r="S81" s="13">
        <f>IF('Calc (3)'!$AD$32="Sim",R81,Q81)</f>
        <v>171809.45654353235</v>
      </c>
      <c r="T81" s="9">
        <f t="shared" si="39"/>
        <v>77</v>
      </c>
      <c r="U81" s="17">
        <f t="shared" ca="1" si="40"/>
        <v>47849</v>
      </c>
      <c r="V81" s="22"/>
      <c r="W81" s="22"/>
      <c r="X81" s="22"/>
    </row>
    <row r="82" spans="2:24" x14ac:dyDescent="0.2">
      <c r="B82" s="17">
        <f t="shared" ca="1" si="29"/>
        <v>47849</v>
      </c>
      <c r="C82" s="9">
        <f t="shared" si="41"/>
        <v>78</v>
      </c>
      <c r="D82" s="9"/>
      <c r="E82" s="13">
        <f t="shared" si="30"/>
        <v>1373.1894051161528</v>
      </c>
      <c r="F82" s="14">
        <f t="shared" si="42"/>
        <v>126973.10755536026</v>
      </c>
      <c r="G82" s="15">
        <f t="shared" si="31"/>
        <v>0.72861352135000179</v>
      </c>
      <c r="H82" s="13">
        <f t="shared" si="32"/>
        <v>2067.7843000659154</v>
      </c>
      <c r="I82" s="13">
        <f t="shared" si="33"/>
        <v>84125.11446709813</v>
      </c>
      <c r="J82" s="15">
        <f t="shared" si="26"/>
        <v>0.27138647864999821</v>
      </c>
      <c r="K82" s="13">
        <f t="shared" si="34"/>
        <v>47293.638579270671</v>
      </c>
      <c r="L82" s="13">
        <f t="shared" si="43"/>
        <v>1429659.5516458261</v>
      </c>
      <c r="M82" s="15">
        <f t="shared" si="35"/>
        <v>0.27138647864999821</v>
      </c>
      <c r="N82" s="13">
        <f t="shared" si="27"/>
        <v>775.74573070363522</v>
      </c>
      <c r="O82" s="13">
        <f t="shared" si="36"/>
        <v>36831.475887827342</v>
      </c>
      <c r="P82" s="15">
        <f t="shared" si="28"/>
        <v>0.17447553814029246</v>
      </c>
      <c r="Q82" s="7">
        <f t="shared" si="37"/>
        <v>211098.22202245827</v>
      </c>
      <c r="R82" s="7">
        <f t="shared" si="38"/>
        <v>174266.74613463093</v>
      </c>
      <c r="S82" s="13">
        <f>IF('Calc (3)'!$AD$32="Sim",R82,Q82)</f>
        <v>174266.74613463093</v>
      </c>
      <c r="T82" s="9">
        <f t="shared" si="39"/>
        <v>78</v>
      </c>
      <c r="U82" s="17">
        <f t="shared" ca="1" si="40"/>
        <v>47880</v>
      </c>
      <c r="V82" s="22"/>
      <c r="W82" s="22"/>
      <c r="X82" s="22"/>
    </row>
    <row r="83" spans="2:24" x14ac:dyDescent="0.2">
      <c r="B83" s="17">
        <f t="shared" ca="1" si="29"/>
        <v>47880</v>
      </c>
      <c r="C83" s="9">
        <f t="shared" si="41"/>
        <v>79</v>
      </c>
      <c r="D83" s="9"/>
      <c r="E83" s="13">
        <f t="shared" si="30"/>
        <v>1378.7839487309905</v>
      </c>
      <c r="F83" s="14">
        <f t="shared" si="42"/>
        <v>128351.89150409125</v>
      </c>
      <c r="G83" s="15">
        <f t="shared" si="31"/>
        <v>0.72619795151844457</v>
      </c>
      <c r="H83" s="13">
        <f t="shared" si="32"/>
        <v>2102.0484129835822</v>
      </c>
      <c r="I83" s="13">
        <f t="shared" si="33"/>
        <v>86227.162880081713</v>
      </c>
      <c r="J83" s="15">
        <f t="shared" si="26"/>
        <v>0.27380204848155543</v>
      </c>
      <c r="K83" s="13">
        <f t="shared" si="34"/>
        <v>48393.156090319753</v>
      </c>
      <c r="L83" s="13">
        <f t="shared" si="43"/>
        <v>1478052.7077361459</v>
      </c>
      <c r="M83" s="15">
        <f t="shared" si="35"/>
        <v>0.27380204848155548</v>
      </c>
      <c r="N83" s="13">
        <f t="shared" si="27"/>
        <v>788.53712618780867</v>
      </c>
      <c r="O83" s="13">
        <f t="shared" si="36"/>
        <v>37834.006789761828</v>
      </c>
      <c r="P83" s="15">
        <f t="shared" si="28"/>
        <v>0.17631733394642282</v>
      </c>
      <c r="Q83" s="7">
        <f t="shared" si="37"/>
        <v>214579.05438417284</v>
      </c>
      <c r="R83" s="7">
        <f t="shared" si="38"/>
        <v>176745.04759441101</v>
      </c>
      <c r="S83" s="13">
        <f>IF('Calc (3)'!$AD$32="Sim",R83,Q83)</f>
        <v>176745.04759441101</v>
      </c>
      <c r="T83" s="9">
        <f t="shared" si="39"/>
        <v>79</v>
      </c>
      <c r="U83" s="17">
        <f t="shared" ca="1" si="40"/>
        <v>47908</v>
      </c>
      <c r="V83" s="22"/>
      <c r="W83" s="22"/>
      <c r="X83" s="22"/>
    </row>
    <row r="84" spans="2:24" x14ac:dyDescent="0.2">
      <c r="B84" s="17">
        <f t="shared" ca="1" si="29"/>
        <v>47908</v>
      </c>
      <c r="C84" s="9">
        <f t="shared" si="41"/>
        <v>80</v>
      </c>
      <c r="D84" s="9"/>
      <c r="E84" s="13">
        <f t="shared" si="30"/>
        <v>1384.4012852090279</v>
      </c>
      <c r="F84" s="14">
        <f t="shared" si="42"/>
        <v>129736.29278930028</v>
      </c>
      <c r="G84" s="15">
        <f t="shared" si="31"/>
        <v>0.72379504894245272</v>
      </c>
      <c r="H84" s="13">
        <f t="shared" si="32"/>
        <v>2136.7094256235919</v>
      </c>
      <c r="I84" s="13">
        <f t="shared" si="33"/>
        <v>88363.872305705299</v>
      </c>
      <c r="J84" s="15">
        <f t="shared" si="26"/>
        <v>0.27620495105754728</v>
      </c>
      <c r="K84" s="13">
        <f t="shared" si="34"/>
        <v>49508.222600601628</v>
      </c>
      <c r="L84" s="13">
        <f t="shared" si="43"/>
        <v>1527560.9303367476</v>
      </c>
      <c r="M84" s="15">
        <f t="shared" si="35"/>
        <v>0.27620495105754722</v>
      </c>
      <c r="N84" s="13">
        <f t="shared" si="27"/>
        <v>801.47653692795529</v>
      </c>
      <c r="O84" s="13">
        <f t="shared" si="36"/>
        <v>38855.64970510354</v>
      </c>
      <c r="P84" s="15">
        <f t="shared" si="28"/>
        <v>0.17815506782481269</v>
      </c>
      <c r="Q84" s="7">
        <f t="shared" si="37"/>
        <v>218100.16509500545</v>
      </c>
      <c r="R84" s="7">
        <f t="shared" si="38"/>
        <v>179244.51538990191</v>
      </c>
      <c r="S84" s="13">
        <f>IF('Calc (3)'!$AD$32="Sim",R84,Q84)</f>
        <v>179244.51538990191</v>
      </c>
      <c r="T84" s="9">
        <f t="shared" si="39"/>
        <v>80</v>
      </c>
      <c r="U84" s="17">
        <f t="shared" ca="1" si="40"/>
        <v>47939</v>
      </c>
      <c r="V84" s="22"/>
      <c r="W84" s="22"/>
      <c r="X84" s="22"/>
    </row>
    <row r="85" spans="2:24" x14ac:dyDescent="0.2">
      <c r="B85" s="17">
        <f t="shared" ca="1" si="29"/>
        <v>47939</v>
      </c>
      <c r="C85" s="9">
        <f t="shared" si="41"/>
        <v>81</v>
      </c>
      <c r="D85" s="9"/>
      <c r="E85" s="13">
        <f t="shared" si="30"/>
        <v>1390.0415074112113</v>
      </c>
      <c r="F85" s="14">
        <f t="shared" si="42"/>
        <v>131126.33429671149</v>
      </c>
      <c r="G85" s="15">
        <f t="shared" si="31"/>
        <v>0.7214046391400728</v>
      </c>
      <c r="H85" s="13">
        <f t="shared" si="32"/>
        <v>2171.7715171501504</v>
      </c>
      <c r="I85" s="13">
        <f t="shared" si="33"/>
        <v>90535.643822855447</v>
      </c>
      <c r="J85" s="15">
        <f t="shared" si="26"/>
        <v>0.2785953608599272</v>
      </c>
      <c r="K85" s="13">
        <f t="shared" si="34"/>
        <v>50638.970751806657</v>
      </c>
      <c r="L85" s="13">
        <f t="shared" si="43"/>
        <v>1578199.9010885542</v>
      </c>
      <c r="M85" s="15">
        <f t="shared" si="35"/>
        <v>0.2785953608599272</v>
      </c>
      <c r="N85" s="13">
        <f t="shared" si="27"/>
        <v>814.56552091321191</v>
      </c>
      <c r="O85" s="13">
        <f t="shared" si="36"/>
        <v>39896.673071048688</v>
      </c>
      <c r="P85" s="15">
        <f t="shared" si="28"/>
        <v>0.17998879830228709</v>
      </c>
      <c r="Q85" s="7">
        <f t="shared" si="37"/>
        <v>221661.97811956683</v>
      </c>
      <c r="R85" s="7">
        <f t="shared" si="38"/>
        <v>181765.30504851814</v>
      </c>
      <c r="S85" s="13">
        <f>IF('Calc (3)'!$AD$32="Sim",R85,Q85)</f>
        <v>181765.30504851814</v>
      </c>
      <c r="T85" s="9">
        <f t="shared" si="39"/>
        <v>81</v>
      </c>
      <c r="U85" s="17">
        <f t="shared" ca="1" si="40"/>
        <v>47969</v>
      </c>
      <c r="V85" s="22"/>
      <c r="W85" s="22"/>
      <c r="X85" s="22"/>
    </row>
    <row r="86" spans="2:24" x14ac:dyDescent="0.2">
      <c r="B86" s="17">
        <f t="shared" ca="1" si="29"/>
        <v>47969</v>
      </c>
      <c r="C86" s="9">
        <f t="shared" si="41"/>
        <v>82</v>
      </c>
      <c r="D86" s="9"/>
      <c r="E86" s="13">
        <f t="shared" si="30"/>
        <v>1395.7047085768138</v>
      </c>
      <c r="F86" s="14">
        <f t="shared" si="42"/>
        <v>132522.0390052883</v>
      </c>
      <c r="G86" s="15">
        <f t="shared" si="31"/>
        <v>0.71902655289477913</v>
      </c>
      <c r="H86" s="13">
        <f t="shared" si="32"/>
        <v>2207.2389092669205</v>
      </c>
      <c r="I86" s="13">
        <f t="shared" si="33"/>
        <v>92742.882732122365</v>
      </c>
      <c r="J86" s="15">
        <f t="shared" si="26"/>
        <v>0.28097344710522087</v>
      </c>
      <c r="K86" s="13">
        <f t="shared" si="34"/>
        <v>51785.534159789648</v>
      </c>
      <c r="L86" s="13">
        <f t="shared" si="43"/>
        <v>1629985.4352483437</v>
      </c>
      <c r="M86" s="15">
        <f t="shared" si="35"/>
        <v>0.28097344710522082</v>
      </c>
      <c r="N86" s="13">
        <f t="shared" si="27"/>
        <v>827.80565198930799</v>
      </c>
      <c r="O86" s="13">
        <f t="shared" si="36"/>
        <v>40957.348572332616</v>
      </c>
      <c r="P86" s="15">
        <f t="shared" si="28"/>
        <v>0.18181858167902526</v>
      </c>
      <c r="Q86" s="7">
        <f t="shared" si="37"/>
        <v>225264.92173741056</v>
      </c>
      <c r="R86" s="7">
        <f t="shared" si="38"/>
        <v>184307.57316507795</v>
      </c>
      <c r="S86" s="13">
        <f>IF('Calc (3)'!$AD$32="Sim",R86,Q86)</f>
        <v>184307.57316507795</v>
      </c>
      <c r="T86" s="9">
        <f t="shared" si="39"/>
        <v>82</v>
      </c>
      <c r="U86" s="17">
        <f t="shared" ca="1" si="40"/>
        <v>48000</v>
      </c>
      <c r="V86" s="22"/>
      <c r="W86" s="22"/>
      <c r="X86" s="22"/>
    </row>
    <row r="87" spans="2:24" x14ac:dyDescent="0.2">
      <c r="B87" s="17">
        <f t="shared" ca="1" si="29"/>
        <v>48000</v>
      </c>
      <c r="C87" s="9">
        <f t="shared" si="41"/>
        <v>83</v>
      </c>
      <c r="D87" s="9"/>
      <c r="E87" s="13">
        <f t="shared" si="30"/>
        <v>1401.3909823249767</v>
      </c>
      <c r="F87" s="14">
        <f t="shared" si="42"/>
        <v>133923.42998761329</v>
      </c>
      <c r="G87" s="15">
        <f t="shared" si="31"/>
        <v>0.71666062603333602</v>
      </c>
      <c r="H87" s="13">
        <f t="shared" si="32"/>
        <v>2243.1158666443825</v>
      </c>
      <c r="I87" s="13">
        <f t="shared" si="33"/>
        <v>94985.998598766746</v>
      </c>
      <c r="J87" s="15">
        <f t="shared" si="26"/>
        <v>0.28333937396666398</v>
      </c>
      <c r="K87" s="13">
        <f t="shared" si="34"/>
        <v>52948.047421254072</v>
      </c>
      <c r="L87" s="13">
        <f t="shared" si="43"/>
        <v>1682933.4826695977</v>
      </c>
      <c r="M87" s="15">
        <f t="shared" si="35"/>
        <v>0.28333937396666398</v>
      </c>
      <c r="N87" s="13">
        <f t="shared" si="27"/>
        <v>841.19852001785716</v>
      </c>
      <c r="O87" s="13">
        <f t="shared" si="36"/>
        <v>42037.951177512587</v>
      </c>
      <c r="P87" s="15">
        <f t="shared" si="28"/>
        <v>0.18364447212644799</v>
      </c>
      <c r="Q87" s="7">
        <f t="shared" si="37"/>
        <v>228909.42858637995</v>
      </c>
      <c r="R87" s="7">
        <f t="shared" si="38"/>
        <v>186871.47740886736</v>
      </c>
      <c r="S87" s="13">
        <f>IF('Calc (3)'!$AD$32="Sim",R87,Q87)</f>
        <v>186871.47740886736</v>
      </c>
      <c r="T87" s="9">
        <f t="shared" si="39"/>
        <v>83</v>
      </c>
      <c r="U87" s="17">
        <f t="shared" ca="1" si="40"/>
        <v>48030</v>
      </c>
      <c r="V87" s="22"/>
      <c r="W87" s="22"/>
      <c r="X87" s="22"/>
    </row>
    <row r="88" spans="2:24" x14ac:dyDescent="0.2">
      <c r="B88" s="17">
        <f t="shared" ca="1" si="29"/>
        <v>48030</v>
      </c>
      <c r="C88" s="9">
        <f t="shared" si="41"/>
        <v>84</v>
      </c>
      <c r="D88" s="9">
        <v>7</v>
      </c>
      <c r="E88" s="13">
        <f t="shared" si="30"/>
        <v>1407.1004226562573</v>
      </c>
      <c r="F88" s="14">
        <f t="shared" si="42"/>
        <v>135330.53041026954</v>
      </c>
      <c r="G88" s="15">
        <f t="shared" si="31"/>
        <v>0.71430669921497869</v>
      </c>
      <c r="H88" s="13">
        <f t="shared" si="32"/>
        <v>2279.4066973514687</v>
      </c>
      <c r="I88" s="13">
        <f t="shared" si="33"/>
        <v>97265.405296118217</v>
      </c>
      <c r="J88" s="15">
        <f t="shared" si="26"/>
        <v>0.28569330078502131</v>
      </c>
      <c r="K88" s="13">
        <f t="shared" si="34"/>
        <v>54126.646120480436</v>
      </c>
      <c r="L88" s="13">
        <f t="shared" si="43"/>
        <v>1737060.1287900782</v>
      </c>
      <c r="M88" s="15">
        <f t="shared" si="35"/>
        <v>0.28569330078502131</v>
      </c>
      <c r="N88" s="13">
        <f t="shared" si="27"/>
        <v>854.7457310372389</v>
      </c>
      <c r="O88" s="13">
        <f t="shared" si="36"/>
        <v>43138.759175637679</v>
      </c>
      <c r="P88" s="15">
        <f t="shared" si="28"/>
        <v>0.18546652178004064</v>
      </c>
      <c r="Q88" s="7">
        <f t="shared" si="37"/>
        <v>232595.93570638765</v>
      </c>
      <c r="R88" s="7">
        <f t="shared" si="38"/>
        <v>189457.17653074997</v>
      </c>
      <c r="S88" s="13">
        <f>IF('Calc (3)'!$AD$32="Sim",R88,Q88)</f>
        <v>189457.17653074997</v>
      </c>
      <c r="T88" s="9">
        <f t="shared" si="39"/>
        <v>84</v>
      </c>
      <c r="U88" s="17">
        <f t="shared" ca="1" si="40"/>
        <v>48061</v>
      </c>
      <c r="V88" s="22"/>
      <c r="W88" s="22"/>
      <c r="X88" s="22"/>
    </row>
    <row r="89" spans="2:24" x14ac:dyDescent="0.2">
      <c r="B89" s="17">
        <f t="shared" ca="1" si="29"/>
        <v>48061</v>
      </c>
      <c r="C89" s="9">
        <f t="shared" si="41"/>
        <v>85</v>
      </c>
      <c r="D89" s="9"/>
      <c r="E89" s="13">
        <f t="shared" si="30"/>
        <v>1412.8331239541828</v>
      </c>
      <c r="F89" s="14">
        <f t="shared" si="42"/>
        <v>136743.36353422372</v>
      </c>
      <c r="G89" s="15">
        <f t="shared" si="31"/>
        <v>0.71196461773124653</v>
      </c>
      <c r="H89" s="13">
        <f t="shared" si="32"/>
        <v>2316.1157532915058</v>
      </c>
      <c r="I89" s="13">
        <f t="shared" si="33"/>
        <v>99581.521049409726</v>
      </c>
      <c r="J89" s="15">
        <f t="shared" si="26"/>
        <v>0.28803538226875347</v>
      </c>
      <c r="K89" s="13">
        <f t="shared" si="34"/>
        <v>55321.46683609928</v>
      </c>
      <c r="L89" s="13">
        <f t="shared" si="43"/>
        <v>1792381.5956261775</v>
      </c>
      <c r="M89" s="15">
        <f t="shared" si="35"/>
        <v>0.28803538226875347</v>
      </c>
      <c r="N89" s="13">
        <f t="shared" si="27"/>
        <v>868.44890742508971</v>
      </c>
      <c r="O89" s="13">
        <f t="shared" si="36"/>
        <v>44260.05421331033</v>
      </c>
      <c r="P89" s="15">
        <f t="shared" si="28"/>
        <v>0.18728478082741676</v>
      </c>
      <c r="Q89" s="7">
        <f t="shared" si="37"/>
        <v>236324.88458363333</v>
      </c>
      <c r="R89" s="7">
        <f t="shared" si="38"/>
        <v>192064.830370323</v>
      </c>
      <c r="S89" s="13">
        <f>IF('Calc (3)'!$AD$32="Sim",R89,Q89)</f>
        <v>192064.830370323</v>
      </c>
      <c r="T89" s="9">
        <f t="shared" si="39"/>
        <v>85</v>
      </c>
      <c r="U89" s="17">
        <f t="shared" ca="1" si="40"/>
        <v>48092</v>
      </c>
      <c r="V89" s="22"/>
      <c r="W89" s="22"/>
      <c r="X89" s="22"/>
    </row>
    <row r="90" spans="2:24" x14ac:dyDescent="0.2">
      <c r="B90" s="17">
        <f t="shared" ca="1" si="29"/>
        <v>48092</v>
      </c>
      <c r="C90" s="9">
        <f t="shared" si="41"/>
        <v>86</v>
      </c>
      <c r="D90" s="9"/>
      <c r="E90" s="13">
        <f t="shared" si="30"/>
        <v>1418.5891809868108</v>
      </c>
      <c r="F90" s="14">
        <f t="shared" si="42"/>
        <v>138161.95271521053</v>
      </c>
      <c r="G90" s="15">
        <f t="shared" si="31"/>
        <v>0.70963423131584391</v>
      </c>
      <c r="H90" s="13">
        <f t="shared" si="32"/>
        <v>2353.2474306425224</v>
      </c>
      <c r="I90" s="13">
        <f t="shared" si="33"/>
        <v>101934.76848005225</v>
      </c>
      <c r="J90" s="15">
        <f t="shared" si="26"/>
        <v>0.29036576868415609</v>
      </c>
      <c r="K90" s="13">
        <f t="shared" si="34"/>
        <v>56532.647147908836</v>
      </c>
      <c r="L90" s="13">
        <f t="shared" si="43"/>
        <v>1848914.2427740863</v>
      </c>
      <c r="M90" s="15">
        <f t="shared" si="35"/>
        <v>0.29036576868415603</v>
      </c>
      <c r="N90" s="13">
        <f t="shared" si="27"/>
        <v>882.30968806241708</v>
      </c>
      <c r="O90" s="13">
        <f t="shared" si="36"/>
        <v>45402.121332143288</v>
      </c>
      <c r="P90" s="15">
        <f t="shared" si="28"/>
        <v>0.18909929759190364</v>
      </c>
      <c r="Q90" s="7">
        <f t="shared" si="37"/>
        <v>240096.72119526265</v>
      </c>
      <c r="R90" s="7">
        <f t="shared" si="38"/>
        <v>194694.59986311937</v>
      </c>
      <c r="S90" s="13">
        <f>IF('Calc (3)'!$AD$32="Sim",R90,Q90)</f>
        <v>194694.59986311937</v>
      </c>
      <c r="T90" s="9">
        <f t="shared" si="39"/>
        <v>86</v>
      </c>
      <c r="U90" s="17">
        <f t="shared" ca="1" si="40"/>
        <v>48122</v>
      </c>
      <c r="V90" s="22"/>
      <c r="W90" s="22"/>
      <c r="X90" s="22"/>
    </row>
    <row r="91" spans="2:24" x14ac:dyDescent="0.2">
      <c r="B91" s="17">
        <f t="shared" ca="1" si="29"/>
        <v>48122</v>
      </c>
      <c r="C91" s="9">
        <f t="shared" si="41"/>
        <v>87</v>
      </c>
      <c r="D91" s="9"/>
      <c r="E91" s="13">
        <f t="shared" si="30"/>
        <v>1424.3686889082953</v>
      </c>
      <c r="F91" s="14">
        <f t="shared" si="42"/>
        <v>139586.32140411882</v>
      </c>
      <c r="G91" s="15">
        <f t="shared" si="31"/>
        <v>0.70731539396394727</v>
      </c>
      <c r="H91" s="13">
        <f t="shared" si="32"/>
        <v>2390.8061703019466</v>
      </c>
      <c r="I91" s="13">
        <f t="shared" si="33"/>
        <v>104325.5746503542</v>
      </c>
      <c r="J91" s="15">
        <f t="shared" si="26"/>
        <v>0.29268460603605273</v>
      </c>
      <c r="K91" s="13">
        <f t="shared" si="34"/>
        <v>57760.325643737888</v>
      </c>
      <c r="L91" s="13">
        <f t="shared" si="43"/>
        <v>1906674.5684178241</v>
      </c>
      <c r="M91" s="15">
        <f t="shared" si="35"/>
        <v>0.29268460603605273</v>
      </c>
      <c r="N91" s="13">
        <f t="shared" si="27"/>
        <v>896.32972849935311</v>
      </c>
      <c r="O91" s="13">
        <f t="shared" si="36"/>
        <v>46565.249006616184</v>
      </c>
      <c r="P91" s="15">
        <f t="shared" si="28"/>
        <v>0.1909101186119137</v>
      </c>
      <c r="Q91" s="7">
        <f t="shared" si="37"/>
        <v>243911.89605447289</v>
      </c>
      <c r="R91" s="7">
        <f t="shared" si="38"/>
        <v>197346.64704785671</v>
      </c>
      <c r="S91" s="13">
        <f>IF('Calc (3)'!$AD$32="Sim",R91,Q91)</f>
        <v>197346.64704785671</v>
      </c>
      <c r="T91" s="9">
        <f t="shared" si="39"/>
        <v>87</v>
      </c>
      <c r="U91" s="17">
        <f t="shared" ca="1" si="40"/>
        <v>48153</v>
      </c>
      <c r="V91" s="22"/>
      <c r="W91" s="22"/>
      <c r="X91" s="22"/>
    </row>
    <row r="92" spans="2:24" x14ac:dyDescent="0.2">
      <c r="B92" s="17">
        <f t="shared" ca="1" si="29"/>
        <v>48153</v>
      </c>
      <c r="C92" s="9">
        <f t="shared" si="41"/>
        <v>88</v>
      </c>
      <c r="D92" s="9"/>
      <c r="E92" s="13">
        <f t="shared" si="30"/>
        <v>1430.1717432604607</v>
      </c>
      <c r="F92" s="14">
        <f t="shared" si="42"/>
        <v>141016.49314737928</v>
      </c>
      <c r="G92" s="15">
        <f t="shared" si="31"/>
        <v>0.7050079637604133</v>
      </c>
      <c r="H92" s="13">
        <f t="shared" si="32"/>
        <v>2428.7964583357534</v>
      </c>
      <c r="I92" s="13">
        <f t="shared" si="33"/>
        <v>106754.37110868996</v>
      </c>
      <c r="J92" s="15">
        <f t="shared" si="26"/>
        <v>0.2949920362395867</v>
      </c>
      <c r="K92" s="13">
        <f t="shared" si="34"/>
        <v>59004.641926354001</v>
      </c>
      <c r="L92" s="13">
        <f t="shared" si="43"/>
        <v>1965679.2103441781</v>
      </c>
      <c r="M92" s="15">
        <f t="shared" si="35"/>
        <v>0.29499203623958675</v>
      </c>
      <c r="N92" s="13">
        <f t="shared" si="27"/>
        <v>910.51070112256593</v>
      </c>
      <c r="O92" s="13">
        <f t="shared" si="36"/>
        <v>47749.729182335839</v>
      </c>
      <c r="P92" s="15">
        <f t="shared" si="28"/>
        <v>0.19271728871634758</v>
      </c>
      <c r="Q92" s="7">
        <f t="shared" si="37"/>
        <v>247770.86425606912</v>
      </c>
      <c r="R92" s="7">
        <f t="shared" si="38"/>
        <v>200021.13507373328</v>
      </c>
      <c r="S92" s="13">
        <f>IF('Calc (3)'!$AD$32="Sim",R92,Q92)</f>
        <v>200021.13507373328</v>
      </c>
      <c r="T92" s="9">
        <f t="shared" si="39"/>
        <v>88</v>
      </c>
      <c r="U92" s="17">
        <f t="shared" ca="1" si="40"/>
        <v>48183</v>
      </c>
      <c r="V92" s="22"/>
      <c r="W92" s="22"/>
      <c r="X92" s="22"/>
    </row>
    <row r="93" spans="2:24" x14ac:dyDescent="0.2">
      <c r="B93" s="17">
        <f t="shared" ca="1" si="29"/>
        <v>48183</v>
      </c>
      <c r="C93" s="9">
        <f t="shared" si="41"/>
        <v>89</v>
      </c>
      <c r="D93" s="9"/>
      <c r="E93" s="13">
        <f t="shared" si="30"/>
        <v>1435.9984399743801</v>
      </c>
      <c r="F93" s="14">
        <f t="shared" si="42"/>
        <v>142452.49158735367</v>
      </c>
      <c r="G93" s="15">
        <f t="shared" si="31"/>
        <v>0.70271180271638189</v>
      </c>
      <c r="H93" s="13">
        <f t="shared" si="32"/>
        <v>2467.2228264321011</v>
      </c>
      <c r="I93" s="13">
        <f t="shared" si="33"/>
        <v>109221.59393512206</v>
      </c>
      <c r="J93" s="15">
        <f t="shared" si="26"/>
        <v>0.29728819728361811</v>
      </c>
      <c r="K93" s="13">
        <f t="shared" si="34"/>
        <v>60265.73662041736</v>
      </c>
      <c r="L93" s="13">
        <f t="shared" si="43"/>
        <v>2025944.9469645955</v>
      </c>
      <c r="M93" s="15">
        <f t="shared" si="35"/>
        <v>0.29728819728361816</v>
      </c>
      <c r="N93" s="13">
        <f t="shared" si="27"/>
        <v>924.85429532434136</v>
      </c>
      <c r="O93" s="13">
        <f t="shared" si="36"/>
        <v>48955.857314704568</v>
      </c>
      <c r="P93" s="15">
        <f t="shared" si="28"/>
        <v>0.19452085109625877</v>
      </c>
      <c r="Q93" s="7">
        <f t="shared" si="37"/>
        <v>251674.08552247559</v>
      </c>
      <c r="R93" s="7">
        <f t="shared" si="38"/>
        <v>202718.22820777103</v>
      </c>
      <c r="S93" s="13">
        <f>IF('Calc (3)'!$AD$32="Sim",R93,Q93)</f>
        <v>202718.22820777103</v>
      </c>
      <c r="T93" s="9">
        <f t="shared" si="39"/>
        <v>89</v>
      </c>
      <c r="U93" s="17">
        <f t="shared" ca="1" si="40"/>
        <v>48214</v>
      </c>
      <c r="V93" s="22"/>
      <c r="W93" s="22"/>
      <c r="X93" s="22"/>
    </row>
    <row r="94" spans="2:24" x14ac:dyDescent="0.2">
      <c r="B94" s="17">
        <f t="shared" ca="1" si="29"/>
        <v>48214</v>
      </c>
      <c r="C94" s="9">
        <f t="shared" si="41"/>
        <v>90</v>
      </c>
      <c r="D94" s="9"/>
      <c r="E94" s="13">
        <f t="shared" si="30"/>
        <v>1441.8488753719616</v>
      </c>
      <c r="F94" s="14">
        <f t="shared" si="42"/>
        <v>143894.34046272564</v>
      </c>
      <c r="G94" s="15">
        <f t="shared" si="31"/>
        <v>0.70042677661379626</v>
      </c>
      <c r="H94" s="13">
        <f t="shared" si="32"/>
        <v>2506.0898523594942</v>
      </c>
      <c r="I94" s="13">
        <f t="shared" si="33"/>
        <v>111727.68378748155</v>
      </c>
      <c r="J94" s="15">
        <f t="shared" si="26"/>
        <v>0.29957322338620374</v>
      </c>
      <c r="K94" s="13">
        <f t="shared" si="34"/>
        <v>61543.751379480731</v>
      </c>
      <c r="L94" s="13">
        <f t="shared" si="43"/>
        <v>2087488.6983440763</v>
      </c>
      <c r="M94" s="15">
        <f t="shared" si="35"/>
        <v>0.29957322338620374</v>
      </c>
      <c r="N94" s="13">
        <f t="shared" si="27"/>
        <v>939.36221767335769</v>
      </c>
      <c r="O94" s="13">
        <f t="shared" si="36"/>
        <v>50183.932408000692</v>
      </c>
      <c r="P94" s="15">
        <f t="shared" si="28"/>
        <v>0.19632084737299407</v>
      </c>
      <c r="Q94" s="7">
        <f t="shared" si="37"/>
        <v>255622.02425020706</v>
      </c>
      <c r="R94" s="7">
        <f t="shared" si="38"/>
        <v>205438.09184220637</v>
      </c>
      <c r="S94" s="13">
        <f>IF('Calc (3)'!$AD$32="Sim",R94,Q94)</f>
        <v>205438.09184220637</v>
      </c>
      <c r="T94" s="9">
        <f t="shared" si="39"/>
        <v>90</v>
      </c>
      <c r="U94" s="17">
        <f t="shared" ca="1" si="40"/>
        <v>48245</v>
      </c>
      <c r="V94" s="22"/>
      <c r="W94" s="22"/>
      <c r="X94" s="22"/>
    </row>
    <row r="95" spans="2:24" x14ac:dyDescent="0.2">
      <c r="B95" s="17">
        <f t="shared" ca="1" si="29"/>
        <v>48245</v>
      </c>
      <c r="C95" s="9">
        <f t="shared" si="41"/>
        <v>91</v>
      </c>
      <c r="D95" s="9"/>
      <c r="E95" s="13">
        <f t="shared" si="30"/>
        <v>1447.7231461675412</v>
      </c>
      <c r="F95" s="14">
        <f t="shared" si="42"/>
        <v>145342.06360889319</v>
      </c>
      <c r="G95" s="15">
        <f t="shared" si="31"/>
        <v>0.69815275485739714</v>
      </c>
      <c r="H95" s="13">
        <f t="shared" si="32"/>
        <v>2545.4021604295331</v>
      </c>
      <c r="I95" s="13">
        <f t="shared" si="33"/>
        <v>114273.08594791108</v>
      </c>
      <c r="J95" s="15">
        <f t="shared" si="26"/>
        <v>0.30184724514260286</v>
      </c>
      <c r="K95" s="13">
        <f t="shared" si="34"/>
        <v>62838.828893035534</v>
      </c>
      <c r="L95" s="13">
        <f t="shared" si="43"/>
        <v>2150327.5272371117</v>
      </c>
      <c r="M95" s="15">
        <f t="shared" si="35"/>
        <v>0.30184724514260286</v>
      </c>
      <c r="N95" s="13">
        <f t="shared" si="27"/>
        <v>954.03619208716304</v>
      </c>
      <c r="O95" s="13">
        <f t="shared" si="36"/>
        <v>51434.25705487543</v>
      </c>
      <c r="P95" s="15">
        <f t="shared" si="28"/>
        <v>0.1981173176630108</v>
      </c>
      <c r="Q95" s="7">
        <f t="shared" si="37"/>
        <v>259615.14955680416</v>
      </c>
      <c r="R95" s="7">
        <f t="shared" si="38"/>
        <v>208180.89250192873</v>
      </c>
      <c r="S95" s="13">
        <f>IF('Calc (3)'!$AD$32="Sim",R95,Q95)</f>
        <v>208180.89250192873</v>
      </c>
      <c r="T95" s="9">
        <f t="shared" si="39"/>
        <v>91</v>
      </c>
      <c r="U95" s="17">
        <f t="shared" ca="1" si="40"/>
        <v>48274</v>
      </c>
      <c r="V95" s="22"/>
      <c r="W95" s="22"/>
      <c r="X95" s="22"/>
    </row>
    <row r="96" spans="2:24" x14ac:dyDescent="0.2">
      <c r="B96" s="17">
        <f t="shared" ca="1" si="29"/>
        <v>48274</v>
      </c>
      <c r="C96" s="9">
        <f t="shared" si="41"/>
        <v>92</v>
      </c>
      <c r="D96" s="9"/>
      <c r="E96" s="13">
        <f t="shared" si="30"/>
        <v>1453.6213494694807</v>
      </c>
      <c r="F96" s="14">
        <f t="shared" si="42"/>
        <v>146795.68495836266</v>
      </c>
      <c r="G96" s="15">
        <f t="shared" si="31"/>
        <v>0.69588961033377283</v>
      </c>
      <c r="H96" s="13">
        <f t="shared" si="32"/>
        <v>2585.1644219642799</v>
      </c>
      <c r="I96" s="13">
        <f t="shared" si="33"/>
        <v>116858.25036987536</v>
      </c>
      <c r="J96" s="15">
        <f t="shared" si="26"/>
        <v>0.30411038966622717</v>
      </c>
      <c r="K96" s="13">
        <f t="shared" si="34"/>
        <v>64151.112893604615</v>
      </c>
      <c r="L96" s="13">
        <f t="shared" si="43"/>
        <v>2214478.6401307164</v>
      </c>
      <c r="M96" s="15">
        <f t="shared" si="35"/>
        <v>0.30411038966622717</v>
      </c>
      <c r="N96" s="13">
        <f t="shared" si="27"/>
        <v>968.87796000637832</v>
      </c>
      <c r="O96" s="13">
        <f t="shared" si="36"/>
        <v>52707.137476270611</v>
      </c>
      <c r="P96" s="15">
        <f t="shared" si="28"/>
        <v>0.19991030063955798</v>
      </c>
      <c r="Q96" s="7">
        <f t="shared" si="37"/>
        <v>263653.93532823789</v>
      </c>
      <c r="R96" s="7">
        <f t="shared" si="38"/>
        <v>210946.79785196728</v>
      </c>
      <c r="S96" s="13">
        <f>IF('Calc (3)'!$AD$32="Sim",R96,Q96)</f>
        <v>210946.79785196728</v>
      </c>
      <c r="T96" s="9">
        <f t="shared" si="39"/>
        <v>92</v>
      </c>
      <c r="U96" s="17">
        <f t="shared" ca="1" si="40"/>
        <v>48305</v>
      </c>
      <c r="V96" s="22"/>
      <c r="W96" s="22"/>
      <c r="X96" s="22"/>
    </row>
    <row r="97" spans="2:24" x14ac:dyDescent="0.2">
      <c r="B97" s="17">
        <f t="shared" ca="1" si="29"/>
        <v>48305</v>
      </c>
      <c r="C97" s="9">
        <f t="shared" si="41"/>
        <v>93</v>
      </c>
      <c r="D97" s="9"/>
      <c r="E97" s="13">
        <f t="shared" si="30"/>
        <v>1459.5435827817732</v>
      </c>
      <c r="F97" s="14">
        <f t="shared" si="42"/>
        <v>148255.22854114443</v>
      </c>
      <c r="G97" s="15">
        <f t="shared" si="31"/>
        <v>0.69363721927707656</v>
      </c>
      <c r="H97" s="13">
        <f t="shared" si="32"/>
        <v>2625.381355768297</v>
      </c>
      <c r="I97" s="13">
        <f t="shared" si="33"/>
        <v>119483.63172564366</v>
      </c>
      <c r="J97" s="15">
        <f t="shared" si="26"/>
        <v>0.30636278072292344</v>
      </c>
      <c r="K97" s="13">
        <f t="shared" si="34"/>
        <v>65480.748163881828</v>
      </c>
      <c r="L97" s="13">
        <f t="shared" si="43"/>
        <v>2279959.3882945981</v>
      </c>
      <c r="M97" s="15">
        <f t="shared" si="35"/>
        <v>0.30636278072292344</v>
      </c>
      <c r="N97" s="13">
        <f t="shared" si="27"/>
        <v>983.88928057064118</v>
      </c>
      <c r="O97" s="13">
        <f t="shared" si="36"/>
        <v>54002.88356176173</v>
      </c>
      <c r="P97" s="15">
        <f t="shared" si="28"/>
        <v>0.20169983359139812</v>
      </c>
      <c r="Q97" s="7">
        <f t="shared" si="37"/>
        <v>267738.86026678799</v>
      </c>
      <c r="R97" s="7">
        <f t="shared" si="38"/>
        <v>213735.97670502626</v>
      </c>
      <c r="S97" s="13">
        <f>IF('Calc (3)'!$AD$32="Sim",R97,Q97)</f>
        <v>213735.97670502626</v>
      </c>
      <c r="T97" s="9">
        <f t="shared" si="39"/>
        <v>93</v>
      </c>
      <c r="U97" s="17">
        <f t="shared" ca="1" si="40"/>
        <v>48335</v>
      </c>
      <c r="V97" s="22"/>
      <c r="W97" s="22"/>
      <c r="X97" s="22"/>
    </row>
    <row r="98" spans="2:24" x14ac:dyDescent="0.2">
      <c r="B98" s="17">
        <f t="shared" ca="1" si="29"/>
        <v>48335</v>
      </c>
      <c r="C98" s="9">
        <f t="shared" si="41"/>
        <v>94</v>
      </c>
      <c r="D98" s="9"/>
      <c r="E98" s="13">
        <f t="shared" si="30"/>
        <v>1465.4899440056558</v>
      </c>
      <c r="F98" s="14">
        <f t="shared" si="42"/>
        <v>149720.71848515008</v>
      </c>
      <c r="G98" s="15">
        <f t="shared" si="31"/>
        <v>0.69139546114104378</v>
      </c>
      <c r="H98" s="13">
        <f t="shared" si="32"/>
        <v>2666.0577286054063</v>
      </c>
      <c r="I98" s="13">
        <f t="shared" si="33"/>
        <v>122149.68945424906</v>
      </c>
      <c r="J98" s="15">
        <f t="shared" si="26"/>
        <v>0.30860453885895622</v>
      </c>
      <c r="K98" s="13">
        <f t="shared" si="34"/>
        <v>66827.880543918815</v>
      </c>
      <c r="L98" s="13">
        <f t="shared" si="43"/>
        <v>2346787.2688385169</v>
      </c>
      <c r="M98" s="15">
        <f t="shared" si="35"/>
        <v>0.30860453885895617</v>
      </c>
      <c r="N98" s="13">
        <f t="shared" si="27"/>
        <v>999.07193079630531</v>
      </c>
      <c r="O98" s="13">
        <f t="shared" si="36"/>
        <v>55321.808910330175</v>
      </c>
      <c r="P98" s="15">
        <f t="shared" si="28"/>
        <v>0.2034859524787325</v>
      </c>
      <c r="Q98" s="7">
        <f t="shared" si="37"/>
        <v>271870.40793939907</v>
      </c>
      <c r="R98" s="7">
        <f t="shared" si="38"/>
        <v>216548.59902906889</v>
      </c>
      <c r="S98" s="13">
        <f>IF('Calc (3)'!$AD$32="Sim",R98,Q98)</f>
        <v>216548.59902906889</v>
      </c>
      <c r="T98" s="9">
        <f t="shared" si="39"/>
        <v>94</v>
      </c>
      <c r="U98" s="17">
        <f t="shared" ca="1" si="40"/>
        <v>48366</v>
      </c>
      <c r="V98" s="22"/>
      <c r="W98" s="22"/>
      <c r="X98" s="22"/>
    </row>
    <row r="99" spans="2:24" x14ac:dyDescent="0.2">
      <c r="B99" s="17">
        <f t="shared" ca="1" si="29"/>
        <v>48366</v>
      </c>
      <c r="C99" s="9">
        <f t="shared" si="41"/>
        <v>95</v>
      </c>
      <c r="D99" s="9"/>
      <c r="E99" s="13">
        <f t="shared" si="30"/>
        <v>1471.4605314412267</v>
      </c>
      <c r="F99" s="14">
        <f t="shared" si="42"/>
        <v>151192.17901659131</v>
      </c>
      <c r="G99" s="15">
        <f t="shared" si="31"/>
        <v>0.68916421847696796</v>
      </c>
      <c r="H99" s="13">
        <f t="shared" si="32"/>
        <v>2707.1983556802006</v>
      </c>
      <c r="I99" s="13">
        <f t="shared" si="33"/>
        <v>124856.88780992926</v>
      </c>
      <c r="J99" s="15">
        <f t="shared" si="26"/>
        <v>0.31083578152303204</v>
      </c>
      <c r="K99" s="13">
        <f t="shared" si="34"/>
        <v>68192.656938359229</v>
      </c>
      <c r="L99" s="13">
        <f t="shared" si="43"/>
        <v>2414979.925776876</v>
      </c>
      <c r="M99" s="15">
        <f t="shared" si="35"/>
        <v>0.31083578152303204</v>
      </c>
      <c r="N99" s="13">
        <f t="shared" si="27"/>
        <v>1014.4277057559181</v>
      </c>
      <c r="O99" s="13">
        <f t="shared" si="36"/>
        <v>56664.230871569947</v>
      </c>
      <c r="P99" s="15">
        <f t="shared" si="28"/>
        <v>0.20526869198648609</v>
      </c>
      <c r="Q99" s="7">
        <f t="shared" si="37"/>
        <v>276049.06682652049</v>
      </c>
      <c r="R99" s="7">
        <f t="shared" si="38"/>
        <v>219384.83595495054</v>
      </c>
      <c r="S99" s="13">
        <f>IF('Calc (3)'!$AD$32="Sim",R99,Q99)</f>
        <v>219384.83595495054</v>
      </c>
      <c r="T99" s="9">
        <f t="shared" si="39"/>
        <v>95</v>
      </c>
      <c r="U99" s="17">
        <f t="shared" ca="1" si="40"/>
        <v>48396</v>
      </c>
      <c r="V99" s="22"/>
      <c r="W99" s="22"/>
      <c r="X99" s="22"/>
    </row>
    <row r="100" spans="2:24" x14ac:dyDescent="0.2">
      <c r="B100" s="17">
        <f t="shared" ca="1" si="29"/>
        <v>48396</v>
      </c>
      <c r="C100" s="9">
        <f t="shared" si="41"/>
        <v>96</v>
      </c>
      <c r="D100" s="9">
        <v>8</v>
      </c>
      <c r="E100" s="13">
        <f t="shared" si="30"/>
        <v>1477.4554437890713</v>
      </c>
      <c r="F100" s="14">
        <f t="shared" si="42"/>
        <v>152669.63446038039</v>
      </c>
      <c r="G100" s="15">
        <f t="shared" si="31"/>
        <v>0.68694337681731144</v>
      </c>
      <c r="H100" s="13">
        <f t="shared" si="32"/>
        <v>2748.8081011243798</v>
      </c>
      <c r="I100" s="13">
        <f t="shared" si="33"/>
        <v>127605.69591105364</v>
      </c>
      <c r="J100" s="15">
        <f t="shared" si="26"/>
        <v>0.31305662318268856</v>
      </c>
      <c r="K100" s="13">
        <f t="shared" si="34"/>
        <v>69575.225323720835</v>
      </c>
      <c r="L100" s="13">
        <f t="shared" si="43"/>
        <v>2484555.1511005969</v>
      </c>
      <c r="M100" s="15">
        <f t="shared" si="35"/>
        <v>0.31305662318268856</v>
      </c>
      <c r="N100" s="13">
        <f t="shared" si="27"/>
        <v>1029.9584187594896</v>
      </c>
      <c r="O100" s="13">
        <f t="shared" si="36"/>
        <v>58030.470587332704</v>
      </c>
      <c r="P100" s="15">
        <f t="shared" si="28"/>
        <v>0.2070480855750951</v>
      </c>
      <c r="Q100" s="7">
        <f t="shared" si="37"/>
        <v>280275.33037143393</v>
      </c>
      <c r="R100" s="7">
        <f t="shared" si="38"/>
        <v>222244.85978410122</v>
      </c>
      <c r="S100" s="13">
        <f>IF('Calc (3)'!$AD$32="Sim",R100,Q100)</f>
        <v>222244.85978410122</v>
      </c>
      <c r="T100" s="9">
        <f t="shared" si="39"/>
        <v>96</v>
      </c>
      <c r="U100" s="17">
        <f t="shared" ca="1" si="40"/>
        <v>48427</v>
      </c>
      <c r="V100" s="22"/>
      <c r="W100" s="22"/>
      <c r="X100" s="22"/>
    </row>
    <row r="101" spans="2:24" x14ac:dyDescent="0.2">
      <c r="B101" s="17">
        <f t="shared" ca="1" si="29"/>
        <v>48427</v>
      </c>
      <c r="C101" s="9">
        <f t="shared" si="41"/>
        <v>97</v>
      </c>
      <c r="D101" s="9"/>
      <c r="E101" s="13">
        <f t="shared" si="30"/>
        <v>1483.4747801518931</v>
      </c>
      <c r="F101" s="14">
        <f t="shared" si="42"/>
        <v>154153.10924053227</v>
      </c>
      <c r="G101" s="15">
        <f t="shared" si="31"/>
        <v>0.68473282456465046</v>
      </c>
      <c r="H101" s="13">
        <f t="shared" si="32"/>
        <v>2790.8918784879361</v>
      </c>
      <c r="I101" s="13">
        <f t="shared" si="33"/>
        <v>130396.58778954158</v>
      </c>
      <c r="J101" s="15">
        <f t="shared" si="26"/>
        <v>0.31526717543534954</v>
      </c>
      <c r="K101" s="13">
        <f t="shared" si="34"/>
        <v>70975.734755725716</v>
      </c>
      <c r="L101" s="13">
        <f t="shared" si="43"/>
        <v>2555530.8858563225</v>
      </c>
      <c r="M101" s="15">
        <f t="shared" si="35"/>
        <v>0.3152671754353496</v>
      </c>
      <c r="N101" s="13">
        <f t="shared" si="27"/>
        <v>1045.6659015375733</v>
      </c>
      <c r="O101" s="13">
        <f t="shared" si="36"/>
        <v>59420.853033815802</v>
      </c>
      <c r="P101" s="15">
        <f t="shared" si="28"/>
        <v>0.20882416552893279</v>
      </c>
      <c r="Q101" s="7">
        <f t="shared" si="37"/>
        <v>284549.69703007379</v>
      </c>
      <c r="R101" s="7">
        <f t="shared" si="38"/>
        <v>225128.84399625799</v>
      </c>
      <c r="S101" s="13">
        <f>IF('Calc (3)'!$AD$32="Sim",R101,Q101)</f>
        <v>225128.84399625799</v>
      </c>
      <c r="T101" s="9">
        <f t="shared" si="39"/>
        <v>97</v>
      </c>
      <c r="U101" s="17">
        <f t="shared" ca="1" si="40"/>
        <v>48458</v>
      </c>
      <c r="V101" s="22"/>
      <c r="W101" s="22"/>
      <c r="X101" s="22"/>
    </row>
    <row r="102" spans="2:24" x14ac:dyDescent="0.2">
      <c r="B102" s="17">
        <f t="shared" ca="1" si="29"/>
        <v>48458</v>
      </c>
      <c r="C102" s="9">
        <f t="shared" si="41"/>
        <v>98</v>
      </c>
      <c r="D102" s="9"/>
      <c r="E102" s="13">
        <f t="shared" si="30"/>
        <v>1489.5186400361524</v>
      </c>
      <c r="F102" s="14">
        <f t="shared" si="42"/>
        <v>155642.62788056841</v>
      </c>
      <c r="G102" s="15">
        <f t="shared" si="31"/>
        <v>0.68253245288567055</v>
      </c>
      <c r="H102" s="13">
        <f t="shared" si="32"/>
        <v>2833.4546512352495</v>
      </c>
      <c r="I102" s="13">
        <f t="shared" si="33"/>
        <v>133230.04244077683</v>
      </c>
      <c r="J102" s="15">
        <f t="shared" si="26"/>
        <v>0.31746754711432945</v>
      </c>
      <c r="K102" s="13">
        <f t="shared" si="34"/>
        <v>72394.335376678704</v>
      </c>
      <c r="L102" s="13">
        <f t="shared" si="43"/>
        <v>2627925.221233001</v>
      </c>
      <c r="M102" s="15">
        <f t="shared" si="35"/>
        <v>0.3174675471143294</v>
      </c>
      <c r="N102" s="13">
        <f t="shared" si="27"/>
        <v>1061.5520044261748</v>
      </c>
      <c r="O102" s="13">
        <f t="shared" si="36"/>
        <v>60835.707064098096</v>
      </c>
      <c r="P102" s="15">
        <f t="shared" si="28"/>
        <v>0.2105969630025013</v>
      </c>
      <c r="Q102" s="7">
        <f t="shared" si="37"/>
        <v>288872.67032134521</v>
      </c>
      <c r="R102" s="7">
        <f t="shared" si="38"/>
        <v>228036.96325724712</v>
      </c>
      <c r="S102" s="13">
        <f>IF('Calc (3)'!$AD$32="Sim",R102,Q102)</f>
        <v>228036.96325724712</v>
      </c>
      <c r="T102" s="9">
        <f t="shared" si="39"/>
        <v>98</v>
      </c>
      <c r="U102" s="17">
        <f t="shared" ca="1" si="40"/>
        <v>48488</v>
      </c>
      <c r="V102" s="22"/>
      <c r="W102" s="22"/>
      <c r="X102" s="22"/>
    </row>
    <row r="103" spans="2:24" x14ac:dyDescent="0.2">
      <c r="B103" s="17">
        <f t="shared" ca="1" si="29"/>
        <v>48488</v>
      </c>
      <c r="C103" s="9">
        <f t="shared" si="41"/>
        <v>99</v>
      </c>
      <c r="D103" s="9"/>
      <c r="E103" s="13">
        <f t="shared" si="30"/>
        <v>1495.5871233537111</v>
      </c>
      <c r="F103" s="14">
        <f t="shared" si="42"/>
        <v>157138.21500392212</v>
      </c>
      <c r="G103" s="15">
        <f t="shared" si="31"/>
        <v>0.68034215560994504</v>
      </c>
      <c r="H103" s="13">
        <f t="shared" si="32"/>
        <v>2876.501433246141</v>
      </c>
      <c r="I103" s="13">
        <f t="shared" si="33"/>
        <v>136106.54387402296</v>
      </c>
      <c r="J103" s="15">
        <f t="shared" si="26"/>
        <v>0.31965784439005496</v>
      </c>
      <c r="K103" s="13">
        <f t="shared" si="34"/>
        <v>73831.178422894853</v>
      </c>
      <c r="L103" s="13">
        <f t="shared" si="43"/>
        <v>2701756.3996558958</v>
      </c>
      <c r="M103" s="15">
        <f t="shared" si="35"/>
        <v>0.31965784439005501</v>
      </c>
      <c r="N103" s="13">
        <f t="shared" si="27"/>
        <v>1077.6185965535103</v>
      </c>
      <c r="O103" s="13">
        <f t="shared" si="36"/>
        <v>62275.365451128106</v>
      </c>
      <c r="P103" s="15">
        <f t="shared" si="28"/>
        <v>0.21236650806450896</v>
      </c>
      <c r="Q103" s="7">
        <f t="shared" si="37"/>
        <v>293244.75887794507</v>
      </c>
      <c r="R103" s="7">
        <f t="shared" si="38"/>
        <v>230969.39342681697</v>
      </c>
      <c r="S103" s="13">
        <f>IF('Calc (3)'!$AD$32="Sim",R103,Q103)</f>
        <v>230969.39342681697</v>
      </c>
      <c r="T103" s="9">
        <f t="shared" si="39"/>
        <v>99</v>
      </c>
      <c r="U103" s="17">
        <f t="shared" ca="1" si="40"/>
        <v>48519</v>
      </c>
      <c r="V103" s="22"/>
      <c r="W103" s="22"/>
      <c r="X103" s="22"/>
    </row>
    <row r="104" spans="2:24" x14ac:dyDescent="0.2">
      <c r="B104" s="17">
        <f t="shared" ca="1" si="29"/>
        <v>48519</v>
      </c>
      <c r="C104" s="9">
        <f t="shared" si="41"/>
        <v>100</v>
      </c>
      <c r="D104" s="9"/>
      <c r="E104" s="13">
        <f t="shared" si="30"/>
        <v>1501.6803304234847</v>
      </c>
      <c r="F104" s="14">
        <f t="shared" si="42"/>
        <v>158639.89533434561</v>
      </c>
      <c r="G104" s="15">
        <f t="shared" si="31"/>
        <v>0.67816182913324596</v>
      </c>
      <c r="H104" s="13">
        <f t="shared" si="32"/>
        <v>2920.0372893219287</v>
      </c>
      <c r="I104" s="13">
        <f t="shared" si="33"/>
        <v>139026.58116334488</v>
      </c>
      <c r="J104" s="15">
        <f t="shared" si="26"/>
        <v>0.32183817086675404</v>
      </c>
      <c r="K104" s="13">
        <f t="shared" si="34"/>
        <v>75286.416232175601</v>
      </c>
      <c r="L104" s="13">
        <f t="shared" si="43"/>
        <v>2777042.8158880714</v>
      </c>
      <c r="M104" s="15">
        <f t="shared" si="35"/>
        <v>0.32183817086675409</v>
      </c>
      <c r="N104" s="13">
        <f t="shared" si="27"/>
        <v>1093.8675660286281</v>
      </c>
      <c r="O104" s="13">
        <f t="shared" si="36"/>
        <v>63740.164931169274</v>
      </c>
      <c r="P104" s="15">
        <f t="shared" si="28"/>
        <v>0.21413282973994494</v>
      </c>
      <c r="Q104" s="7">
        <f t="shared" si="37"/>
        <v>297666.47649769048</v>
      </c>
      <c r="R104" s="7">
        <f t="shared" si="38"/>
        <v>233926.31156652121</v>
      </c>
      <c r="S104" s="13">
        <f>IF('Calc (3)'!$AD$32="Sim",R104,Q104)</f>
        <v>233926.31156652121</v>
      </c>
      <c r="T104" s="9">
        <f t="shared" si="39"/>
        <v>100</v>
      </c>
      <c r="U104" s="17">
        <f t="shared" ca="1" si="40"/>
        <v>48549</v>
      </c>
      <c r="V104" s="22"/>
      <c r="W104" s="22"/>
      <c r="X104" s="22"/>
    </row>
    <row r="105" spans="2:24" x14ac:dyDescent="0.2">
      <c r="B105" s="17">
        <f t="shared" ca="1" si="29"/>
        <v>48549</v>
      </c>
      <c r="C105" s="9">
        <f t="shared" si="41"/>
        <v>101</v>
      </c>
      <c r="D105" s="9"/>
      <c r="E105" s="13">
        <f t="shared" si="30"/>
        <v>1507.7983619730999</v>
      </c>
      <c r="F105" s="14">
        <f t="shared" si="42"/>
        <v>160147.69369631872</v>
      </c>
      <c r="G105" s="15">
        <f t="shared" si="31"/>
        <v>0.67599137232515294</v>
      </c>
      <c r="H105" s="13">
        <f t="shared" si="32"/>
        <v>2964.0673356965426</v>
      </c>
      <c r="I105" s="13">
        <f t="shared" si="33"/>
        <v>141990.64849904142</v>
      </c>
      <c r="J105" s="15">
        <f t="shared" si="26"/>
        <v>0.32400862767484706</v>
      </c>
      <c r="K105" s="13">
        <f t="shared" si="34"/>
        <v>76760.202251334616</v>
      </c>
      <c r="L105" s="13">
        <f t="shared" si="43"/>
        <v>2853803.0181394061</v>
      </c>
      <c r="M105" s="15">
        <f t="shared" si="35"/>
        <v>0.32400862767484706</v>
      </c>
      <c r="N105" s="13">
        <f t="shared" si="27"/>
        <v>1110.3008201319155</v>
      </c>
      <c r="O105" s="13">
        <f t="shared" si="36"/>
        <v>65230.446247706772</v>
      </c>
      <c r="P105" s="15">
        <f t="shared" si="28"/>
        <v>0.21589595605025633</v>
      </c>
      <c r="Q105" s="7">
        <f t="shared" si="37"/>
        <v>302138.34219536011</v>
      </c>
      <c r="R105" s="7">
        <f t="shared" si="38"/>
        <v>236907.89594765333</v>
      </c>
      <c r="S105" s="13">
        <f>IF('Calc (3)'!$AD$32="Sim",R105,Q105)</f>
        <v>236907.89594765333</v>
      </c>
      <c r="T105" s="9">
        <f t="shared" si="39"/>
        <v>101</v>
      </c>
      <c r="U105" s="17">
        <f t="shared" ca="1" si="40"/>
        <v>48580</v>
      </c>
      <c r="V105" s="22"/>
      <c r="W105" s="22"/>
      <c r="X105" s="22"/>
    </row>
    <row r="106" spans="2:24" x14ac:dyDescent="0.2">
      <c r="B106" s="17">
        <f t="shared" ca="1" si="29"/>
        <v>48580</v>
      </c>
      <c r="C106" s="9">
        <f t="shared" si="41"/>
        <v>102</v>
      </c>
      <c r="D106" s="9"/>
      <c r="E106" s="13">
        <f t="shared" si="30"/>
        <v>1513.9413191405606</v>
      </c>
      <c r="F106" s="14">
        <f t="shared" si="42"/>
        <v>161661.63501545927</v>
      </c>
      <c r="G106" s="15">
        <f t="shared" si="31"/>
        <v>0.67383068644073663</v>
      </c>
      <c r="H106" s="13">
        <f t="shared" si="32"/>
        <v>3008.5967405527431</v>
      </c>
      <c r="I106" s="13">
        <f t="shared" si="33"/>
        <v>144999.24523959417</v>
      </c>
      <c r="J106" s="15">
        <f t="shared" si="26"/>
        <v>0.32616931355926337</v>
      </c>
      <c r="K106" s="13">
        <f t="shared" si="34"/>
        <v>78252.691043773113</v>
      </c>
      <c r="L106" s="13">
        <f t="shared" si="43"/>
        <v>2932055.7091831793</v>
      </c>
      <c r="M106" s="15">
        <f t="shared" si="35"/>
        <v>0.32616931355926337</v>
      </c>
      <c r="N106" s="13">
        <f t="shared" si="27"/>
        <v>1126.9202855075098</v>
      </c>
      <c r="O106" s="13">
        <f t="shared" si="36"/>
        <v>66746.554195821023</v>
      </c>
      <c r="P106" s="15">
        <f t="shared" si="28"/>
        <v>0.21765591405172757</v>
      </c>
      <c r="Q106" s="7">
        <f t="shared" si="37"/>
        <v>306660.8802550534</v>
      </c>
      <c r="R106" s="7">
        <f t="shared" si="38"/>
        <v>239914.32605923238</v>
      </c>
      <c r="S106" s="13">
        <f>IF('Calc (3)'!$AD$32="Sim",R106,Q106)</f>
        <v>239914.32605923238</v>
      </c>
      <c r="T106" s="9">
        <f t="shared" si="39"/>
        <v>102</v>
      </c>
      <c r="U106" s="17">
        <f t="shared" ca="1" si="40"/>
        <v>48611</v>
      </c>
      <c r="V106" s="22"/>
      <c r="W106" s="22"/>
      <c r="X106" s="22"/>
    </row>
    <row r="107" spans="2:24" x14ac:dyDescent="0.2">
      <c r="B107" s="17">
        <f t="shared" ca="1" si="29"/>
        <v>48611</v>
      </c>
      <c r="C107" s="9">
        <f t="shared" si="41"/>
        <v>103</v>
      </c>
      <c r="D107" s="9"/>
      <c r="E107" s="13">
        <f t="shared" si="30"/>
        <v>1520.1093034759192</v>
      </c>
      <c r="F107" s="14">
        <f t="shared" si="42"/>
        <v>163181.74431893518</v>
      </c>
      <c r="G107" s="15">
        <f t="shared" si="31"/>
        <v>0.67167967503610904</v>
      </c>
      <c r="H107" s="13">
        <f t="shared" si="32"/>
        <v>3053.6307245434978</v>
      </c>
      <c r="I107" s="13">
        <f t="shared" si="33"/>
        <v>148052.87596413767</v>
      </c>
      <c r="J107" s="15">
        <f t="shared" si="26"/>
        <v>0.32832032496389096</v>
      </c>
      <c r="K107" s="13">
        <f t="shared" si="34"/>
        <v>79764.038297105173</v>
      </c>
      <c r="L107" s="13">
        <f t="shared" si="43"/>
        <v>3011819.7474802844</v>
      </c>
      <c r="M107" s="15">
        <f t="shared" si="35"/>
        <v>0.32832032496389096</v>
      </c>
      <c r="N107" s="13">
        <f t="shared" si="27"/>
        <v>1143.72790835763</v>
      </c>
      <c r="O107" s="13">
        <f t="shared" si="36"/>
        <v>68288.837667032465</v>
      </c>
      <c r="P107" s="15">
        <f t="shared" si="28"/>
        <v>0.2194127298721546</v>
      </c>
      <c r="Q107" s="7">
        <f t="shared" si="37"/>
        <v>311234.62028307281</v>
      </c>
      <c r="R107" s="7">
        <f t="shared" si="38"/>
        <v>242945.78261604035</v>
      </c>
      <c r="S107" s="13">
        <f>IF('Calc (3)'!$AD$32="Sim",R107,Q107)</f>
        <v>242945.78261604035</v>
      </c>
      <c r="T107" s="9">
        <f t="shared" si="39"/>
        <v>103</v>
      </c>
      <c r="U107" s="17">
        <f t="shared" ca="1" si="40"/>
        <v>48639</v>
      </c>
      <c r="V107" s="22"/>
      <c r="W107" s="22"/>
      <c r="X107" s="22"/>
    </row>
    <row r="108" spans="2:24" x14ac:dyDescent="0.2">
      <c r="B108" s="17">
        <f t="shared" ca="1" si="29"/>
        <v>48639</v>
      </c>
      <c r="C108" s="9">
        <f t="shared" si="41"/>
        <v>104</v>
      </c>
      <c r="D108" s="9"/>
      <c r="E108" s="13">
        <f t="shared" si="30"/>
        <v>1526.3024169429557</v>
      </c>
      <c r="F108" s="14">
        <f t="shared" si="42"/>
        <v>164708.04673587813</v>
      </c>
      <c r="G108" s="15">
        <f t="shared" si="31"/>
        <v>0.66953824388764294</v>
      </c>
      <c r="H108" s="13">
        <f t="shared" si="32"/>
        <v>3099.1745613185649</v>
      </c>
      <c r="I108" s="13">
        <f t="shared" si="33"/>
        <v>151152.05052545623</v>
      </c>
      <c r="J108" s="15">
        <f t="shared" si="26"/>
        <v>0.33046175611235706</v>
      </c>
      <c r="K108" s="13">
        <f t="shared" si="34"/>
        <v>81294.400830833591</v>
      </c>
      <c r="L108" s="13">
        <f t="shared" si="43"/>
        <v>3093114.1483111181</v>
      </c>
      <c r="M108" s="15">
        <f t="shared" si="35"/>
        <v>0.33046175611235706</v>
      </c>
      <c r="N108" s="13">
        <f t="shared" si="27"/>
        <v>1160.7256546388496</v>
      </c>
      <c r="O108" s="13">
        <f t="shared" si="36"/>
        <v>69857.64969462264</v>
      </c>
      <c r="P108" s="15">
        <f t="shared" si="28"/>
        <v>0.22116642874590217</v>
      </c>
      <c r="Q108" s="7">
        <f t="shared" si="37"/>
        <v>315860.09726133436</v>
      </c>
      <c r="R108" s="7">
        <f t="shared" si="38"/>
        <v>246002.44756671172</v>
      </c>
      <c r="S108" s="13">
        <f>IF('Calc (3)'!$AD$32="Sim",R108,Q108)</f>
        <v>246002.44756671172</v>
      </c>
      <c r="T108" s="9">
        <f t="shared" si="39"/>
        <v>104</v>
      </c>
      <c r="U108" s="17">
        <f t="shared" ca="1" si="40"/>
        <v>48670</v>
      </c>
      <c r="V108" s="22"/>
      <c r="W108" s="22"/>
      <c r="X108" s="22"/>
    </row>
    <row r="109" spans="2:24" x14ac:dyDescent="0.2">
      <c r="B109" s="17">
        <f t="shared" ca="1" si="29"/>
        <v>48670</v>
      </c>
      <c r="C109" s="9">
        <f t="shared" si="41"/>
        <v>105</v>
      </c>
      <c r="D109" s="9"/>
      <c r="E109" s="13">
        <f t="shared" si="30"/>
        <v>1532.5207619208629</v>
      </c>
      <c r="F109" s="14">
        <f t="shared" si="42"/>
        <v>166240.567497799</v>
      </c>
      <c r="G109" s="15">
        <f t="shared" si="31"/>
        <v>0.66740630091467645</v>
      </c>
      <c r="H109" s="13">
        <f t="shared" si="32"/>
        <v>3145.233578056339</v>
      </c>
      <c r="I109" s="13">
        <f t="shared" si="33"/>
        <v>154297.28410351256</v>
      </c>
      <c r="J109" s="15">
        <f t="shared" si="26"/>
        <v>0.33259369908532355</v>
      </c>
      <c r="K109" s="13">
        <f t="shared" si="34"/>
        <v>82843.936604076094</v>
      </c>
      <c r="L109" s="13">
        <f t="shared" si="43"/>
        <v>3175958.0849151942</v>
      </c>
      <c r="M109" s="15">
        <f t="shared" si="35"/>
        <v>0.3325936990853236</v>
      </c>
      <c r="N109" s="13">
        <f t="shared" si="27"/>
        <v>1177.915510260332</v>
      </c>
      <c r="O109" s="13">
        <f t="shared" si="36"/>
        <v>71453.347499436437</v>
      </c>
      <c r="P109" s="15">
        <f t="shared" si="28"/>
        <v>0.22291703504742674</v>
      </c>
      <c r="Q109" s="7">
        <f t="shared" si="37"/>
        <v>320537.85160131153</v>
      </c>
      <c r="R109" s="7">
        <f t="shared" si="38"/>
        <v>249084.50410187509</v>
      </c>
      <c r="S109" s="13">
        <f>IF('Calc (3)'!$AD$32="Sim",R109,Q109)</f>
        <v>249084.50410187509</v>
      </c>
      <c r="T109" s="9">
        <f t="shared" si="39"/>
        <v>105</v>
      </c>
      <c r="U109" s="17">
        <f t="shared" ca="1" si="40"/>
        <v>48700</v>
      </c>
      <c r="V109" s="22"/>
      <c r="W109" s="22"/>
      <c r="X109" s="22"/>
    </row>
    <row r="110" spans="2:24" x14ac:dyDescent="0.2">
      <c r="B110" s="17">
        <f t="shared" ca="1" si="29"/>
        <v>48700</v>
      </c>
      <c r="C110" s="9">
        <f t="shared" si="41"/>
        <v>106</v>
      </c>
      <c r="D110" s="9"/>
      <c r="E110" s="13">
        <f t="shared" si="30"/>
        <v>1538.7644412059396</v>
      </c>
      <c r="F110" s="14">
        <f t="shared" si="42"/>
        <v>167779.33193900494</v>
      </c>
      <c r="G110" s="15">
        <f t="shared" si="31"/>
        <v>0.66528375610552659</v>
      </c>
      <c r="H110" s="13">
        <f t="shared" si="32"/>
        <v>3191.8131560010074</v>
      </c>
      <c r="I110" s="13">
        <f t="shared" si="33"/>
        <v>157489.09725951357</v>
      </c>
      <c r="J110" s="15">
        <f t="shared" si="26"/>
        <v>0.33471624389447341</v>
      </c>
      <c r="K110" s="13">
        <f t="shared" si="34"/>
        <v>84412.804723342735</v>
      </c>
      <c r="L110" s="13">
        <f t="shared" si="43"/>
        <v>3260370.8896385371</v>
      </c>
      <c r="M110" s="15">
        <f t="shared" si="35"/>
        <v>0.33471624389447341</v>
      </c>
      <c r="N110" s="13">
        <f t="shared" si="27"/>
        <v>1195.2994812840441</v>
      </c>
      <c r="O110" s="13">
        <f t="shared" si="36"/>
        <v>73076.292536170775</v>
      </c>
      <c r="P110" s="15">
        <f t="shared" si="28"/>
        <v>0.22466457232334316</v>
      </c>
      <c r="Q110" s="7">
        <f t="shared" si="37"/>
        <v>325268.42919851845</v>
      </c>
      <c r="R110" s="7">
        <f t="shared" si="38"/>
        <v>252192.13666234768</v>
      </c>
      <c r="S110" s="13">
        <f>IF('Calc (3)'!$AD$32="Sim",R110,Q110)</f>
        <v>252192.13666234768</v>
      </c>
      <c r="T110" s="9">
        <f t="shared" si="39"/>
        <v>106</v>
      </c>
      <c r="U110" s="17">
        <f t="shared" ca="1" si="40"/>
        <v>48731</v>
      </c>
      <c r="V110" s="22"/>
      <c r="W110" s="22"/>
      <c r="X110" s="22"/>
    </row>
    <row r="111" spans="2:24" x14ac:dyDescent="0.2">
      <c r="B111" s="17">
        <f t="shared" ca="1" si="29"/>
        <v>48731</v>
      </c>
      <c r="C111" s="9">
        <f t="shared" si="41"/>
        <v>107</v>
      </c>
      <c r="D111" s="9"/>
      <c r="E111" s="13">
        <f t="shared" si="30"/>
        <v>1545.0335580132892</v>
      </c>
      <c r="F111" s="14">
        <f t="shared" si="42"/>
        <v>169324.36549701824</v>
      </c>
      <c r="G111" s="15">
        <f t="shared" si="31"/>
        <v>0.66317052144664879</v>
      </c>
      <c r="H111" s="13">
        <f t="shared" si="32"/>
        <v>3238.9187310050766</v>
      </c>
      <c r="I111" s="13">
        <f t="shared" si="33"/>
        <v>160728.01599051864</v>
      </c>
      <c r="J111" s="15">
        <f t="shared" si="26"/>
        <v>0.33682947855335121</v>
      </c>
      <c r="K111" s="13">
        <f t="shared" si="34"/>
        <v>86001.165450364468</v>
      </c>
      <c r="L111" s="13">
        <f t="shared" si="43"/>
        <v>3346372.0550889014</v>
      </c>
      <c r="M111" s="15">
        <f t="shared" si="35"/>
        <v>0.33682947855335127</v>
      </c>
      <c r="N111" s="13">
        <f t="shared" si="27"/>
        <v>1212.8795941269702</v>
      </c>
      <c r="O111" s="13">
        <f t="shared" si="36"/>
        <v>74726.850540154119</v>
      </c>
      <c r="P111" s="15">
        <f t="shared" si="28"/>
        <v>0.22640906332310737</v>
      </c>
      <c r="Q111" s="7">
        <f t="shared" si="37"/>
        <v>330052.38148753683</v>
      </c>
      <c r="R111" s="7">
        <f t="shared" si="38"/>
        <v>255325.53094738271</v>
      </c>
      <c r="S111" s="13">
        <f>IF('Calc (3)'!$AD$32="Sim",R111,Q111)</f>
        <v>255325.53094738271</v>
      </c>
      <c r="T111" s="9">
        <f t="shared" si="39"/>
        <v>107</v>
      </c>
      <c r="U111" s="17">
        <f t="shared" ca="1" si="40"/>
        <v>48761</v>
      </c>
      <c r="V111" s="22"/>
      <c r="W111" s="22"/>
      <c r="X111" s="22"/>
    </row>
    <row r="112" spans="2:24" x14ac:dyDescent="0.2">
      <c r="B112" s="17">
        <f t="shared" ca="1" si="29"/>
        <v>48761</v>
      </c>
      <c r="C112" s="9">
        <f t="shared" si="41"/>
        <v>108</v>
      </c>
      <c r="D112" s="9">
        <v>9</v>
      </c>
      <c r="E112" s="13">
        <f t="shared" si="30"/>
        <v>1551.328215978526</v>
      </c>
      <c r="F112" s="14">
        <f t="shared" si="42"/>
        <v>170875.69371299676</v>
      </c>
      <c r="G112" s="15">
        <f t="shared" si="31"/>
        <v>0.66106651085478418</v>
      </c>
      <c r="H112" s="13">
        <f t="shared" si="32"/>
        <v>3286.5557940773101</v>
      </c>
      <c r="I112" s="13">
        <f t="shared" si="33"/>
        <v>164014.57178459596</v>
      </c>
      <c r="J112" s="15">
        <f t="shared" si="26"/>
        <v>0.33893348914521582</v>
      </c>
      <c r="K112" s="13">
        <f t="shared" si="34"/>
        <v>87609.180209973536</v>
      </c>
      <c r="L112" s="13">
        <f t="shared" si="43"/>
        <v>3433981.2352988748</v>
      </c>
      <c r="M112" s="15">
        <f t="shared" si="35"/>
        <v>0.33893348914521582</v>
      </c>
      <c r="N112" s="13">
        <f t="shared" si="27"/>
        <v>1230.6578957653464</v>
      </c>
      <c r="O112" s="13">
        <f t="shared" si="36"/>
        <v>76405.391574622336</v>
      </c>
      <c r="P112" s="15">
        <f t="shared" si="28"/>
        <v>0.22815053002838501</v>
      </c>
      <c r="Q112" s="7">
        <f t="shared" si="37"/>
        <v>334890.26549759263</v>
      </c>
      <c r="R112" s="7">
        <f t="shared" si="38"/>
        <v>258484.87392297029</v>
      </c>
      <c r="S112" s="13">
        <f>IF('Calc (3)'!$AD$32="Sim",R112,Q112)</f>
        <v>258484.87392297029</v>
      </c>
      <c r="T112" s="9">
        <f t="shared" si="39"/>
        <v>108</v>
      </c>
      <c r="U112" s="17">
        <f t="shared" ca="1" si="40"/>
        <v>48792</v>
      </c>
      <c r="V112" s="22"/>
      <c r="W112" s="22"/>
      <c r="X112" s="22"/>
    </row>
    <row r="113" spans="2:24" x14ac:dyDescent="0.2">
      <c r="B113" s="17">
        <f t="shared" ca="1" si="29"/>
        <v>48792</v>
      </c>
      <c r="C113" s="9">
        <f t="shared" si="41"/>
        <v>109</v>
      </c>
      <c r="D113" s="9"/>
      <c r="E113" s="13">
        <f t="shared" si="30"/>
        <v>1557.6485191594888</v>
      </c>
      <c r="F113" s="14">
        <f t="shared" si="42"/>
        <v>172433.34223215625</v>
      </c>
      <c r="G113" s="15">
        <f t="shared" si="31"/>
        <v>0.65897164011195175</v>
      </c>
      <c r="H113" s="13">
        <f t="shared" si="32"/>
        <v>3334.7298919361474</v>
      </c>
      <c r="I113" s="13">
        <f t="shared" si="33"/>
        <v>167349.30167653211</v>
      </c>
      <c r="J113" s="15">
        <f t="shared" si="26"/>
        <v>0.34102835988804825</v>
      </c>
      <c r="K113" s="13">
        <f t="shared" si="34"/>
        <v>89237.011598035606</v>
      </c>
      <c r="L113" s="13">
        <f t="shared" si="43"/>
        <v>3523218.2468969105</v>
      </c>
      <c r="M113" s="15">
        <f t="shared" si="35"/>
        <v>0.3410283598880483</v>
      </c>
      <c r="N113" s="13">
        <f t="shared" si="27"/>
        <v>1248.6364539409346</v>
      </c>
      <c r="O113" s="13">
        <f t="shared" si="36"/>
        <v>78112.290078496357</v>
      </c>
      <c r="P113" s="15">
        <f t="shared" si="28"/>
        <v>0.22988899368117205</v>
      </c>
      <c r="Q113" s="7">
        <f t="shared" si="37"/>
        <v>339782.64390868822</v>
      </c>
      <c r="R113" s="7">
        <f t="shared" si="38"/>
        <v>261670.35383019186</v>
      </c>
      <c r="S113" s="13">
        <f>IF('Calc (3)'!$AD$32="Sim",R113,Q113)</f>
        <v>261670.35383019186</v>
      </c>
      <c r="T113" s="9">
        <f t="shared" si="39"/>
        <v>109</v>
      </c>
      <c r="U113" s="17">
        <f t="shared" ca="1" si="40"/>
        <v>48823</v>
      </c>
      <c r="V113" s="22"/>
      <c r="W113" s="22"/>
      <c r="X113" s="22"/>
    </row>
    <row r="114" spans="2:24" x14ac:dyDescent="0.2">
      <c r="B114" s="17">
        <f t="shared" ca="1" si="29"/>
        <v>48823</v>
      </c>
      <c r="C114" s="9">
        <f t="shared" si="41"/>
        <v>110</v>
      </c>
      <c r="D114" s="9"/>
      <c r="E114" s="13">
        <f t="shared" si="30"/>
        <v>1563.9945720379612</v>
      </c>
      <c r="F114" s="14">
        <f t="shared" si="42"/>
        <v>173997.3368041942</v>
      </c>
      <c r="G114" s="15">
        <f t="shared" si="31"/>
        <v>0.65688582680314267</v>
      </c>
      <c r="H114" s="13">
        <f t="shared" si="32"/>
        <v>3383.4466275686464</v>
      </c>
      <c r="I114" s="13">
        <f t="shared" si="33"/>
        <v>170732.74830410077</v>
      </c>
      <c r="J114" s="15">
        <f t="shared" si="26"/>
        <v>0.34311417319685733</v>
      </c>
      <c r="K114" s="13">
        <f t="shared" si="34"/>
        <v>90884.823389434372</v>
      </c>
      <c r="L114" s="13">
        <f t="shared" si="43"/>
        <v>3614103.0702863447</v>
      </c>
      <c r="M114" s="15">
        <f t="shared" si="35"/>
        <v>0.34311417319685728</v>
      </c>
      <c r="N114" s="13">
        <f t="shared" si="27"/>
        <v>1266.8173573693575</v>
      </c>
      <c r="O114" s="13">
        <f t="shared" si="36"/>
        <v>79847.924914666219</v>
      </c>
      <c r="P114" s="15">
        <f t="shared" si="28"/>
        <v>0.23162447481072762</v>
      </c>
      <c r="Q114" s="7">
        <f t="shared" si="37"/>
        <v>344730.08510829479</v>
      </c>
      <c r="R114" s="7">
        <f t="shared" si="38"/>
        <v>264882.16019362857</v>
      </c>
      <c r="S114" s="13">
        <f>IF('Calc (3)'!$AD$32="Sim",R114,Q114)</f>
        <v>264882.16019362857</v>
      </c>
      <c r="T114" s="9">
        <f t="shared" si="39"/>
        <v>110</v>
      </c>
      <c r="U114" s="17">
        <f t="shared" ca="1" si="40"/>
        <v>48853</v>
      </c>
      <c r="V114" s="22"/>
      <c r="W114" s="22"/>
      <c r="X114" s="22"/>
    </row>
    <row r="115" spans="2:24" x14ac:dyDescent="0.2">
      <c r="B115" s="17">
        <f t="shared" ca="1" si="29"/>
        <v>48853</v>
      </c>
      <c r="C115" s="9">
        <f t="shared" si="41"/>
        <v>111</v>
      </c>
      <c r="D115" s="9"/>
      <c r="E115" s="13">
        <f t="shared" si="30"/>
        <v>1570.3664795213981</v>
      </c>
      <c r="F115" s="14">
        <f t="shared" si="42"/>
        <v>175567.70328371559</v>
      </c>
      <c r="G115" s="15">
        <f t="shared" si="31"/>
        <v>0.6548089902565899</v>
      </c>
      <c r="H115" s="13">
        <f t="shared" si="32"/>
        <v>3432.7116607950093</v>
      </c>
      <c r="I115" s="13">
        <f t="shared" si="33"/>
        <v>174165.45996489577</v>
      </c>
      <c r="J115" s="15">
        <f t="shared" si="26"/>
        <v>0.3451910097434101</v>
      </c>
      <c r="K115" s="13">
        <f t="shared" si="34"/>
        <v>92552.780546108726</v>
      </c>
      <c r="L115" s="13">
        <f t="shared" si="43"/>
        <v>3706655.8508324535</v>
      </c>
      <c r="M115" s="15">
        <f t="shared" si="35"/>
        <v>0.34519100974341016</v>
      </c>
      <c r="N115" s="13">
        <f t="shared" si="27"/>
        <v>1285.2027159505124</v>
      </c>
      <c r="O115" s="13">
        <f t="shared" si="36"/>
        <v>81612.679418786895</v>
      </c>
      <c r="P115" s="15">
        <f t="shared" si="28"/>
        <v>0.23335699325937739</v>
      </c>
      <c r="Q115" s="7">
        <f t="shared" si="37"/>
        <v>349733.16324861121</v>
      </c>
      <c r="R115" s="7">
        <f t="shared" si="38"/>
        <v>268120.48382982431</v>
      </c>
      <c r="S115" s="13">
        <f>IF('Calc (3)'!$AD$32="Sim",R115,Q115)</f>
        <v>268120.48382982431</v>
      </c>
      <c r="T115" s="9">
        <f t="shared" si="39"/>
        <v>111</v>
      </c>
      <c r="U115" s="17">
        <f t="shared" ca="1" si="40"/>
        <v>48884</v>
      </c>
      <c r="V115" s="22"/>
      <c r="W115" s="22"/>
      <c r="X115" s="22"/>
    </row>
    <row r="116" spans="2:24" x14ac:dyDescent="0.2">
      <c r="B116" s="17">
        <f t="shared" ca="1" si="29"/>
        <v>48884</v>
      </c>
      <c r="C116" s="9">
        <f t="shared" si="41"/>
        <v>112</v>
      </c>
      <c r="D116" s="9"/>
      <c r="E116" s="13">
        <f t="shared" si="30"/>
        <v>1576.7643469446605</v>
      </c>
      <c r="F116" s="14">
        <f t="shared" si="42"/>
        <v>177144.46763066025</v>
      </c>
      <c r="G116" s="15">
        <f t="shared" si="31"/>
        <v>0.6527410514864852</v>
      </c>
      <c r="H116" s="13">
        <f t="shared" si="32"/>
        <v>3482.5307088387494</v>
      </c>
      <c r="I116" s="13">
        <f t="shared" si="33"/>
        <v>177647.99067373452</v>
      </c>
      <c r="J116" s="15">
        <f t="shared" si="26"/>
        <v>0.3472589485135148</v>
      </c>
      <c r="K116" s="13">
        <f t="shared" si="34"/>
        <v>94241.049225142953</v>
      </c>
      <c r="L116" s="13">
        <f t="shared" si="43"/>
        <v>3800896.9000575966</v>
      </c>
      <c r="M116" s="15">
        <f t="shared" si="35"/>
        <v>0.34725894851351474</v>
      </c>
      <c r="N116" s="13">
        <f t="shared" si="27"/>
        <v>1303.794660981089</v>
      </c>
      <c r="O116" s="13">
        <f t="shared" si="36"/>
        <v>83406.941448591417</v>
      </c>
      <c r="P116" s="15">
        <f t="shared" si="28"/>
        <v>0.2350865682072428</v>
      </c>
      <c r="Q116" s="7">
        <f t="shared" si="37"/>
        <v>354792.45830439462</v>
      </c>
      <c r="R116" s="7">
        <f t="shared" si="38"/>
        <v>271385.5168558032</v>
      </c>
      <c r="S116" s="13">
        <f>IF('Calc (3)'!$AD$32="Sim",R116,Q116)</f>
        <v>271385.5168558032</v>
      </c>
      <c r="T116" s="9">
        <f t="shared" si="39"/>
        <v>112</v>
      </c>
      <c r="U116" s="17">
        <f t="shared" ca="1" si="40"/>
        <v>48914</v>
      </c>
      <c r="V116" s="22"/>
      <c r="W116" s="22"/>
      <c r="X116" s="22"/>
    </row>
    <row r="117" spans="2:24" x14ac:dyDescent="0.2">
      <c r="B117" s="17">
        <f t="shared" ca="1" si="29"/>
        <v>48914</v>
      </c>
      <c r="C117" s="9">
        <f t="shared" si="41"/>
        <v>113</v>
      </c>
      <c r="D117" s="9"/>
      <c r="E117" s="13">
        <f t="shared" si="30"/>
        <v>1583.1882800717565</v>
      </c>
      <c r="F117" s="14">
        <f t="shared" si="42"/>
        <v>178727.65591073199</v>
      </c>
      <c r="G117" s="15">
        <f t="shared" si="31"/>
        <v>0.65068193313803091</v>
      </c>
      <c r="H117" s="13">
        <f t="shared" si="32"/>
        <v>3532.9095469025478</v>
      </c>
      <c r="I117" s="13">
        <f t="shared" si="33"/>
        <v>181180.90022063706</v>
      </c>
      <c r="J117" s="15">
        <f t="shared" si="26"/>
        <v>0.34931806686196909</v>
      </c>
      <c r="K117" s="13">
        <f t="shared" si="34"/>
        <v>95949.796786910389</v>
      </c>
      <c r="L117" s="13">
        <f t="shared" si="43"/>
        <v>3896846.696844507</v>
      </c>
      <c r="M117" s="15">
        <f t="shared" si="35"/>
        <v>0.34931806686196909</v>
      </c>
      <c r="N117" s="13">
        <f t="shared" si="27"/>
        <v>1322.5953453692086</v>
      </c>
      <c r="O117" s="13">
        <f t="shared" si="36"/>
        <v>85231.10343372653</v>
      </c>
      <c r="P117" s="15">
        <f t="shared" si="28"/>
        <v>0.23681321819594819</v>
      </c>
      <c r="Q117" s="7">
        <f t="shared" si="37"/>
        <v>359908.55613136891</v>
      </c>
      <c r="R117" s="7">
        <f t="shared" si="38"/>
        <v>274677.45269764238</v>
      </c>
      <c r="S117" s="13">
        <f>IF('Calc (3)'!$AD$32="Sim",R117,Q117)</f>
        <v>274677.45269764238</v>
      </c>
      <c r="T117" s="9">
        <f t="shared" si="39"/>
        <v>113</v>
      </c>
      <c r="U117" s="17">
        <f t="shared" ca="1" si="40"/>
        <v>48945</v>
      </c>
      <c r="V117" s="22"/>
      <c r="W117" s="22"/>
      <c r="X117" s="22"/>
    </row>
    <row r="118" spans="2:24" x14ac:dyDescent="0.2">
      <c r="B118" s="17">
        <f t="shared" ca="1" si="29"/>
        <v>48945</v>
      </c>
      <c r="C118" s="9">
        <f t="shared" si="41"/>
        <v>114</v>
      </c>
      <c r="D118" s="9"/>
      <c r="E118" s="13">
        <f t="shared" si="30"/>
        <v>1589.6383850975901</v>
      </c>
      <c r="F118" s="14">
        <f t="shared" si="42"/>
        <v>180317.29429582958</v>
      </c>
      <c r="G118" s="15">
        <f t="shared" si="31"/>
        <v>0.64863155943471262</v>
      </c>
      <c r="H118" s="13">
        <f t="shared" si="32"/>
        <v>3583.8540087498673</v>
      </c>
      <c r="I118" s="13">
        <f t="shared" si="33"/>
        <v>184764.75422938692</v>
      </c>
      <c r="J118" s="15">
        <f t="shared" si="26"/>
        <v>0.35136844056528738</v>
      </c>
      <c r="K118" s="13">
        <f t="shared" si="34"/>
        <v>97679.19180327034</v>
      </c>
      <c r="L118" s="13">
        <f t="shared" si="43"/>
        <v>3994525.8886477775</v>
      </c>
      <c r="M118" s="15">
        <f t="shared" si="35"/>
        <v>0.35136844056528743</v>
      </c>
      <c r="N118" s="13">
        <f t="shared" si="27"/>
        <v>1341.6069438512079</v>
      </c>
      <c r="O118" s="13">
        <f t="shared" si="36"/>
        <v>87085.562426116492</v>
      </c>
      <c r="P118" s="15">
        <f t="shared" si="28"/>
        <v>0.23853696115135459</v>
      </c>
      <c r="Q118" s="7">
        <f t="shared" si="37"/>
        <v>365082.04852521641</v>
      </c>
      <c r="R118" s="7">
        <f t="shared" si="38"/>
        <v>277996.48609909992</v>
      </c>
      <c r="S118" s="13">
        <f>IF('Calc (3)'!$AD$32="Sim",R118,Q118)</f>
        <v>277996.48609909992</v>
      </c>
      <c r="T118" s="9">
        <f t="shared" si="39"/>
        <v>114</v>
      </c>
      <c r="U118" s="17">
        <f t="shared" ca="1" si="40"/>
        <v>48976</v>
      </c>
      <c r="V118" s="22"/>
      <c r="W118" s="22"/>
      <c r="X118" s="22"/>
    </row>
    <row r="119" spans="2:24" x14ac:dyDescent="0.2">
      <c r="B119" s="17">
        <f t="shared" ca="1" si="29"/>
        <v>48976</v>
      </c>
      <c r="C119" s="9">
        <f t="shared" si="41"/>
        <v>115</v>
      </c>
      <c r="D119" s="9"/>
      <c r="E119" s="13">
        <f t="shared" si="30"/>
        <v>1596.1147686497166</v>
      </c>
      <c r="F119" s="14">
        <f t="shared" si="42"/>
        <v>181913.40906447929</v>
      </c>
      <c r="G119" s="15">
        <f t="shared" si="31"/>
        <v>0.64658985612768938</v>
      </c>
      <c r="H119" s="13">
        <f t="shared" si="32"/>
        <v>3635.3699872923717</v>
      </c>
      <c r="I119" s="13">
        <f t="shared" si="33"/>
        <v>188400.12421667928</v>
      </c>
      <c r="J119" s="15">
        <f t="shared" si="26"/>
        <v>0.35341014387231062</v>
      </c>
      <c r="K119" s="13">
        <f t="shared" si="34"/>
        <v>99429.404065819515</v>
      </c>
      <c r="L119" s="13">
        <f t="shared" si="43"/>
        <v>4093955.292713597</v>
      </c>
      <c r="M119" s="15">
        <f t="shared" si="35"/>
        <v>0.35341014387231068</v>
      </c>
      <c r="N119" s="13">
        <f t="shared" si="27"/>
        <v>1360.8316532105862</v>
      </c>
      <c r="O119" s="13">
        <f t="shared" si="36"/>
        <v>88970.720150859735</v>
      </c>
      <c r="P119" s="15">
        <f t="shared" si="28"/>
        <v>0.24025781440536551</v>
      </c>
      <c r="Q119" s="7">
        <f t="shared" si="37"/>
        <v>370313.53328115854</v>
      </c>
      <c r="R119" s="7">
        <f t="shared" si="38"/>
        <v>281342.8131302988</v>
      </c>
      <c r="S119" s="13">
        <f>IF('Calc (3)'!$AD$32="Sim",R119,Q119)</f>
        <v>281342.8131302988</v>
      </c>
      <c r="T119" s="9">
        <f t="shared" si="39"/>
        <v>115</v>
      </c>
      <c r="U119" s="17">
        <f t="shared" ca="1" si="40"/>
        <v>49004</v>
      </c>
      <c r="V119" s="22"/>
      <c r="W119" s="22"/>
      <c r="X119" s="22"/>
    </row>
    <row r="120" spans="2:24" x14ac:dyDescent="0.2">
      <c r="B120" s="17">
        <f t="shared" ca="1" si="29"/>
        <v>49004</v>
      </c>
      <c r="C120" s="9">
        <f t="shared" si="41"/>
        <v>116</v>
      </c>
      <c r="D120" s="9"/>
      <c r="E120" s="13">
        <f t="shared" si="30"/>
        <v>1602.6175377901047</v>
      </c>
      <c r="F120" s="14">
        <f t="shared" si="42"/>
        <v>183516.02660226938</v>
      </c>
      <c r="G120" s="15">
        <f t="shared" si="31"/>
        <v>0.64455675044720273</v>
      </c>
      <c r="H120" s="13">
        <f t="shared" si="32"/>
        <v>3687.4634351832119</v>
      </c>
      <c r="I120" s="13">
        <f t="shared" si="33"/>
        <v>192087.5876518625</v>
      </c>
      <c r="J120" s="15">
        <f t="shared" si="26"/>
        <v>0.35544324955279727</v>
      </c>
      <c r="K120" s="13">
        <f t="shared" si="34"/>
        <v>101200.60459419753</v>
      </c>
      <c r="L120" s="13">
        <f t="shared" si="43"/>
        <v>4195155.8973077945</v>
      </c>
      <c r="M120" s="15">
        <f t="shared" si="35"/>
        <v>0.35544324955279727</v>
      </c>
      <c r="N120" s="13">
        <f t="shared" si="27"/>
        <v>1380.2716924991407</v>
      </c>
      <c r="O120" s="13">
        <f t="shared" si="36"/>
        <v>90886.98305766494</v>
      </c>
      <c r="P120" s="15">
        <f t="shared" si="28"/>
        <v>0.24197579471685057</v>
      </c>
      <c r="Q120" s="7">
        <f t="shared" si="37"/>
        <v>375603.61425413185</v>
      </c>
      <c r="R120" s="7">
        <f t="shared" si="38"/>
        <v>284716.63119646691</v>
      </c>
      <c r="S120" s="13">
        <f>IF('Calc (3)'!$AD$32="Sim",R120,Q120)</f>
        <v>284716.63119646691</v>
      </c>
      <c r="T120" s="9">
        <f t="shared" si="39"/>
        <v>116</v>
      </c>
      <c r="U120" s="17">
        <f t="shared" ca="1" si="40"/>
        <v>49035</v>
      </c>
      <c r="V120" s="22"/>
      <c r="W120" s="22"/>
      <c r="X120" s="22"/>
    </row>
    <row r="121" spans="2:24" x14ac:dyDescent="0.2">
      <c r="B121" s="17">
        <f t="shared" ca="1" si="29"/>
        <v>49035</v>
      </c>
      <c r="C121" s="9">
        <f t="shared" si="41"/>
        <v>117</v>
      </c>
      <c r="D121" s="9"/>
      <c r="E121" s="13">
        <f t="shared" si="30"/>
        <v>1609.1468000169073</v>
      </c>
      <c r="F121" s="14">
        <f t="shared" si="42"/>
        <v>185125.17340228628</v>
      </c>
      <c r="G121" s="15">
        <f t="shared" si="31"/>
        <v>0.64253217105590998</v>
      </c>
      <c r="H121" s="13">
        <f t="shared" si="32"/>
        <v>3740.1403654162395</v>
      </c>
      <c r="I121" s="13">
        <f t="shared" si="33"/>
        <v>195827.72801727874</v>
      </c>
      <c r="J121" s="15">
        <f t="shared" si="26"/>
        <v>0.35746782894409002</v>
      </c>
      <c r="K121" s="13">
        <f t="shared" si="34"/>
        <v>102992.96564444728</v>
      </c>
      <c r="L121" s="13">
        <f t="shared" si="43"/>
        <v>4298148.8629522417</v>
      </c>
      <c r="M121" s="15">
        <f t="shared" si="35"/>
        <v>0.35746782894408996</v>
      </c>
      <c r="N121" s="13">
        <f t="shared" si="27"/>
        <v>1399.9293032603107</v>
      </c>
      <c r="O121" s="13">
        <f t="shared" si="36"/>
        <v>92834.762372831465</v>
      </c>
      <c r="P121" s="15">
        <f t="shared" si="28"/>
        <v>0.24369091829172679</v>
      </c>
      <c r="Q121" s="7">
        <f t="shared" si="37"/>
        <v>380952.90141956502</v>
      </c>
      <c r="R121" s="7">
        <f t="shared" si="38"/>
        <v>288118.13904673356</v>
      </c>
      <c r="S121" s="13">
        <f>IF('Calc (3)'!$AD$32="Sim",R121,Q121)</f>
        <v>288118.13904673356</v>
      </c>
      <c r="T121" s="9">
        <f t="shared" si="39"/>
        <v>117</v>
      </c>
      <c r="U121" s="17">
        <f t="shared" ca="1" si="40"/>
        <v>49065</v>
      </c>
      <c r="V121" s="22"/>
      <c r="W121" s="22"/>
      <c r="X121" s="22"/>
    </row>
    <row r="122" spans="2:24" x14ac:dyDescent="0.2">
      <c r="B122" s="17">
        <f t="shared" ca="1" si="29"/>
        <v>49065</v>
      </c>
      <c r="C122" s="9">
        <f t="shared" si="41"/>
        <v>118</v>
      </c>
      <c r="D122" s="9"/>
      <c r="E122" s="13">
        <f t="shared" si="30"/>
        <v>1615.7026632662378</v>
      </c>
      <c r="F122" s="14">
        <f t="shared" si="42"/>
        <v>186740.87606555253</v>
      </c>
      <c r="G122" s="15">
        <f t="shared" si="31"/>
        <v>0.6405160480040536</v>
      </c>
      <c r="H122" s="13">
        <f t="shared" si="32"/>
        <v>3793.4068519312036</v>
      </c>
      <c r="I122" s="13">
        <f t="shared" si="33"/>
        <v>199621.13486920996</v>
      </c>
      <c r="J122" s="15">
        <f t="shared" si="26"/>
        <v>0.3594839519959464</v>
      </c>
      <c r="K122" s="13">
        <f t="shared" si="34"/>
        <v>104806.66071743018</v>
      </c>
      <c r="L122" s="13">
        <f t="shared" si="43"/>
        <v>4402955.5236696722</v>
      </c>
      <c r="M122" s="15">
        <f t="shared" si="35"/>
        <v>0.3594839519959464</v>
      </c>
      <c r="N122" s="13">
        <f t="shared" si="27"/>
        <v>1419.8067497547506</v>
      </c>
      <c r="O122" s="13">
        <f t="shared" si="36"/>
        <v>94814.474151779723</v>
      </c>
      <c r="P122" s="15">
        <f t="shared" si="28"/>
        <v>0.24540320080223735</v>
      </c>
      <c r="Q122" s="7">
        <f t="shared" si="37"/>
        <v>386362.01093476242</v>
      </c>
      <c r="R122" s="7">
        <f t="shared" si="38"/>
        <v>291547.5367829827</v>
      </c>
      <c r="S122" s="13">
        <f>IF('Calc (3)'!$AD$32="Sim",R122,Q122)</f>
        <v>291547.5367829827</v>
      </c>
      <c r="T122" s="9">
        <f t="shared" si="39"/>
        <v>118</v>
      </c>
      <c r="U122" s="17">
        <f t="shared" ca="1" si="40"/>
        <v>49096</v>
      </c>
      <c r="V122" s="22"/>
      <c r="W122" s="22"/>
      <c r="X122" s="22"/>
    </row>
    <row r="123" spans="2:24" x14ac:dyDescent="0.2">
      <c r="B123" s="17">
        <f t="shared" ca="1" si="29"/>
        <v>49096</v>
      </c>
      <c r="C123" s="9">
        <f t="shared" si="41"/>
        <v>119</v>
      </c>
      <c r="D123" s="9"/>
      <c r="E123" s="13">
        <f t="shared" si="30"/>
        <v>1622.2852359139547</v>
      </c>
      <c r="F123" s="14">
        <f t="shared" si="42"/>
        <v>188363.16130146649</v>
      </c>
      <c r="G123" s="15">
        <f t="shared" si="31"/>
        <v>0.63850831268638109</v>
      </c>
      <c r="H123" s="13">
        <f t="shared" si="32"/>
        <v>3847.2690302249907</v>
      </c>
      <c r="I123" s="13">
        <f t="shared" si="33"/>
        <v>203468.40389943495</v>
      </c>
      <c r="J123" s="15">
        <f t="shared" si="26"/>
        <v>0.36149168731361891</v>
      </c>
      <c r="K123" s="13">
        <f t="shared" si="34"/>
        <v>106641.86456729719</v>
      </c>
      <c r="L123" s="13">
        <f t="shared" si="43"/>
        <v>4509597.3882369697</v>
      </c>
      <c r="M123" s="15">
        <f t="shared" si="35"/>
        <v>0.36149168731361897</v>
      </c>
      <c r="N123" s="13">
        <f t="shared" si="27"/>
        <v>1439.9063191881573</v>
      </c>
      <c r="O123" s="13">
        <f t="shared" si="36"/>
        <v>96826.539332137676</v>
      </c>
      <c r="P123" s="15">
        <f t="shared" si="28"/>
        <v>0.24711265740546556</v>
      </c>
      <c r="Q123" s="7">
        <f t="shared" si="37"/>
        <v>391831.56520090136</v>
      </c>
      <c r="R123" s="7">
        <f t="shared" si="38"/>
        <v>295005.02586876368</v>
      </c>
      <c r="S123" s="13">
        <f>IF('Calc (3)'!$AD$32="Sim",R123,Q123)</f>
        <v>295005.02586876368</v>
      </c>
      <c r="T123" s="9">
        <f t="shared" si="39"/>
        <v>119</v>
      </c>
      <c r="U123" s="17">
        <f t="shared" ca="1" si="40"/>
        <v>49126</v>
      </c>
      <c r="V123" s="22"/>
      <c r="W123" s="22"/>
      <c r="X123" s="22"/>
    </row>
    <row r="124" spans="2:24" x14ac:dyDescent="0.2">
      <c r="B124" s="17">
        <f t="shared" ca="1" si="29"/>
        <v>49126</v>
      </c>
      <c r="C124" s="9">
        <f t="shared" si="41"/>
        <v>120</v>
      </c>
      <c r="D124" s="9">
        <v>10</v>
      </c>
      <c r="E124" s="13">
        <f t="shared" si="30"/>
        <v>1628.8946267774534</v>
      </c>
      <c r="F124" s="14">
        <f t="shared" si="42"/>
        <v>189992.05592824394</v>
      </c>
      <c r="G124" s="15">
        <f t="shared" si="31"/>
        <v>0.63650889780073838</v>
      </c>
      <c r="H124" s="13">
        <f t="shared" si="32"/>
        <v>3901.7330979689709</v>
      </c>
      <c r="I124" s="13">
        <f t="shared" si="33"/>
        <v>207370.13699740393</v>
      </c>
      <c r="J124" s="15">
        <f t="shared" si="26"/>
        <v>0.36349110219926162</v>
      </c>
      <c r="K124" s="13">
        <f t="shared" si="34"/>
        <v>108498.75321001527</v>
      </c>
      <c r="L124" s="13">
        <f t="shared" si="43"/>
        <v>4618096.1414469853</v>
      </c>
      <c r="M124" s="15">
        <f t="shared" si="35"/>
        <v>0.36349110219926162</v>
      </c>
      <c r="N124" s="13">
        <f t="shared" si="27"/>
        <v>1460.2303219413723</v>
      </c>
      <c r="O124" s="13">
        <f t="shared" si="36"/>
        <v>98871.383787388564</v>
      </c>
      <c r="P124" s="15">
        <f t="shared" si="28"/>
        <v>0.24881930276111808</v>
      </c>
      <c r="Q124" s="7">
        <f t="shared" si="37"/>
        <v>397362.19292564777</v>
      </c>
      <c r="R124" s="7">
        <f t="shared" si="38"/>
        <v>298490.80913825921</v>
      </c>
      <c r="S124" s="13">
        <f>IF('Calc (3)'!$AD$32="Sim",R124,Q124)</f>
        <v>298490.80913825921</v>
      </c>
      <c r="T124" s="9">
        <f t="shared" si="39"/>
        <v>120</v>
      </c>
      <c r="U124" s="17">
        <f t="shared" ca="1" si="40"/>
        <v>49157</v>
      </c>
      <c r="V124" s="22"/>
      <c r="W124" s="22"/>
      <c r="X124" s="22"/>
    </row>
    <row r="125" spans="2:24" x14ac:dyDescent="0.2">
      <c r="B125" s="17">
        <f t="shared" ca="1" si="29"/>
        <v>49157</v>
      </c>
      <c r="C125" s="9">
        <f t="shared" si="41"/>
        <v>121</v>
      </c>
      <c r="D125" s="9"/>
      <c r="E125" s="13">
        <f t="shared" si="30"/>
        <v>1635.5309451174644</v>
      </c>
      <c r="F125" s="14">
        <f t="shared" si="42"/>
        <v>191627.5868733614</v>
      </c>
      <c r="G125" s="15">
        <f t="shared" si="31"/>
        <v>0.63451773730825844</v>
      </c>
      <c r="H125" s="13">
        <f t="shared" si="32"/>
        <v>3956.8053156325068</v>
      </c>
      <c r="I125" s="13">
        <f t="shared" si="33"/>
        <v>211326.94231303644</v>
      </c>
      <c r="J125" s="15">
        <f t="shared" si="26"/>
        <v>0.36548226269174156</v>
      </c>
      <c r="K125" s="13">
        <f t="shared" si="34"/>
        <v>110377.50393195011</v>
      </c>
      <c r="L125" s="13">
        <f t="shared" si="43"/>
        <v>4728473.6453789352</v>
      </c>
      <c r="M125" s="15">
        <f t="shared" si="35"/>
        <v>0.3654822626917415</v>
      </c>
      <c r="N125" s="13">
        <f t="shared" si="27"/>
        <v>1480.7810918027801</v>
      </c>
      <c r="O125" s="13">
        <f t="shared" si="36"/>
        <v>100949.43838108622</v>
      </c>
      <c r="P125" s="15">
        <f t="shared" si="28"/>
        <v>0.25052315104861195</v>
      </c>
      <c r="Q125" s="7">
        <f t="shared" si="37"/>
        <v>402954.52918639773</v>
      </c>
      <c r="R125" s="7">
        <f t="shared" si="38"/>
        <v>302005.09080531151</v>
      </c>
      <c r="S125" s="13">
        <f>IF('Calc (3)'!$AD$32="Sim",R125,Q125)</f>
        <v>302005.09080531151</v>
      </c>
      <c r="T125" s="9">
        <f t="shared" si="39"/>
        <v>121</v>
      </c>
      <c r="U125" s="17">
        <f t="shared" ca="1" si="40"/>
        <v>49188</v>
      </c>
      <c r="V125" s="22"/>
      <c r="W125" s="22"/>
      <c r="X125" s="22"/>
    </row>
    <row r="126" spans="2:24" x14ac:dyDescent="0.2">
      <c r="B126" s="17">
        <f t="shared" ca="1" si="29"/>
        <v>49188</v>
      </c>
      <c r="C126" s="9">
        <f t="shared" si="41"/>
        <v>122</v>
      </c>
      <c r="D126" s="9"/>
      <c r="E126" s="13">
        <f t="shared" si="30"/>
        <v>1642.1943006398603</v>
      </c>
      <c r="F126" s="14">
        <f t="shared" si="42"/>
        <v>193269.78117400125</v>
      </c>
      <c r="G126" s="15">
        <f t="shared" si="31"/>
        <v>0.63253476639507389</v>
      </c>
      <c r="H126" s="13">
        <f t="shared" si="32"/>
        <v>4012.4920071126908</v>
      </c>
      <c r="I126" s="13">
        <f t="shared" si="33"/>
        <v>215339.43432014913</v>
      </c>
      <c r="J126" s="15">
        <f t="shared" si="26"/>
        <v>0.36746523360492611</v>
      </c>
      <c r="K126" s="13">
        <f t="shared" si="34"/>
        <v>112278.29529850555</v>
      </c>
      <c r="L126" s="13">
        <f t="shared" si="43"/>
        <v>4840751.9406774407</v>
      </c>
      <c r="M126" s="15">
        <f t="shared" si="35"/>
        <v>0.36746523360492611</v>
      </c>
      <c r="N126" s="13">
        <f t="shared" si="27"/>
        <v>1501.5609862030308</v>
      </c>
      <c r="O126" s="13">
        <f t="shared" si="36"/>
        <v>103061.1390216435</v>
      </c>
      <c r="P126" s="15">
        <f t="shared" si="28"/>
        <v>0.25222421598349615</v>
      </c>
      <c r="Q126" s="7">
        <f t="shared" si="37"/>
        <v>408609.2154941503</v>
      </c>
      <c r="R126" s="7">
        <f t="shared" si="38"/>
        <v>305548.0764725068</v>
      </c>
      <c r="S126" s="13">
        <f>IF('Calc (3)'!$AD$32="Sim",R126,Q126)</f>
        <v>305548.0764725068</v>
      </c>
      <c r="T126" s="9">
        <f t="shared" si="39"/>
        <v>122</v>
      </c>
      <c r="U126" s="17">
        <f t="shared" ca="1" si="40"/>
        <v>49218</v>
      </c>
      <c r="V126" s="22"/>
      <c r="W126" s="22"/>
      <c r="X126" s="22"/>
    </row>
    <row r="127" spans="2:24" x14ac:dyDescent="0.2">
      <c r="B127" s="17">
        <f t="shared" ca="1" si="29"/>
        <v>49218</v>
      </c>
      <c r="C127" s="9">
        <f t="shared" si="41"/>
        <v>123</v>
      </c>
      <c r="D127" s="9"/>
      <c r="E127" s="13">
        <f t="shared" si="30"/>
        <v>1648.884803497469</v>
      </c>
      <c r="F127" s="14">
        <f t="shared" si="42"/>
        <v>194918.66597749872</v>
      </c>
      <c r="G127" s="15">
        <f t="shared" si="31"/>
        <v>0.63055992143548623</v>
      </c>
      <c r="H127" s="13">
        <f t="shared" si="32"/>
        <v>4068.7995603703712</v>
      </c>
      <c r="I127" s="13">
        <f t="shared" si="33"/>
        <v>219408.23388051949</v>
      </c>
      <c r="J127" s="15">
        <f t="shared" si="26"/>
        <v>0.36944007856451377</v>
      </c>
      <c r="K127" s="13">
        <f t="shared" si="34"/>
        <v>114201.30716281958</v>
      </c>
      <c r="L127" s="13">
        <f t="shared" si="43"/>
        <v>4954953.2478402602</v>
      </c>
      <c r="M127" s="15">
        <f t="shared" si="35"/>
        <v>0.36944007856451377</v>
      </c>
      <c r="N127" s="13">
        <f t="shared" si="27"/>
        <v>1522.572386452103</v>
      </c>
      <c r="O127" s="13">
        <f t="shared" si="36"/>
        <v>105206.92671769985</v>
      </c>
      <c r="P127" s="15">
        <f t="shared" si="28"/>
        <v>0.2539225108332388</v>
      </c>
      <c r="Q127" s="7">
        <f t="shared" si="37"/>
        <v>414326.89985801815</v>
      </c>
      <c r="R127" s="7">
        <f t="shared" si="38"/>
        <v>309119.9731403183</v>
      </c>
      <c r="S127" s="13">
        <f>IF('Calc (3)'!$AD$32="Sim",R127,Q127)</f>
        <v>309119.9731403183</v>
      </c>
      <c r="T127" s="9">
        <f t="shared" si="39"/>
        <v>123</v>
      </c>
      <c r="U127" s="17">
        <f t="shared" ca="1" si="40"/>
        <v>49249</v>
      </c>
      <c r="V127" s="22"/>
      <c r="W127" s="22"/>
      <c r="X127" s="22"/>
    </row>
    <row r="128" spans="2:24" x14ac:dyDescent="0.2">
      <c r="B128" s="17">
        <f t="shared" ca="1" si="29"/>
        <v>49249</v>
      </c>
      <c r="C128" s="9">
        <f t="shared" si="41"/>
        <v>124</v>
      </c>
      <c r="D128" s="9"/>
      <c r="E128" s="13">
        <f t="shared" si="30"/>
        <v>1655.6025642918944</v>
      </c>
      <c r="F128" s="14">
        <f t="shared" si="42"/>
        <v>196574.2685417906</v>
      </c>
      <c r="G128" s="15">
        <f t="shared" si="31"/>
        <v>0.62859313995652721</v>
      </c>
      <c r="H128" s="13">
        <f t="shared" si="32"/>
        <v>4125.7344280725292</v>
      </c>
      <c r="I128" s="13">
        <f t="shared" si="33"/>
        <v>223533.96830859201</v>
      </c>
      <c r="J128" s="15">
        <f t="shared" si="26"/>
        <v>0.37140686004347279</v>
      </c>
      <c r="K128" s="13">
        <f t="shared" si="34"/>
        <v>116146.72067451786</v>
      </c>
      <c r="L128" s="13">
        <f t="shared" si="43"/>
        <v>5071099.9685147777</v>
      </c>
      <c r="M128" s="15">
        <f t="shared" si="35"/>
        <v>0.37140686004347284</v>
      </c>
      <c r="N128" s="13">
        <f t="shared" si="27"/>
        <v>1543.8176979787372</v>
      </c>
      <c r="O128" s="13">
        <f t="shared" si="36"/>
        <v>107387.24763407413</v>
      </c>
      <c r="P128" s="15">
        <f t="shared" si="28"/>
        <v>0.25561804843240682</v>
      </c>
      <c r="Q128" s="7">
        <f t="shared" si="37"/>
        <v>420108.23685038259</v>
      </c>
      <c r="R128" s="7">
        <f t="shared" si="38"/>
        <v>312720.98921630846</v>
      </c>
      <c r="S128" s="13">
        <f>IF('Calc (3)'!$AD$32="Sim",R128,Q128)</f>
        <v>312720.98921630846</v>
      </c>
      <c r="T128" s="9">
        <f t="shared" si="39"/>
        <v>124</v>
      </c>
      <c r="U128" s="17">
        <f t="shared" ca="1" si="40"/>
        <v>49279</v>
      </c>
      <c r="V128" s="22"/>
      <c r="W128" s="22"/>
      <c r="X128" s="22"/>
    </row>
    <row r="129" spans="2:24" x14ac:dyDescent="0.2">
      <c r="B129" s="17">
        <f t="shared" ca="1" si="29"/>
        <v>49279</v>
      </c>
      <c r="C129" s="9">
        <f t="shared" si="41"/>
        <v>125</v>
      </c>
      <c r="D129" s="9"/>
      <c r="E129" s="13">
        <f t="shared" si="30"/>
        <v>1662.3476940753453</v>
      </c>
      <c r="F129" s="14">
        <f t="shared" si="42"/>
        <v>198236.61623586595</v>
      </c>
      <c r="G129" s="15">
        <f t="shared" si="31"/>
        <v>0.62663436060384947</v>
      </c>
      <c r="H129" s="13">
        <f t="shared" si="32"/>
        <v>4183.3031282410702</v>
      </c>
      <c r="I129" s="13">
        <f t="shared" si="33"/>
        <v>227717.27143683308</v>
      </c>
      <c r="J129" s="15">
        <f t="shared" si="26"/>
        <v>0.37336563939615053</v>
      </c>
      <c r="K129" s="13">
        <f t="shared" si="34"/>
        <v>118114.71828852457</v>
      </c>
      <c r="L129" s="13">
        <f t="shared" si="43"/>
        <v>5189214.6868033027</v>
      </c>
      <c r="M129" s="15">
        <f t="shared" si="35"/>
        <v>0.37336563939615053</v>
      </c>
      <c r="N129" s="13">
        <f t="shared" si="27"/>
        <v>1565.299350572257</v>
      </c>
      <c r="O129" s="13">
        <f t="shared" si="36"/>
        <v>109602.55314830848</v>
      </c>
      <c r="P129" s="15">
        <f t="shared" si="28"/>
        <v>0.25731084119726727</v>
      </c>
      <c r="Q129" s="7">
        <f t="shared" si="37"/>
        <v>425953.887672699</v>
      </c>
      <c r="R129" s="7">
        <f t="shared" si="38"/>
        <v>316351.33452439052</v>
      </c>
      <c r="S129" s="13">
        <f>IF('Calc (3)'!$AD$32="Sim",R129,Q129)</f>
        <v>316351.33452439052</v>
      </c>
      <c r="T129" s="9">
        <f t="shared" si="39"/>
        <v>125</v>
      </c>
      <c r="U129" s="17">
        <f t="shared" ca="1" si="40"/>
        <v>49310</v>
      </c>
      <c r="V129" s="22"/>
      <c r="W129" s="22"/>
      <c r="X129" s="22"/>
    </row>
    <row r="130" spans="2:24" x14ac:dyDescent="0.2">
      <c r="B130" s="17">
        <f t="shared" ca="1" si="29"/>
        <v>49310</v>
      </c>
      <c r="C130" s="9">
        <f t="shared" si="41"/>
        <v>126</v>
      </c>
      <c r="D130" s="9"/>
      <c r="E130" s="13">
        <f t="shared" si="30"/>
        <v>1669.1203043524706</v>
      </c>
      <c r="F130" s="14">
        <f t="shared" si="42"/>
        <v>199905.73654021841</v>
      </c>
      <c r="G130" s="15">
        <f t="shared" si="31"/>
        <v>0.62468352310888975</v>
      </c>
      <c r="H130" s="13">
        <f t="shared" si="32"/>
        <v>4241.5122449080927</v>
      </c>
      <c r="I130" s="13">
        <f t="shared" si="33"/>
        <v>231958.78368174116</v>
      </c>
      <c r="J130" s="15">
        <f t="shared" si="26"/>
        <v>0.37531647689111025</v>
      </c>
      <c r="K130" s="13">
        <f t="shared" si="34"/>
        <v>120105.48377393174</v>
      </c>
      <c r="L130" s="13">
        <f t="shared" si="43"/>
        <v>5309320.1705772346</v>
      </c>
      <c r="M130" s="15">
        <f t="shared" si="35"/>
        <v>0.37531647689111031</v>
      </c>
      <c r="N130" s="13">
        <f t="shared" si="27"/>
        <v>1587.0197986268076</v>
      </c>
      <c r="O130" s="13">
        <f t="shared" si="36"/>
        <v>111853.29990780941</v>
      </c>
      <c r="P130" s="15">
        <f t="shared" si="28"/>
        <v>0.25900090113983359</v>
      </c>
      <c r="Q130" s="7">
        <f t="shared" si="37"/>
        <v>431864.52022195957</v>
      </c>
      <c r="R130" s="7">
        <f t="shared" si="38"/>
        <v>320011.22031415015</v>
      </c>
      <c r="S130" s="13">
        <f>IF('Calc (3)'!$AD$32="Sim",R130,Q130)</f>
        <v>320011.22031415015</v>
      </c>
      <c r="T130" s="9">
        <f t="shared" si="39"/>
        <v>126</v>
      </c>
      <c r="U130" s="17">
        <f t="shared" ca="1" si="40"/>
        <v>49341</v>
      </c>
      <c r="V130" s="22"/>
      <c r="W130" s="22"/>
      <c r="X130" s="22"/>
    </row>
    <row r="131" spans="2:24" x14ac:dyDescent="0.2">
      <c r="B131" s="17">
        <f t="shared" ca="1" si="29"/>
        <v>49341</v>
      </c>
      <c r="C131" s="9">
        <f t="shared" si="41"/>
        <v>127</v>
      </c>
      <c r="D131" s="9"/>
      <c r="E131" s="13">
        <f t="shared" si="30"/>
        <v>1675.9205070822034</v>
      </c>
      <c r="F131" s="14">
        <f t="shared" si="42"/>
        <v>201581.6570473006</v>
      </c>
      <c r="G131" s="15">
        <f t="shared" si="31"/>
        <v>0.62274056825724855</v>
      </c>
      <c r="H131" s="13">
        <f t="shared" si="32"/>
        <v>4300.3684287777069</v>
      </c>
      <c r="I131" s="13">
        <f t="shared" si="33"/>
        <v>236259.15211051886</v>
      </c>
      <c r="J131" s="15">
        <f t="shared" si="26"/>
        <v>0.37725943174275145</v>
      </c>
      <c r="K131" s="13">
        <f t="shared" si="34"/>
        <v>122119.20222292608</v>
      </c>
      <c r="L131" s="13">
        <f t="shared" si="43"/>
        <v>5431439.3728001602</v>
      </c>
      <c r="M131" s="15">
        <f t="shared" si="35"/>
        <v>0.37725943174275145</v>
      </c>
      <c r="N131" s="13">
        <f t="shared" si="27"/>
        <v>1608.9815213880324</v>
      </c>
      <c r="O131" s="13">
        <f t="shared" si="36"/>
        <v>114139.94988759281</v>
      </c>
      <c r="P131" s="15">
        <f t="shared" si="28"/>
        <v>0.26068823988138373</v>
      </c>
      <c r="Q131" s="7">
        <f t="shared" si="37"/>
        <v>437840.80915781949</v>
      </c>
      <c r="R131" s="7">
        <f t="shared" si="38"/>
        <v>323700.85927022668</v>
      </c>
      <c r="S131" s="13">
        <f>IF('Calc (3)'!$AD$32="Sim",R131,Q131)</f>
        <v>323700.85927022668</v>
      </c>
      <c r="T131" s="9">
        <f t="shared" si="39"/>
        <v>127</v>
      </c>
      <c r="U131" s="17">
        <f t="shared" ca="1" si="40"/>
        <v>49369</v>
      </c>
      <c r="V131" s="22"/>
      <c r="W131" s="22"/>
      <c r="X131" s="22"/>
    </row>
    <row r="132" spans="2:24" x14ac:dyDescent="0.2">
      <c r="B132" s="17">
        <f t="shared" ca="1" si="29"/>
        <v>49369</v>
      </c>
      <c r="C132" s="9">
        <f t="shared" si="41"/>
        <v>128</v>
      </c>
      <c r="D132" s="9"/>
      <c r="E132" s="13">
        <f t="shared" si="30"/>
        <v>1682.748414679611</v>
      </c>
      <c r="F132" s="14">
        <f t="shared" si="42"/>
        <v>203264.4054619802</v>
      </c>
      <c r="G132" s="15">
        <f t="shared" si="31"/>
        <v>0.6208054378582335</v>
      </c>
      <c r="H132" s="13">
        <f t="shared" si="32"/>
        <v>4359.8783978944484</v>
      </c>
      <c r="I132" s="13">
        <f t="shared" si="33"/>
        <v>240619.0305084133</v>
      </c>
      <c r="J132" s="15">
        <f t="shared" si="26"/>
        <v>0.3791945621417665</v>
      </c>
      <c r="K132" s="13">
        <f t="shared" si="34"/>
        <v>124156.06005977554</v>
      </c>
      <c r="L132" s="13">
        <f t="shared" si="43"/>
        <v>5555595.4328599358</v>
      </c>
      <c r="M132" s="15">
        <f t="shared" si="35"/>
        <v>0.37919456214176656</v>
      </c>
      <c r="N132" s="13">
        <f t="shared" si="27"/>
        <v>1631.1870232022113</v>
      </c>
      <c r="O132" s="13">
        <f t="shared" si="36"/>
        <v>116462.97044863779</v>
      </c>
      <c r="P132" s="15">
        <f t="shared" si="28"/>
        <v>0.26237286866547038</v>
      </c>
      <c r="Q132" s="7">
        <f t="shared" si="37"/>
        <v>443883.43597039353</v>
      </c>
      <c r="R132" s="7">
        <f t="shared" si="38"/>
        <v>327420.46552175574</v>
      </c>
      <c r="S132" s="13">
        <f>IF('Calc (3)'!$AD$32="Sim",R132,Q132)</f>
        <v>327420.46552175574</v>
      </c>
      <c r="T132" s="9">
        <f t="shared" si="39"/>
        <v>128</v>
      </c>
      <c r="U132" s="17">
        <f t="shared" ca="1" si="40"/>
        <v>49400</v>
      </c>
      <c r="V132" s="22"/>
      <c r="W132" s="22"/>
      <c r="X132" s="22"/>
    </row>
    <row r="133" spans="2:24" x14ac:dyDescent="0.2">
      <c r="B133" s="17">
        <f t="shared" ca="1" si="29"/>
        <v>49400</v>
      </c>
      <c r="C133" s="9">
        <f t="shared" si="41"/>
        <v>129</v>
      </c>
      <c r="D133" s="9"/>
      <c r="E133" s="13">
        <f t="shared" si="30"/>
        <v>1689.6041400177537</v>
      </c>
      <c r="F133" s="14">
        <f t="shared" si="42"/>
        <v>204954.00960199797</v>
      </c>
      <c r="G133" s="15">
        <f t="shared" si="31"/>
        <v>0.61887807471551615</v>
      </c>
      <c r="H133" s="13">
        <f t="shared" si="32"/>
        <v>4420.0489383183849</v>
      </c>
      <c r="I133" s="13">
        <f t="shared" si="33"/>
        <v>245039.07944673169</v>
      </c>
      <c r="J133" s="15">
        <f t="shared" ref="J133:J196" si="44">1-G133</f>
        <v>0.38112192528448385</v>
      </c>
      <c r="K133" s="13">
        <f t="shared" si="34"/>
        <v>126216.24504987441</v>
      </c>
      <c r="L133" s="13">
        <f t="shared" si="43"/>
        <v>5681811.6779098101</v>
      </c>
      <c r="M133" s="15">
        <f t="shared" si="35"/>
        <v>0.38112192528448391</v>
      </c>
      <c r="N133" s="13">
        <f t="shared" ref="N133:N196" si="45">Q133*Inflação_3</f>
        <v>1653.6388337678891</v>
      </c>
      <c r="O133" s="13">
        <f t="shared" si="36"/>
        <v>118822.8343968573</v>
      </c>
      <c r="P133" s="15">
        <f t="shared" ref="P133:P196" si="46">O133/Q133</f>
        <v>0.26405479837044787</v>
      </c>
      <c r="Q133" s="7">
        <f t="shared" si="37"/>
        <v>449993.08904872969</v>
      </c>
      <c r="R133" s="7">
        <f t="shared" si="38"/>
        <v>331170.25465187238</v>
      </c>
      <c r="S133" s="13">
        <f>IF('Calc (3)'!$AD$32="Sim",R133,Q133)</f>
        <v>331170.25465187238</v>
      </c>
      <c r="T133" s="9">
        <f t="shared" si="39"/>
        <v>129</v>
      </c>
      <c r="U133" s="17">
        <f t="shared" ca="1" si="40"/>
        <v>49430</v>
      </c>
      <c r="V133" s="22"/>
      <c r="W133" s="22"/>
      <c r="X133" s="22"/>
    </row>
    <row r="134" spans="2:24" x14ac:dyDescent="0.2">
      <c r="B134" s="17">
        <f t="shared" ref="B134:B197" ca="1" si="47">DATE(YEAR(B133),MONTH(B133)+1,1)</f>
        <v>49430</v>
      </c>
      <c r="C134" s="9">
        <f t="shared" si="41"/>
        <v>130</v>
      </c>
      <c r="D134" s="9"/>
      <c r="E134" s="13">
        <f t="shared" ref="E134:E197" si="48">IF($AE$33,IF($AE$34,$E133*(1+Inflação_3)*(1+Crescimento_Salário_3),$E133*(1+Inflação_3)),IF($AE$34,$E133*(1+Crescimento_Salário_3),$E133))</f>
        <v>1696.4877964295508</v>
      </c>
      <c r="F134" s="14">
        <f t="shared" si="42"/>
        <v>206650.49739842751</v>
      </c>
      <c r="G134" s="15">
        <f t="shared" ref="G134:G197" si="49">IF(F134&lt;=0,0,F134/S134)</f>
        <v>0.6169584225988558</v>
      </c>
      <c r="H134" s="13">
        <f t="shared" ref="H134:H197" si="50">Q133*Taxa_3</f>
        <v>4480.8869048069437</v>
      </c>
      <c r="I134" s="13">
        <f t="shared" ref="I134:I197" si="51">I133+H134</f>
        <v>249519.96635153863</v>
      </c>
      <c r="J134" s="15">
        <f t="shared" si="44"/>
        <v>0.3830415774011442</v>
      </c>
      <c r="K134" s="13">
        <f t="shared" ref="K134:K197" si="52">R134-F134</f>
        <v>128299.94630884792</v>
      </c>
      <c r="L134" s="13">
        <f t="shared" si="43"/>
        <v>5810111.6242186576</v>
      </c>
      <c r="M134" s="15">
        <f t="shared" ref="M134:M197" si="53">K134/R134</f>
        <v>0.38304157740114414</v>
      </c>
      <c r="N134" s="13">
        <f t="shared" si="45"/>
        <v>1676.3395083900136</v>
      </c>
      <c r="O134" s="13">
        <f t="shared" ref="O134:O197" si="54">Q134-R134</f>
        <v>121220.02004269074</v>
      </c>
      <c r="P134" s="15">
        <f t="shared" si="46"/>
        <v>0.26573403952153563</v>
      </c>
      <c r="Q134" s="7">
        <f t="shared" ref="Q134:Q197" si="55">Q133+E134+H134</f>
        <v>456170.46374996618</v>
      </c>
      <c r="R134" s="7">
        <f t="shared" ref="R134:R197" si="56">(R133+E134)*(1+((1+Taxa_3)/(1+Inflação_3)-1))</f>
        <v>334950.44370727544</v>
      </c>
      <c r="S134" s="13">
        <f>IF('Calc (3)'!$AD$32="Sim",R134,Q134)</f>
        <v>334950.44370727544</v>
      </c>
      <c r="T134" s="9">
        <f t="shared" ref="T134:T197" si="57">C134</f>
        <v>130</v>
      </c>
      <c r="U134" s="17">
        <f t="shared" ref="U134:U197" ca="1" si="58">DATE(YEAR(U133),MONTH(U133)+1,1)</f>
        <v>49461</v>
      </c>
      <c r="V134" s="22"/>
      <c r="W134" s="22"/>
      <c r="X134" s="22"/>
    </row>
    <row r="135" spans="2:24" x14ac:dyDescent="0.2">
      <c r="B135" s="17">
        <f t="shared" ca="1" si="47"/>
        <v>49461</v>
      </c>
      <c r="C135" s="9">
        <f t="shared" ref="C135:C198" si="59">C134+1</f>
        <v>131</v>
      </c>
      <c r="D135" s="9"/>
      <c r="E135" s="13">
        <f t="shared" si="48"/>
        <v>1703.3994977096536</v>
      </c>
      <c r="F135" s="14">
        <f t="shared" ref="F135:F198" si="60">F134+E135</f>
        <v>208353.89689613716</v>
      </c>
      <c r="G135" s="15">
        <f t="shared" si="49"/>
        <v>0.6150464262168438</v>
      </c>
      <c r="H135" s="13">
        <f t="shared" si="50"/>
        <v>4542.3992215035651</v>
      </c>
      <c r="I135" s="13">
        <f t="shared" si="51"/>
        <v>254062.36557304219</v>
      </c>
      <c r="J135" s="15">
        <f t="shared" si="44"/>
        <v>0.3849535737831562</v>
      </c>
      <c r="K135" s="13">
        <f t="shared" si="52"/>
        <v>130407.35431171698</v>
      </c>
      <c r="L135" s="13">
        <f t="shared" ref="L135:L198" si="61">L134+K135</f>
        <v>5940518.9785303744</v>
      </c>
      <c r="M135" s="15">
        <f t="shared" si="53"/>
        <v>0.38495357378315614</v>
      </c>
      <c r="N135" s="13">
        <f t="shared" si="45"/>
        <v>1699.291628236615</v>
      </c>
      <c r="O135" s="13">
        <f t="shared" si="54"/>
        <v>123655.01126132527</v>
      </c>
      <c r="P135" s="15">
        <f t="shared" si="46"/>
        <v>0.26741060230243746</v>
      </c>
      <c r="Q135" s="7">
        <f t="shared" si="55"/>
        <v>462416.2624691794</v>
      </c>
      <c r="R135" s="7">
        <f t="shared" si="56"/>
        <v>338761.25120785413</v>
      </c>
      <c r="S135" s="13">
        <f>IF('Calc (3)'!$AD$32="Sim",R135,Q135)</f>
        <v>338761.25120785413</v>
      </c>
      <c r="T135" s="9">
        <f t="shared" si="57"/>
        <v>131</v>
      </c>
      <c r="U135" s="17">
        <f t="shared" ca="1" si="58"/>
        <v>49491</v>
      </c>
      <c r="V135" s="22"/>
      <c r="W135" s="22"/>
      <c r="X135" s="22"/>
    </row>
    <row r="136" spans="2:24" x14ac:dyDescent="0.2">
      <c r="B136" s="17">
        <f t="shared" ca="1" si="47"/>
        <v>49491</v>
      </c>
      <c r="C136" s="9">
        <f t="shared" si="59"/>
        <v>132</v>
      </c>
      <c r="D136" s="9">
        <v>11</v>
      </c>
      <c r="E136" s="13">
        <f t="shared" si="48"/>
        <v>1710.339358116327</v>
      </c>
      <c r="F136" s="14">
        <f t="shared" si="60"/>
        <v>210064.23625425348</v>
      </c>
      <c r="G136" s="15">
        <f t="shared" si="49"/>
        <v>0.61314203119062516</v>
      </c>
      <c r="H136" s="13">
        <f t="shared" si="50"/>
        <v>4604.5928826332183</v>
      </c>
      <c r="I136" s="13">
        <f t="shared" si="51"/>
        <v>258666.9584556754</v>
      </c>
      <c r="J136" s="15">
        <f t="shared" si="44"/>
        <v>0.38685796880937484</v>
      </c>
      <c r="K136" s="13">
        <f t="shared" si="52"/>
        <v>132538.66090212291</v>
      </c>
      <c r="L136" s="13">
        <f t="shared" si="61"/>
        <v>6073057.6394324973</v>
      </c>
      <c r="M136" s="15">
        <f t="shared" si="53"/>
        <v>0.38685796880937484</v>
      </c>
      <c r="N136" s="13">
        <f t="shared" si="45"/>
        <v>1722.4978005980431</v>
      </c>
      <c r="O136" s="13">
        <f t="shared" si="54"/>
        <v>126128.29755355255</v>
      </c>
      <c r="P136" s="15">
        <f t="shared" si="46"/>
        <v>0.26908449656653677</v>
      </c>
      <c r="Q136" s="7">
        <f t="shared" si="55"/>
        <v>468731.19470992894</v>
      </c>
      <c r="R136" s="7">
        <f t="shared" si="56"/>
        <v>342602.89715637639</v>
      </c>
      <c r="S136" s="13">
        <f>IF('Calc (3)'!$AD$32="Sim",R136,Q136)</f>
        <v>342602.89715637639</v>
      </c>
      <c r="T136" s="9">
        <f t="shared" si="57"/>
        <v>132</v>
      </c>
      <c r="U136" s="17">
        <f t="shared" ca="1" si="58"/>
        <v>49522</v>
      </c>
      <c r="V136" s="22"/>
      <c r="W136" s="22"/>
      <c r="X136" s="22"/>
    </row>
    <row r="137" spans="2:24" x14ac:dyDescent="0.2">
      <c r="B137" s="17">
        <f t="shared" ca="1" si="47"/>
        <v>49522</v>
      </c>
      <c r="C137" s="9">
        <f t="shared" si="59"/>
        <v>133</v>
      </c>
      <c r="D137" s="9"/>
      <c r="E137" s="13">
        <f t="shared" si="48"/>
        <v>1717.3074923733386</v>
      </c>
      <c r="F137" s="14">
        <f t="shared" si="60"/>
        <v>211781.54374662682</v>
      </c>
      <c r="G137" s="15">
        <f t="shared" si="49"/>
        <v>0.61124518402855721</v>
      </c>
      <c r="H137" s="13">
        <f t="shared" si="50"/>
        <v>4667.47495320487</v>
      </c>
      <c r="I137" s="13">
        <f t="shared" si="51"/>
        <v>263334.43340888026</v>
      </c>
      <c r="J137" s="15">
        <f t="shared" si="44"/>
        <v>0.38875481597144279</v>
      </c>
      <c r="K137" s="13">
        <f t="shared" si="52"/>
        <v>134694.05930161319</v>
      </c>
      <c r="L137" s="13">
        <f t="shared" si="61"/>
        <v>6207751.6987341102</v>
      </c>
      <c r="M137" s="15">
        <f t="shared" si="53"/>
        <v>0.38875481597144274</v>
      </c>
      <c r="N137" s="13">
        <f t="shared" si="45"/>
        <v>1745.960659148798</v>
      </c>
      <c r="O137" s="13">
        <f t="shared" si="54"/>
        <v>128640.37410726713</v>
      </c>
      <c r="P137" s="15">
        <f t="shared" si="46"/>
        <v>0.27075573184768459</v>
      </c>
      <c r="Q137" s="7">
        <f t="shared" si="55"/>
        <v>475115.97715550713</v>
      </c>
      <c r="R137" s="7">
        <f t="shared" si="56"/>
        <v>346475.60304824001</v>
      </c>
      <c r="S137" s="13">
        <f>IF('Calc (3)'!$AD$32="Sim",R137,Q137)</f>
        <v>346475.60304824001</v>
      </c>
      <c r="T137" s="9">
        <f t="shared" si="57"/>
        <v>133</v>
      </c>
      <c r="U137" s="17">
        <f t="shared" ca="1" si="58"/>
        <v>49553</v>
      </c>
      <c r="V137" s="22"/>
      <c r="W137" s="22"/>
      <c r="X137" s="22"/>
    </row>
    <row r="138" spans="2:24" x14ac:dyDescent="0.2">
      <c r="B138" s="17">
        <f t="shared" ca="1" si="47"/>
        <v>49553</v>
      </c>
      <c r="C138" s="9">
        <f t="shared" si="59"/>
        <v>134</v>
      </c>
      <c r="D138" s="9"/>
      <c r="E138" s="13">
        <f t="shared" si="48"/>
        <v>1724.3040156718544</v>
      </c>
      <c r="F138" s="14">
        <f t="shared" si="60"/>
        <v>213505.84776229868</v>
      </c>
      <c r="G138" s="15">
        <f t="shared" si="49"/>
        <v>0.60935583210176647</v>
      </c>
      <c r="H138" s="13">
        <f t="shared" si="50"/>
        <v>4731.0525697209641</v>
      </c>
      <c r="I138" s="13">
        <f t="shared" si="51"/>
        <v>268065.48597860121</v>
      </c>
      <c r="J138" s="15">
        <f t="shared" si="44"/>
        <v>0.39064416789823353</v>
      </c>
      <c r="K138" s="13">
        <f t="shared" si="52"/>
        <v>136873.74411898784</v>
      </c>
      <c r="L138" s="13">
        <f t="shared" si="61"/>
        <v>6344625.4428530978</v>
      </c>
      <c r="M138" s="15">
        <f t="shared" si="53"/>
        <v>0.39064416789823353</v>
      </c>
      <c r="N138" s="13">
        <f t="shared" si="45"/>
        <v>1769.6828642119713</v>
      </c>
      <c r="O138" s="13">
        <f t="shared" si="54"/>
        <v>131191.74185961339</v>
      </c>
      <c r="P138" s="15">
        <f t="shared" si="46"/>
        <v>0.27242431737059863</v>
      </c>
      <c r="Q138" s="7">
        <f t="shared" si="55"/>
        <v>481571.33374089992</v>
      </c>
      <c r="R138" s="7">
        <f t="shared" si="56"/>
        <v>350379.59188128653</v>
      </c>
      <c r="S138" s="13">
        <f>IF('Calc (3)'!$AD$32="Sim",R138,Q138)</f>
        <v>350379.59188128653</v>
      </c>
      <c r="T138" s="9">
        <f t="shared" si="57"/>
        <v>134</v>
      </c>
      <c r="U138" s="17">
        <f t="shared" ca="1" si="58"/>
        <v>49583</v>
      </c>
      <c r="V138" s="22"/>
      <c r="W138" s="22"/>
      <c r="X138" s="22"/>
    </row>
    <row r="139" spans="2:24" x14ac:dyDescent="0.2">
      <c r="B139" s="17">
        <f t="shared" ca="1" si="47"/>
        <v>49583</v>
      </c>
      <c r="C139" s="9">
        <f t="shared" si="59"/>
        <v>135</v>
      </c>
      <c r="D139" s="9"/>
      <c r="E139" s="13">
        <f t="shared" si="48"/>
        <v>1731.3290436723435</v>
      </c>
      <c r="F139" s="14">
        <f t="shared" si="60"/>
        <v>215237.17680597102</v>
      </c>
      <c r="G139" s="15">
        <f t="shared" si="49"/>
        <v>0.6074739236205644</v>
      </c>
      <c r="H139" s="13">
        <f t="shared" si="50"/>
        <v>4795.3329408939826</v>
      </c>
      <c r="I139" s="13">
        <f t="shared" si="51"/>
        <v>272860.81891949521</v>
      </c>
      <c r="J139" s="15">
        <f t="shared" si="44"/>
        <v>0.3925260763794356</v>
      </c>
      <c r="K139" s="13">
        <f t="shared" si="52"/>
        <v>139077.91135970765</v>
      </c>
      <c r="L139" s="13">
        <f t="shared" si="61"/>
        <v>6483703.3542128056</v>
      </c>
      <c r="M139" s="15">
        <f t="shared" si="53"/>
        <v>0.3925260763794356</v>
      </c>
      <c r="N139" s="13">
        <f t="shared" si="45"/>
        <v>1793.6671030263296</v>
      </c>
      <c r="O139" s="13">
        <f t="shared" si="54"/>
        <v>133782.90755978762</v>
      </c>
      <c r="P139" s="15">
        <f t="shared" si="46"/>
        <v>0.27409026206088877</v>
      </c>
      <c r="Q139" s="7">
        <f t="shared" si="55"/>
        <v>488097.99572546629</v>
      </c>
      <c r="R139" s="7">
        <f t="shared" si="56"/>
        <v>354315.08816567867</v>
      </c>
      <c r="S139" s="13">
        <f>IF('Calc (3)'!$AD$32="Sim",R139,Q139)</f>
        <v>354315.08816567867</v>
      </c>
      <c r="T139" s="9">
        <f t="shared" si="57"/>
        <v>135</v>
      </c>
      <c r="U139" s="17">
        <f t="shared" ca="1" si="58"/>
        <v>49614</v>
      </c>
      <c r="V139" s="22"/>
      <c r="W139" s="22"/>
      <c r="X139" s="22"/>
    </row>
    <row r="140" spans="2:24" x14ac:dyDescent="0.2">
      <c r="B140" s="17">
        <f t="shared" ca="1" si="47"/>
        <v>49614</v>
      </c>
      <c r="C140" s="9">
        <f t="shared" si="59"/>
        <v>136</v>
      </c>
      <c r="D140" s="9"/>
      <c r="E140" s="13">
        <f t="shared" si="48"/>
        <v>1738.38269250649</v>
      </c>
      <c r="F140" s="14">
        <f t="shared" si="60"/>
        <v>216975.55949847749</v>
      </c>
      <c r="G140" s="15">
        <f t="shared" si="49"/>
        <v>0.60559940761169007</v>
      </c>
      <c r="H140" s="13">
        <f t="shared" si="50"/>
        <v>4860.3233483701688</v>
      </c>
      <c r="I140" s="13">
        <f t="shared" si="51"/>
        <v>277721.14226786536</v>
      </c>
      <c r="J140" s="15">
        <f t="shared" si="44"/>
        <v>0.39440059238830993</v>
      </c>
      <c r="K140" s="13">
        <f t="shared" si="52"/>
        <v>141306.75843536382</v>
      </c>
      <c r="L140" s="13">
        <f t="shared" si="61"/>
        <v>6625010.1126481695</v>
      </c>
      <c r="M140" s="15">
        <f t="shared" si="53"/>
        <v>0.39440059238830993</v>
      </c>
      <c r="N140" s="13">
        <f t="shared" si="45"/>
        <v>1817.9160900160625</v>
      </c>
      <c r="O140" s="13">
        <f t="shared" si="54"/>
        <v>136414.3838325016</v>
      </c>
      <c r="P140" s="15">
        <f t="shared" si="46"/>
        <v>0.2757535745547246</v>
      </c>
      <c r="Q140" s="7">
        <f t="shared" si="55"/>
        <v>494696.70176634291</v>
      </c>
      <c r="R140" s="7">
        <f t="shared" si="56"/>
        <v>358282.31793384132</v>
      </c>
      <c r="S140" s="13">
        <f>IF('Calc (3)'!$AD$32="Sim",R140,Q140)</f>
        <v>358282.31793384132</v>
      </c>
      <c r="T140" s="9">
        <f t="shared" si="57"/>
        <v>136</v>
      </c>
      <c r="U140" s="17">
        <f t="shared" ca="1" si="58"/>
        <v>49644</v>
      </c>
      <c r="V140" s="22"/>
      <c r="W140" s="22"/>
      <c r="X140" s="22"/>
    </row>
    <row r="141" spans="2:24" x14ac:dyDescent="0.2">
      <c r="B141" s="17">
        <f t="shared" ca="1" si="47"/>
        <v>49644</v>
      </c>
      <c r="C141" s="9">
        <f t="shared" si="59"/>
        <v>137</v>
      </c>
      <c r="D141" s="9"/>
      <c r="E141" s="13">
        <f t="shared" si="48"/>
        <v>1745.4650787791134</v>
      </c>
      <c r="F141" s="14">
        <f t="shared" si="60"/>
        <v>218721.02457725661</v>
      </c>
      <c r="G141" s="15">
        <f t="shared" si="49"/>
        <v>0.60373223389634223</v>
      </c>
      <c r="H141" s="13">
        <f t="shared" si="50"/>
        <v>4926.0311474604632</v>
      </c>
      <c r="I141" s="13">
        <f t="shared" si="51"/>
        <v>282647.17341532581</v>
      </c>
      <c r="J141" s="15">
        <f t="shared" si="44"/>
        <v>0.39626776610365777</v>
      </c>
      <c r="K141" s="13">
        <f t="shared" si="52"/>
        <v>143560.48417321025</v>
      </c>
      <c r="L141" s="13">
        <f t="shared" si="61"/>
        <v>6768570.5968213798</v>
      </c>
      <c r="M141" s="15">
        <f t="shared" si="53"/>
        <v>0.39626776610365777</v>
      </c>
      <c r="N141" s="13">
        <f t="shared" si="45"/>
        <v>1842.4325670632265</v>
      </c>
      <c r="O141" s="13">
        <f t="shared" si="54"/>
        <v>139086.68924211559</v>
      </c>
      <c r="P141" s="15">
        <f t="shared" si="46"/>
        <v>0.27741426320816087</v>
      </c>
      <c r="Q141" s="7">
        <f t="shared" si="55"/>
        <v>501368.19799258246</v>
      </c>
      <c r="R141" s="7">
        <f t="shared" si="56"/>
        <v>362281.50875046686</v>
      </c>
      <c r="S141" s="13">
        <f>IF('Calc (3)'!$AD$32="Sim",R141,Q141)</f>
        <v>362281.50875046686</v>
      </c>
      <c r="T141" s="9">
        <f t="shared" si="57"/>
        <v>137</v>
      </c>
      <c r="U141" s="17">
        <f t="shared" ca="1" si="58"/>
        <v>49675</v>
      </c>
      <c r="V141" s="22"/>
      <c r="W141" s="22"/>
      <c r="X141" s="22"/>
    </row>
    <row r="142" spans="2:24" x14ac:dyDescent="0.2">
      <c r="B142" s="17">
        <f t="shared" ca="1" si="47"/>
        <v>49675</v>
      </c>
      <c r="C142" s="9">
        <f t="shared" si="59"/>
        <v>138</v>
      </c>
      <c r="D142" s="9"/>
      <c r="E142" s="13">
        <f t="shared" si="48"/>
        <v>1752.5763195700949</v>
      </c>
      <c r="F142" s="14">
        <f t="shared" si="60"/>
        <v>220473.60089682671</v>
      </c>
      <c r="G142" s="15">
        <f t="shared" si="49"/>
        <v>0.60187235306897102</v>
      </c>
      <c r="H142" s="13">
        <f t="shared" si="50"/>
        <v>4992.4637678787476</v>
      </c>
      <c r="I142" s="13">
        <f t="shared" si="51"/>
        <v>287639.63718320458</v>
      </c>
      <c r="J142" s="15">
        <f t="shared" si="44"/>
        <v>0.39812764693102898</v>
      </c>
      <c r="K142" s="13">
        <f t="shared" si="52"/>
        <v>145839.28882575827</v>
      </c>
      <c r="L142" s="13">
        <f t="shared" si="61"/>
        <v>6914409.8856471386</v>
      </c>
      <c r="M142" s="15">
        <f t="shared" si="53"/>
        <v>0.39812764693102898</v>
      </c>
      <c r="N142" s="13">
        <f t="shared" si="45"/>
        <v>1867.219303782907</v>
      </c>
      <c r="O142" s="13">
        <f t="shared" si="54"/>
        <v>141800.34835744632</v>
      </c>
      <c r="P142" s="15">
        <f t="shared" si="46"/>
        <v>0.27907233610613347</v>
      </c>
      <c r="Q142" s="7">
        <f t="shared" si="55"/>
        <v>508113.2380800313</v>
      </c>
      <c r="R142" s="7">
        <f t="shared" si="56"/>
        <v>366312.88972258498</v>
      </c>
      <c r="S142" s="13">
        <f>IF('Calc (3)'!$AD$32="Sim",R142,Q142)</f>
        <v>366312.88972258498</v>
      </c>
      <c r="T142" s="9">
        <f t="shared" si="57"/>
        <v>138</v>
      </c>
      <c r="U142" s="17">
        <f t="shared" ca="1" si="58"/>
        <v>49706</v>
      </c>
      <c r="V142" s="22"/>
      <c r="W142" s="22"/>
      <c r="X142" s="22"/>
    </row>
    <row r="143" spans="2:24" x14ac:dyDescent="0.2">
      <c r="B143" s="17">
        <f t="shared" ca="1" si="47"/>
        <v>49706</v>
      </c>
      <c r="C143" s="9">
        <f t="shared" si="59"/>
        <v>139</v>
      </c>
      <c r="D143" s="9"/>
      <c r="E143" s="13">
        <f t="shared" si="48"/>
        <v>1759.7165324363143</v>
      </c>
      <c r="F143" s="14">
        <f t="shared" si="60"/>
        <v>222233.31742926303</v>
      </c>
      <c r="G143" s="15">
        <f t="shared" si="49"/>
        <v>0.60001971647679753</v>
      </c>
      <c r="H143" s="13">
        <f t="shared" si="50"/>
        <v>5059.6287144874595</v>
      </c>
      <c r="I143" s="13">
        <f t="shared" si="51"/>
        <v>292699.26589769206</v>
      </c>
      <c r="J143" s="15">
        <f t="shared" si="44"/>
        <v>0.39998028352320247</v>
      </c>
      <c r="K143" s="13">
        <f t="shared" si="52"/>
        <v>148143.3740804345</v>
      </c>
      <c r="L143" s="13">
        <f t="shared" si="61"/>
        <v>7062553.259727573</v>
      </c>
      <c r="M143" s="15">
        <f t="shared" si="53"/>
        <v>0.39998028352320242</v>
      </c>
      <c r="N143" s="13">
        <f t="shared" si="45"/>
        <v>1892.2790978011269</v>
      </c>
      <c r="O143" s="13">
        <f t="shared" si="54"/>
        <v>144555.89181725756</v>
      </c>
      <c r="P143" s="15">
        <f t="shared" si="46"/>
        <v>0.28072780107113982</v>
      </c>
      <c r="Q143" s="7">
        <f t="shared" si="55"/>
        <v>514932.58332695509</v>
      </c>
      <c r="R143" s="7">
        <f t="shared" si="56"/>
        <v>370376.69150969753</v>
      </c>
      <c r="S143" s="13">
        <f>IF('Calc (3)'!$AD$32="Sim",R143,Q143)</f>
        <v>370376.69150969753</v>
      </c>
      <c r="T143" s="9">
        <f t="shared" si="57"/>
        <v>139</v>
      </c>
      <c r="U143" s="17">
        <f t="shared" ca="1" si="58"/>
        <v>49735</v>
      </c>
      <c r="V143" s="22"/>
      <c r="W143" s="22"/>
      <c r="X143" s="22"/>
    </row>
    <row r="144" spans="2:24" x14ac:dyDescent="0.2">
      <c r="B144" s="17">
        <f t="shared" ca="1" si="47"/>
        <v>49735</v>
      </c>
      <c r="C144" s="9">
        <f t="shared" si="59"/>
        <v>140</v>
      </c>
      <c r="D144" s="9"/>
      <c r="E144" s="13">
        <f t="shared" si="48"/>
        <v>1766.8858354135923</v>
      </c>
      <c r="F144" s="14">
        <f t="shared" si="60"/>
        <v>224000.20326467662</v>
      </c>
      <c r="G144" s="15">
        <f t="shared" si="49"/>
        <v>0.59817427620003272</v>
      </c>
      <c r="H144" s="13">
        <f t="shared" si="50"/>
        <v>5127.5335680506423</v>
      </c>
      <c r="I144" s="13">
        <f t="shared" si="51"/>
        <v>297826.79946574272</v>
      </c>
      <c r="J144" s="15">
        <f t="shared" si="44"/>
        <v>0.40182572379996728</v>
      </c>
      <c r="K144" s="13">
        <f t="shared" si="52"/>
        <v>150472.94306930201</v>
      </c>
      <c r="L144" s="13">
        <f t="shared" si="61"/>
        <v>7213026.2027968746</v>
      </c>
      <c r="M144" s="15">
        <f t="shared" si="53"/>
        <v>0.40182572379996723</v>
      </c>
      <c r="N144" s="13">
        <f t="shared" si="45"/>
        <v>1917.6147750355315</v>
      </c>
      <c r="O144" s="13">
        <f t="shared" si="54"/>
        <v>147353.85639644071</v>
      </c>
      <c r="P144" s="15">
        <f t="shared" si="46"/>
        <v>0.28238066567161735</v>
      </c>
      <c r="Q144" s="7">
        <f t="shared" si="55"/>
        <v>521827.00273041934</v>
      </c>
      <c r="R144" s="7">
        <f t="shared" si="56"/>
        <v>374473.14633397863</v>
      </c>
      <c r="S144" s="13">
        <f>IF('Calc (3)'!$AD$32="Sim",R144,Q144)</f>
        <v>374473.14633397863</v>
      </c>
      <c r="T144" s="9">
        <f t="shared" si="57"/>
        <v>140</v>
      </c>
      <c r="U144" s="17">
        <f t="shared" ca="1" si="58"/>
        <v>49766</v>
      </c>
      <c r="V144" s="22"/>
      <c r="W144" s="22"/>
      <c r="X144" s="22"/>
    </row>
    <row r="145" spans="2:24" x14ac:dyDescent="0.2">
      <c r="B145" s="17">
        <f t="shared" ca="1" si="47"/>
        <v>49766</v>
      </c>
      <c r="C145" s="9">
        <f t="shared" si="59"/>
        <v>141</v>
      </c>
      <c r="D145" s="9"/>
      <c r="E145" s="13">
        <f t="shared" si="48"/>
        <v>1774.0843470186421</v>
      </c>
      <c r="F145" s="14">
        <f t="shared" si="60"/>
        <v>225774.28761169527</v>
      </c>
      <c r="G145" s="15">
        <f t="shared" si="49"/>
        <v>0.59633598503276652</v>
      </c>
      <c r="H145" s="13">
        <f t="shared" si="50"/>
        <v>5196.1859859945198</v>
      </c>
      <c r="I145" s="13">
        <f t="shared" si="51"/>
        <v>303022.98545173724</v>
      </c>
      <c r="J145" s="15">
        <f t="shared" si="44"/>
        <v>0.40366401496723348</v>
      </c>
      <c r="K145" s="13">
        <f t="shared" si="52"/>
        <v>152828.20037884547</v>
      </c>
      <c r="L145" s="13">
        <f t="shared" si="61"/>
        <v>7365854.40317572</v>
      </c>
      <c r="M145" s="15">
        <f t="shared" si="53"/>
        <v>0.40366401496723348</v>
      </c>
      <c r="N145" s="13">
        <f t="shared" si="45"/>
        <v>1943.229189978874</v>
      </c>
      <c r="O145" s="13">
        <f t="shared" si="54"/>
        <v>150194.78507289168</v>
      </c>
      <c r="P145" s="15">
        <f t="shared" si="46"/>
        <v>0.28403093723003164</v>
      </c>
      <c r="Q145" s="7">
        <f t="shared" si="55"/>
        <v>528797.27306343243</v>
      </c>
      <c r="R145" s="7">
        <f t="shared" si="56"/>
        <v>378602.48799054074</v>
      </c>
      <c r="S145" s="13">
        <f>IF('Calc (3)'!$AD$32="Sim",R145,Q145)</f>
        <v>378602.48799054074</v>
      </c>
      <c r="T145" s="9">
        <f t="shared" si="57"/>
        <v>141</v>
      </c>
      <c r="U145" s="17">
        <f t="shared" ca="1" si="58"/>
        <v>49796</v>
      </c>
      <c r="V145" s="22"/>
      <c r="W145" s="22"/>
      <c r="X145" s="22"/>
    </row>
    <row r="146" spans="2:24" x14ac:dyDescent="0.2">
      <c r="B146" s="17">
        <f t="shared" ca="1" si="47"/>
        <v>49796</v>
      </c>
      <c r="C146" s="9">
        <f t="shared" si="59"/>
        <v>142</v>
      </c>
      <c r="D146" s="9"/>
      <c r="E146" s="13">
        <f t="shared" si="48"/>
        <v>1781.3121862510291</v>
      </c>
      <c r="F146" s="14">
        <f t="shared" si="60"/>
        <v>227555.59979794628</v>
      </c>
      <c r="G146" s="15">
        <f t="shared" si="49"/>
        <v>0.59450479646450094</v>
      </c>
      <c r="H146" s="13">
        <f t="shared" si="50"/>
        <v>5265.5937031756621</v>
      </c>
      <c r="I146" s="13">
        <f t="shared" si="51"/>
        <v>308288.57915491291</v>
      </c>
      <c r="J146" s="15">
        <f t="shared" si="44"/>
        <v>0.40549520353549906</v>
      </c>
      <c r="K146" s="13">
        <f t="shared" si="52"/>
        <v>155209.35205982073</v>
      </c>
      <c r="L146" s="13">
        <f t="shared" si="61"/>
        <v>7521063.7552355407</v>
      </c>
      <c r="M146" s="15">
        <f t="shared" si="53"/>
        <v>0.40549520353549906</v>
      </c>
      <c r="N146" s="13">
        <f t="shared" si="45"/>
        <v>1969.1252259853331</v>
      </c>
      <c r="O146" s="13">
        <f t="shared" si="54"/>
        <v>153079.22709509212</v>
      </c>
      <c r="P146" s="15">
        <f t="shared" si="46"/>
        <v>0.2856786228306854</v>
      </c>
      <c r="Q146" s="7">
        <f t="shared" si="55"/>
        <v>535844.17895285913</v>
      </c>
      <c r="R146" s="7">
        <f t="shared" si="56"/>
        <v>382764.95185776701</v>
      </c>
      <c r="S146" s="13">
        <f>IF('Calc (3)'!$AD$32="Sim",R146,Q146)</f>
        <v>382764.95185776701</v>
      </c>
      <c r="T146" s="9">
        <f t="shared" si="57"/>
        <v>142</v>
      </c>
      <c r="U146" s="17">
        <f t="shared" ca="1" si="58"/>
        <v>49827</v>
      </c>
      <c r="V146" s="22"/>
      <c r="W146" s="22"/>
      <c r="X146" s="22"/>
    </row>
    <row r="147" spans="2:24" x14ac:dyDescent="0.2">
      <c r="B147" s="17">
        <f t="shared" ca="1" si="47"/>
        <v>49827</v>
      </c>
      <c r="C147" s="9">
        <f t="shared" si="59"/>
        <v>143</v>
      </c>
      <c r="D147" s="9"/>
      <c r="E147" s="13">
        <f t="shared" si="48"/>
        <v>1788.5694725951371</v>
      </c>
      <c r="F147" s="14">
        <f t="shared" si="60"/>
        <v>229344.16927054143</v>
      </c>
      <c r="G147" s="15">
        <f t="shared" si="49"/>
        <v>0.59268066466230329</v>
      </c>
      <c r="H147" s="13">
        <f t="shared" si="50"/>
        <v>5335.7645326568227</v>
      </c>
      <c r="I147" s="13">
        <f t="shared" si="51"/>
        <v>313624.34368756972</v>
      </c>
      <c r="J147" s="15">
        <f t="shared" si="44"/>
        <v>0.40731933533769671</v>
      </c>
      <c r="K147" s="13">
        <f t="shared" si="52"/>
        <v>157616.60563716848</v>
      </c>
      <c r="L147" s="13">
        <f t="shared" si="61"/>
        <v>7678680.3608727092</v>
      </c>
      <c r="M147" s="15">
        <f t="shared" si="53"/>
        <v>0.40731933533769676</v>
      </c>
      <c r="N147" s="13">
        <f t="shared" si="45"/>
        <v>1995.3057955596851</v>
      </c>
      <c r="O147" s="13">
        <f t="shared" si="54"/>
        <v>156007.73805040121</v>
      </c>
      <c r="P147" s="15">
        <f t="shared" si="46"/>
        <v>0.28732372932726002</v>
      </c>
      <c r="Q147" s="7">
        <f t="shared" si="55"/>
        <v>542968.51295811113</v>
      </c>
      <c r="R147" s="7">
        <f t="shared" si="56"/>
        <v>386960.77490770991</v>
      </c>
      <c r="S147" s="13">
        <f>IF('Calc (3)'!$AD$32="Sim",R147,Q147)</f>
        <v>386960.77490770991</v>
      </c>
      <c r="T147" s="9">
        <f t="shared" si="57"/>
        <v>143</v>
      </c>
      <c r="U147" s="17">
        <f t="shared" ca="1" si="58"/>
        <v>49857</v>
      </c>
      <c r="V147" s="22"/>
      <c r="W147" s="22"/>
      <c r="X147" s="22"/>
    </row>
    <row r="148" spans="2:24" x14ac:dyDescent="0.2">
      <c r="B148" s="17">
        <f t="shared" ca="1" si="47"/>
        <v>49857</v>
      </c>
      <c r="C148" s="9">
        <f t="shared" si="59"/>
        <v>144</v>
      </c>
      <c r="D148" s="9">
        <v>12</v>
      </c>
      <c r="E148" s="13">
        <f t="shared" si="48"/>
        <v>1795.8563260221442</v>
      </c>
      <c r="F148" s="14">
        <f t="shared" si="60"/>
        <v>231140.02559656359</v>
      </c>
      <c r="G148" s="15">
        <f t="shared" si="49"/>
        <v>0.59086354445355105</v>
      </c>
      <c r="H148" s="13">
        <f t="shared" si="50"/>
        <v>5406.7063664905136</v>
      </c>
      <c r="I148" s="13">
        <f t="shared" si="51"/>
        <v>319031.05005406024</v>
      </c>
      <c r="J148" s="15">
        <f t="shared" si="44"/>
        <v>0.40913645554644895</v>
      </c>
      <c r="K148" s="13">
        <f t="shared" si="52"/>
        <v>160050.17011999403</v>
      </c>
      <c r="L148" s="13">
        <f t="shared" si="61"/>
        <v>7838730.5309927035</v>
      </c>
      <c r="M148" s="15">
        <f t="shared" si="53"/>
        <v>0.4091364555464489</v>
      </c>
      <c r="N148" s="13">
        <f t="shared" si="45"/>
        <v>2021.7738406493663</v>
      </c>
      <c r="O148" s="13">
        <f t="shared" si="54"/>
        <v>158980.87993406615</v>
      </c>
      <c r="P148" s="15">
        <f t="shared" si="46"/>
        <v>0.28896626335010039</v>
      </c>
      <c r="Q148" s="7">
        <f t="shared" si="55"/>
        <v>550171.07565062377</v>
      </c>
      <c r="R148" s="7">
        <f t="shared" si="56"/>
        <v>391190.19571655762</v>
      </c>
      <c r="S148" s="13">
        <f>IF('Calc (3)'!$AD$32="Sim",R148,Q148)</f>
        <v>391190.19571655762</v>
      </c>
      <c r="T148" s="9">
        <f t="shared" si="57"/>
        <v>144</v>
      </c>
      <c r="U148" s="17">
        <f t="shared" ca="1" si="58"/>
        <v>49888</v>
      </c>
      <c r="V148" s="22"/>
      <c r="W148" s="22"/>
      <c r="X148" s="22"/>
    </row>
    <row r="149" spans="2:24" x14ac:dyDescent="0.2">
      <c r="B149" s="17">
        <f t="shared" ca="1" si="47"/>
        <v>49888</v>
      </c>
      <c r="C149" s="9">
        <f t="shared" si="59"/>
        <v>145</v>
      </c>
      <c r="D149" s="9"/>
      <c r="E149" s="13">
        <f t="shared" si="48"/>
        <v>1803.1728669920064</v>
      </c>
      <c r="F149" s="14">
        <f t="shared" si="60"/>
        <v>232943.1984635556</v>
      </c>
      <c r="G149" s="15">
        <f t="shared" si="49"/>
        <v>0.5890533913092505</v>
      </c>
      <c r="H149" s="13">
        <f t="shared" si="50"/>
        <v>5478.4271765104122</v>
      </c>
      <c r="I149" s="13">
        <f t="shared" si="51"/>
        <v>324509.47723057063</v>
      </c>
      <c r="J149" s="15">
        <f t="shared" si="44"/>
        <v>0.4109466086907495</v>
      </c>
      <c r="K149" s="13">
        <f t="shared" si="52"/>
        <v>162510.25601161167</v>
      </c>
      <c r="L149" s="13">
        <f t="shared" si="61"/>
        <v>8001240.7870043153</v>
      </c>
      <c r="M149" s="15">
        <f t="shared" si="53"/>
        <v>0.41094660869074945</v>
      </c>
      <c r="N149" s="13">
        <f t="shared" si="45"/>
        <v>2048.5323329394505</v>
      </c>
      <c r="O149" s="13">
        <f t="shared" si="54"/>
        <v>161999.2212189589</v>
      </c>
      <c r="P149" s="15">
        <f t="shared" si="46"/>
        <v>0.29060623131325275</v>
      </c>
      <c r="Q149" s="7">
        <f t="shared" si="55"/>
        <v>557452.67569412617</v>
      </c>
      <c r="R149" s="7">
        <f t="shared" si="56"/>
        <v>395453.45447516727</v>
      </c>
      <c r="S149" s="13">
        <f>IF('Calc (3)'!$AD$32="Sim",R149,Q149)</f>
        <v>395453.45447516727</v>
      </c>
      <c r="T149" s="9">
        <f t="shared" si="57"/>
        <v>145</v>
      </c>
      <c r="U149" s="17">
        <f t="shared" ca="1" si="58"/>
        <v>49919</v>
      </c>
      <c r="V149" s="22"/>
      <c r="W149" s="22"/>
      <c r="X149" s="22"/>
    </row>
    <row r="150" spans="2:24" x14ac:dyDescent="0.2">
      <c r="B150" s="17">
        <f t="shared" ca="1" si="47"/>
        <v>49919</v>
      </c>
      <c r="C150" s="9">
        <f t="shared" si="59"/>
        <v>146</v>
      </c>
      <c r="D150" s="9"/>
      <c r="E150" s="13">
        <f t="shared" si="48"/>
        <v>1810.519216455448</v>
      </c>
      <c r="F150" s="14">
        <f t="shared" si="60"/>
        <v>234753.71768001106</v>
      </c>
      <c r="G150" s="15">
        <f t="shared" si="49"/>
        <v>0.58725016132790242</v>
      </c>
      <c r="H150" s="13">
        <f t="shared" si="50"/>
        <v>5550.9350151306589</v>
      </c>
      <c r="I150" s="13">
        <f t="shared" si="51"/>
        <v>330060.4122457013</v>
      </c>
      <c r="J150" s="15">
        <f t="shared" si="44"/>
        <v>0.41274983867209758</v>
      </c>
      <c r="K150" s="13">
        <f t="shared" si="52"/>
        <v>164997.07531965541</v>
      </c>
      <c r="L150" s="13">
        <f t="shared" si="61"/>
        <v>8166237.8623239705</v>
      </c>
      <c r="M150" s="15">
        <f t="shared" si="53"/>
        <v>0.41274983867209758</v>
      </c>
      <c r="N150" s="13">
        <f t="shared" si="45"/>
        <v>2075.5842741505685</v>
      </c>
      <c r="O150" s="13">
        <f t="shared" si="54"/>
        <v>165063.33692604577</v>
      </c>
      <c r="P150" s="15">
        <f t="shared" si="46"/>
        <v>0.29224363942126569</v>
      </c>
      <c r="Q150" s="7">
        <f t="shared" si="55"/>
        <v>564814.12992571224</v>
      </c>
      <c r="R150" s="7">
        <f t="shared" si="56"/>
        <v>399750.79299966648</v>
      </c>
      <c r="S150" s="13">
        <f>IF('Calc (3)'!$AD$32="Sim",R150,Q150)</f>
        <v>399750.79299966648</v>
      </c>
      <c r="T150" s="9">
        <f t="shared" si="57"/>
        <v>146</v>
      </c>
      <c r="U150" s="17">
        <f t="shared" ca="1" si="58"/>
        <v>49949</v>
      </c>
      <c r="V150" s="22"/>
      <c r="W150" s="22"/>
      <c r="X150" s="22"/>
    </row>
    <row r="151" spans="2:24" x14ac:dyDescent="0.2">
      <c r="B151" s="17">
        <f t="shared" ca="1" si="47"/>
        <v>49949</v>
      </c>
      <c r="C151" s="9">
        <f t="shared" si="59"/>
        <v>147</v>
      </c>
      <c r="D151" s="9"/>
      <c r="E151" s="13">
        <f t="shared" si="48"/>
        <v>1817.8954958559616</v>
      </c>
      <c r="F151" s="14">
        <f t="shared" si="60"/>
        <v>236571.61317586701</v>
      </c>
      <c r="G151" s="15">
        <f t="shared" si="49"/>
        <v>0.58545381121989581</v>
      </c>
      <c r="H151" s="13">
        <f t="shared" si="50"/>
        <v>5624.2380161531428</v>
      </c>
      <c r="I151" s="13">
        <f t="shared" si="51"/>
        <v>335684.65026185446</v>
      </c>
      <c r="J151" s="15">
        <f t="shared" si="44"/>
        <v>0.41454618878010419</v>
      </c>
      <c r="K151" s="13">
        <f t="shared" si="52"/>
        <v>167510.84156625607</v>
      </c>
      <c r="L151" s="13">
        <f t="shared" si="61"/>
        <v>8333748.7038902268</v>
      </c>
      <c r="M151" s="15">
        <f t="shared" si="53"/>
        <v>0.41454618878010424</v>
      </c>
      <c r="N151" s="13">
        <f t="shared" si="45"/>
        <v>2102.9326963398057</v>
      </c>
      <c r="O151" s="13">
        <f t="shared" si="54"/>
        <v>168173.80869559821</v>
      </c>
      <c r="P151" s="15">
        <f t="shared" si="46"/>
        <v>0.29387849367576313</v>
      </c>
      <c r="Q151" s="7">
        <f t="shared" si="55"/>
        <v>572256.2634377213</v>
      </c>
      <c r="R151" s="7">
        <f t="shared" si="56"/>
        <v>404082.45474212308</v>
      </c>
      <c r="S151" s="13">
        <f>IF('Calc (3)'!$AD$32="Sim",R151,Q151)</f>
        <v>404082.45474212308</v>
      </c>
      <c r="T151" s="9">
        <f t="shared" si="57"/>
        <v>147</v>
      </c>
      <c r="U151" s="17">
        <f t="shared" ca="1" si="58"/>
        <v>49980</v>
      </c>
      <c r="V151" s="22"/>
      <c r="W151" s="22"/>
      <c r="X151" s="22"/>
    </row>
    <row r="152" spans="2:24" x14ac:dyDescent="0.2">
      <c r="B152" s="17">
        <f t="shared" ca="1" si="47"/>
        <v>49980</v>
      </c>
      <c r="C152" s="9">
        <f t="shared" si="59"/>
        <v>148</v>
      </c>
      <c r="D152" s="9"/>
      <c r="E152" s="13">
        <f t="shared" si="48"/>
        <v>1825.3018271318156</v>
      </c>
      <c r="F152" s="14">
        <f t="shared" si="60"/>
        <v>238396.91500299884</v>
      </c>
      <c r="G152" s="15">
        <f t="shared" si="49"/>
        <v>0.58366429829240907</v>
      </c>
      <c r="H152" s="13">
        <f t="shared" si="50"/>
        <v>5698.3443955828388</v>
      </c>
      <c r="I152" s="13">
        <f t="shared" si="51"/>
        <v>341382.99465743732</v>
      </c>
      <c r="J152" s="15">
        <f t="shared" si="44"/>
        <v>0.41633570170759093</v>
      </c>
      <c r="K152" s="13">
        <f t="shared" si="52"/>
        <v>170051.76979828527</v>
      </c>
      <c r="L152" s="13">
        <f t="shared" si="61"/>
        <v>8503800.4736885112</v>
      </c>
      <c r="M152" s="15">
        <f t="shared" si="53"/>
        <v>0.41633570170759099</v>
      </c>
      <c r="N152" s="13">
        <f t="shared" si="45"/>
        <v>2130.5806622045984</v>
      </c>
      <c r="O152" s="13">
        <f t="shared" si="54"/>
        <v>171331.22485915176</v>
      </c>
      <c r="P152" s="15">
        <f t="shared" si="46"/>
        <v>0.29551079988179763</v>
      </c>
      <c r="Q152" s="7">
        <f t="shared" si="55"/>
        <v>579779.90966043586</v>
      </c>
      <c r="R152" s="7">
        <f t="shared" si="56"/>
        <v>408448.68480128411</v>
      </c>
      <c r="S152" s="13">
        <f>IF('Calc (3)'!$AD$32="Sim",R152,Q152)</f>
        <v>408448.68480128411</v>
      </c>
      <c r="T152" s="9">
        <f t="shared" si="57"/>
        <v>148</v>
      </c>
      <c r="U152" s="17">
        <f t="shared" ca="1" si="58"/>
        <v>50010</v>
      </c>
      <c r="V152" s="22"/>
      <c r="W152" s="22"/>
      <c r="X152" s="22"/>
    </row>
    <row r="153" spans="2:24" x14ac:dyDescent="0.2">
      <c r="B153" s="17">
        <f t="shared" ca="1" si="47"/>
        <v>50010</v>
      </c>
      <c r="C153" s="9">
        <f t="shared" si="59"/>
        <v>149</v>
      </c>
      <c r="D153" s="9"/>
      <c r="E153" s="13">
        <f t="shared" si="48"/>
        <v>1832.7383327180701</v>
      </c>
      <c r="F153" s="14">
        <f t="shared" si="60"/>
        <v>240229.6533357169</v>
      </c>
      <c r="G153" s="15">
        <f t="shared" si="49"/>
        <v>0.58188158043479887</v>
      </c>
      <c r="H153" s="13">
        <f t="shared" si="50"/>
        <v>5773.2624524512885</v>
      </c>
      <c r="I153" s="13">
        <f t="shared" si="51"/>
        <v>347156.2571098886</v>
      </c>
      <c r="J153" s="15">
        <f t="shared" si="44"/>
        <v>0.41811841956520113</v>
      </c>
      <c r="K153" s="13">
        <f t="shared" si="52"/>
        <v>172620.07659766628</v>
      </c>
      <c r="L153" s="13">
        <f t="shared" si="61"/>
        <v>8676420.5502861775</v>
      </c>
      <c r="M153" s="15">
        <f t="shared" si="53"/>
        <v>0.41811841956520113</v>
      </c>
      <c r="N153" s="13">
        <f t="shared" si="45"/>
        <v>2158.5312653896685</v>
      </c>
      <c r="O153" s="13">
        <f t="shared" si="54"/>
        <v>174536.180512222</v>
      </c>
      <c r="P153" s="15">
        <f t="shared" si="46"/>
        <v>0.29714056365399472</v>
      </c>
      <c r="Q153" s="7">
        <f t="shared" si="55"/>
        <v>587385.91044560517</v>
      </c>
      <c r="R153" s="7">
        <f t="shared" si="56"/>
        <v>412849.72993338318</v>
      </c>
      <c r="S153" s="13">
        <f>IF('Calc (3)'!$AD$32="Sim",R153,Q153)</f>
        <v>412849.72993338318</v>
      </c>
      <c r="T153" s="9">
        <f t="shared" si="57"/>
        <v>149</v>
      </c>
      <c r="U153" s="17">
        <f t="shared" ca="1" si="58"/>
        <v>50041</v>
      </c>
      <c r="V153" s="22"/>
      <c r="W153" s="22"/>
      <c r="X153" s="22"/>
    </row>
    <row r="154" spans="2:24" x14ac:dyDescent="0.2">
      <c r="B154" s="17">
        <f t="shared" ca="1" si="47"/>
        <v>50041</v>
      </c>
      <c r="C154" s="9">
        <f t="shared" si="59"/>
        <v>150</v>
      </c>
      <c r="D154" s="9"/>
      <c r="E154" s="13">
        <f t="shared" si="48"/>
        <v>1840.2051355486008</v>
      </c>
      <c r="F154" s="14">
        <f t="shared" si="60"/>
        <v>242069.8584712655</v>
      </c>
      <c r="G154" s="15">
        <f t="shared" si="49"/>
        <v>0.58010561610445877</v>
      </c>
      <c r="H154" s="13">
        <f t="shared" si="50"/>
        <v>5849.0005696482967</v>
      </c>
      <c r="I154" s="13">
        <f t="shared" si="51"/>
        <v>353005.25767953688</v>
      </c>
      <c r="J154" s="15">
        <f t="shared" si="44"/>
        <v>0.41989438389554123</v>
      </c>
      <c r="K154" s="13">
        <f t="shared" si="52"/>
        <v>175215.98009175292</v>
      </c>
      <c r="L154" s="13">
        <f t="shared" si="61"/>
        <v>8851636.53037793</v>
      </c>
      <c r="M154" s="15">
        <f t="shared" si="53"/>
        <v>0.41989438389554129</v>
      </c>
      <c r="N154" s="13">
        <f t="shared" si="45"/>
        <v>2186.7876307970187</v>
      </c>
      <c r="O154" s="13">
        <f t="shared" si="54"/>
        <v>177789.2775877837</v>
      </c>
      <c r="P154" s="15">
        <f t="shared" si="46"/>
        <v>0.2987677904224933</v>
      </c>
      <c r="Q154" s="7">
        <f t="shared" si="55"/>
        <v>595075.11615080212</v>
      </c>
      <c r="R154" s="7">
        <f t="shared" si="56"/>
        <v>417285.83856301842</v>
      </c>
      <c r="S154" s="13">
        <f>IF('Calc (3)'!$AD$32="Sim",R154,Q154)</f>
        <v>417285.83856301842</v>
      </c>
      <c r="T154" s="9">
        <f t="shared" si="57"/>
        <v>150</v>
      </c>
      <c r="U154" s="17">
        <f t="shared" ca="1" si="58"/>
        <v>50072</v>
      </c>
      <c r="V154" s="22"/>
      <c r="W154" s="22"/>
      <c r="X154" s="22"/>
    </row>
    <row r="155" spans="2:24" x14ac:dyDescent="0.2">
      <c r="B155" s="17">
        <f t="shared" ca="1" si="47"/>
        <v>50072</v>
      </c>
      <c r="C155" s="9">
        <f t="shared" si="59"/>
        <v>151</v>
      </c>
      <c r="D155" s="9"/>
      <c r="E155" s="13">
        <f t="shared" si="48"/>
        <v>1847.7023590581312</v>
      </c>
      <c r="F155" s="14">
        <f t="shared" si="60"/>
        <v>243917.56083032364</v>
      </c>
      <c r="G155" s="15">
        <f t="shared" si="49"/>
        <v>0.57833636431312807</v>
      </c>
      <c r="H155" s="13">
        <f t="shared" si="50"/>
        <v>5925.5672147619343</v>
      </c>
      <c r="I155" s="13">
        <f t="shared" si="51"/>
        <v>358930.8248942988</v>
      </c>
      <c r="J155" s="15">
        <f t="shared" si="44"/>
        <v>0.42166363568687193</v>
      </c>
      <c r="K155" s="13">
        <f t="shared" si="52"/>
        <v>177839.69996377648</v>
      </c>
      <c r="L155" s="13">
        <f t="shared" si="61"/>
        <v>9029476.2303417064</v>
      </c>
      <c r="M155" s="15">
        <f t="shared" si="53"/>
        <v>0.42166363568687198</v>
      </c>
      <c r="N155" s="13">
        <f t="shared" si="45"/>
        <v>2215.3529148990224</v>
      </c>
      <c r="O155" s="13">
        <f t="shared" si="54"/>
        <v>181091.12493052206</v>
      </c>
      <c r="P155" s="15">
        <f t="shared" si="46"/>
        <v>0.30039248543869118</v>
      </c>
      <c r="Q155" s="7">
        <f t="shared" si="55"/>
        <v>602848.38572462217</v>
      </c>
      <c r="R155" s="7">
        <f t="shared" si="56"/>
        <v>421757.26079410012</v>
      </c>
      <c r="S155" s="13">
        <f>IF('Calc (3)'!$AD$32="Sim",R155,Q155)</f>
        <v>421757.26079410012</v>
      </c>
      <c r="T155" s="9">
        <f t="shared" si="57"/>
        <v>151</v>
      </c>
      <c r="U155" s="17">
        <f t="shared" ca="1" si="58"/>
        <v>50100</v>
      </c>
      <c r="V155" s="22"/>
      <c r="W155" s="22"/>
      <c r="X155" s="22"/>
    </row>
    <row r="156" spans="2:24" x14ac:dyDescent="0.2">
      <c r="B156" s="17">
        <f t="shared" ca="1" si="47"/>
        <v>50100</v>
      </c>
      <c r="C156" s="9">
        <f t="shared" si="59"/>
        <v>152</v>
      </c>
      <c r="D156" s="9"/>
      <c r="E156" s="13">
        <f t="shared" si="48"/>
        <v>1855.230127184273</v>
      </c>
      <c r="F156" s="14">
        <f t="shared" si="60"/>
        <v>245772.79095750791</v>
      </c>
      <c r="G156" s="15">
        <f t="shared" si="49"/>
        <v>0.57657378461363684</v>
      </c>
      <c r="H156" s="13">
        <f t="shared" si="50"/>
        <v>6002.9709409269217</v>
      </c>
      <c r="I156" s="13">
        <f t="shared" si="51"/>
        <v>364933.79583522573</v>
      </c>
      <c r="J156" s="15">
        <f t="shared" si="44"/>
        <v>0.42342621538636316</v>
      </c>
      <c r="K156" s="13">
        <f t="shared" si="52"/>
        <v>180491.45746336109</v>
      </c>
      <c r="L156" s="13">
        <f t="shared" si="61"/>
        <v>9209967.6878050677</v>
      </c>
      <c r="M156" s="15">
        <f t="shared" si="53"/>
        <v>0.42342621538636316</v>
      </c>
      <c r="N156" s="13">
        <f t="shared" si="45"/>
        <v>2244.2303060546406</v>
      </c>
      <c r="O156" s="13">
        <f t="shared" si="54"/>
        <v>184442.3383718644</v>
      </c>
      <c r="P156" s="15">
        <f t="shared" si="46"/>
        <v>0.30201465378080483</v>
      </c>
      <c r="Q156" s="7">
        <f t="shared" si="55"/>
        <v>610706.5867927334</v>
      </c>
      <c r="R156" s="7">
        <f t="shared" si="56"/>
        <v>426264.248420869</v>
      </c>
      <c r="S156" s="13">
        <f>IF('Calc (3)'!$AD$32="Sim",R156,Q156)</f>
        <v>426264.248420869</v>
      </c>
      <c r="T156" s="9">
        <f t="shared" si="57"/>
        <v>152</v>
      </c>
      <c r="U156" s="17">
        <f t="shared" ca="1" si="58"/>
        <v>50131</v>
      </c>
      <c r="V156" s="22"/>
      <c r="W156" s="22"/>
      <c r="X156" s="22"/>
    </row>
    <row r="157" spans="2:24" x14ac:dyDescent="0.2">
      <c r="B157" s="17">
        <f t="shared" ca="1" si="47"/>
        <v>50131</v>
      </c>
      <c r="C157" s="9">
        <f t="shared" si="59"/>
        <v>153</v>
      </c>
      <c r="D157" s="9"/>
      <c r="E157" s="13">
        <f t="shared" si="48"/>
        <v>1862.7885643695754</v>
      </c>
      <c r="F157" s="14">
        <f t="shared" si="60"/>
        <v>247635.57952187749</v>
      </c>
      <c r="G157" s="15">
        <f t="shared" si="49"/>
        <v>0.57481783708706824</v>
      </c>
      <c r="H157" s="13">
        <f t="shared" si="50"/>
        <v>6081.2203876814838</v>
      </c>
      <c r="I157" s="13">
        <f t="shared" si="51"/>
        <v>371015.01622290723</v>
      </c>
      <c r="J157" s="15">
        <f t="shared" si="44"/>
        <v>0.42518216291293176</v>
      </c>
      <c r="K157" s="13">
        <f t="shared" si="52"/>
        <v>183171.47541710813</v>
      </c>
      <c r="L157" s="13">
        <f t="shared" si="61"/>
        <v>9393139.1632221751</v>
      </c>
      <c r="M157" s="15">
        <f t="shared" si="53"/>
        <v>0.42518216291293176</v>
      </c>
      <c r="N157" s="13">
        <f t="shared" si="45"/>
        <v>2273.4230248287922</v>
      </c>
      <c r="O157" s="13">
        <f t="shared" si="54"/>
        <v>187843.54080579884</v>
      </c>
      <c r="P157" s="15">
        <f t="shared" si="46"/>
        <v>0.30363430035924677</v>
      </c>
      <c r="Q157" s="7">
        <f t="shared" si="55"/>
        <v>618650.59574478446</v>
      </c>
      <c r="R157" s="7">
        <f t="shared" si="56"/>
        <v>430807.05493898562</v>
      </c>
      <c r="S157" s="13">
        <f>IF('Calc (3)'!$AD$32="Sim",R157,Q157)</f>
        <v>430807.05493898562</v>
      </c>
      <c r="T157" s="9">
        <f t="shared" si="57"/>
        <v>153</v>
      </c>
      <c r="U157" s="17">
        <f t="shared" ca="1" si="58"/>
        <v>50161</v>
      </c>
      <c r="V157" s="22"/>
      <c r="W157" s="22"/>
      <c r="X157" s="22"/>
    </row>
    <row r="158" spans="2:24" x14ac:dyDescent="0.2">
      <c r="B158" s="17">
        <f t="shared" ca="1" si="47"/>
        <v>50161</v>
      </c>
      <c r="C158" s="9">
        <f t="shared" si="59"/>
        <v>154</v>
      </c>
      <c r="D158" s="9"/>
      <c r="E158" s="13">
        <f t="shared" si="48"/>
        <v>1870.3777955635817</v>
      </c>
      <c r="F158" s="14">
        <f t="shared" si="60"/>
        <v>249505.95731744106</v>
      </c>
      <c r="G158" s="15">
        <f t="shared" si="49"/>
        <v>0.57306848233032359</v>
      </c>
      <c r="H158" s="13">
        <f t="shared" si="50"/>
        <v>6160.3242818327562</v>
      </c>
      <c r="I158" s="13">
        <f t="shared" si="51"/>
        <v>377175.34050474002</v>
      </c>
      <c r="J158" s="15">
        <f t="shared" si="44"/>
        <v>0.42693151766967641</v>
      </c>
      <c r="K158" s="13">
        <f t="shared" si="52"/>
        <v>185879.97823925008</v>
      </c>
      <c r="L158" s="13">
        <f t="shared" si="61"/>
        <v>9579019.1414614245</v>
      </c>
      <c r="M158" s="15">
        <f t="shared" si="53"/>
        <v>0.42693151766967641</v>
      </c>
      <c r="N158" s="13">
        <f t="shared" si="45"/>
        <v>2302.934324314916</v>
      </c>
      <c r="O158" s="13">
        <f t="shared" si="54"/>
        <v>191295.36226548965</v>
      </c>
      <c r="P158" s="15">
        <f t="shared" si="46"/>
        <v>0.30525142992183119</v>
      </c>
      <c r="Q158" s="7">
        <f t="shared" si="55"/>
        <v>626681.29782218079</v>
      </c>
      <c r="R158" s="7">
        <f t="shared" si="56"/>
        <v>435385.93555669114</v>
      </c>
      <c r="S158" s="13">
        <f>IF('Calc (3)'!$AD$32="Sim",R158,Q158)</f>
        <v>435385.93555669114</v>
      </c>
      <c r="T158" s="9">
        <f t="shared" si="57"/>
        <v>154</v>
      </c>
      <c r="U158" s="17">
        <f t="shared" ca="1" si="58"/>
        <v>50192</v>
      </c>
      <c r="V158" s="22"/>
      <c r="W158" s="22"/>
      <c r="X158" s="22"/>
    </row>
    <row r="159" spans="2:24" x14ac:dyDescent="0.2">
      <c r="B159" s="17">
        <f t="shared" ca="1" si="47"/>
        <v>50192</v>
      </c>
      <c r="C159" s="9">
        <f t="shared" si="59"/>
        <v>155</v>
      </c>
      <c r="D159" s="9"/>
      <c r="E159" s="13">
        <f t="shared" si="48"/>
        <v>1877.997946224895</v>
      </c>
      <c r="F159" s="14">
        <f t="shared" si="60"/>
        <v>251383.95526366596</v>
      </c>
      <c r="G159" s="15">
        <f t="shared" si="49"/>
        <v>0.57132568144407592</v>
      </c>
      <c r="H159" s="13">
        <f t="shared" si="50"/>
        <v>6240.2914383308289</v>
      </c>
      <c r="I159" s="13">
        <f t="shared" si="51"/>
        <v>383415.63194307085</v>
      </c>
      <c r="J159" s="15">
        <f t="shared" si="44"/>
        <v>0.42867431855592408</v>
      </c>
      <c r="K159" s="13">
        <f t="shared" si="52"/>
        <v>188617.19194237408</v>
      </c>
      <c r="L159" s="13">
        <f t="shared" si="61"/>
        <v>9767636.3334037978</v>
      </c>
      <c r="M159" s="15">
        <f t="shared" si="53"/>
        <v>0.42867431855592414</v>
      </c>
      <c r="N159" s="13">
        <f t="shared" si="45"/>
        <v>2332.7674904607479</v>
      </c>
      <c r="O159" s="13">
        <f t="shared" si="54"/>
        <v>194798.4400006964</v>
      </c>
      <c r="P159" s="15">
        <f t="shared" si="46"/>
        <v>0.30686604705881132</v>
      </c>
      <c r="Q159" s="7">
        <f t="shared" si="55"/>
        <v>634799.58720673644</v>
      </c>
      <c r="R159" s="7">
        <f t="shared" si="56"/>
        <v>440001.14720604004</v>
      </c>
      <c r="S159" s="13">
        <f>IF('Calc (3)'!$AD$32="Sim",R159,Q159)</f>
        <v>440001.14720604004</v>
      </c>
      <c r="T159" s="9">
        <f t="shared" si="57"/>
        <v>155</v>
      </c>
      <c r="U159" s="17">
        <f t="shared" ca="1" si="58"/>
        <v>50222</v>
      </c>
      <c r="V159" s="22"/>
      <c r="W159" s="22"/>
      <c r="X159" s="22"/>
    </row>
    <row r="160" spans="2:24" x14ac:dyDescent="0.2">
      <c r="B160" s="17">
        <f t="shared" ca="1" si="47"/>
        <v>50222</v>
      </c>
      <c r="C160" s="9">
        <f t="shared" si="59"/>
        <v>156</v>
      </c>
      <c r="D160" s="9">
        <v>13</v>
      </c>
      <c r="E160" s="13">
        <f t="shared" si="48"/>
        <v>1885.6491423232526</v>
      </c>
      <c r="F160" s="14">
        <f t="shared" si="60"/>
        <v>253269.60440598923</v>
      </c>
      <c r="G160" s="15">
        <f t="shared" si="49"/>
        <v>0.56958939602109582</v>
      </c>
      <c r="H160" s="13">
        <f t="shared" si="50"/>
        <v>6321.1307611515167</v>
      </c>
      <c r="I160" s="13">
        <f t="shared" si="51"/>
        <v>389736.76270422235</v>
      </c>
      <c r="J160" s="15">
        <f t="shared" si="44"/>
        <v>0.43041060397890418</v>
      </c>
      <c r="K160" s="13">
        <f t="shared" si="52"/>
        <v>191383.34414821619</v>
      </c>
      <c r="L160" s="13">
        <f t="shared" si="61"/>
        <v>9959019.6775520146</v>
      </c>
      <c r="M160" s="15">
        <f t="shared" si="53"/>
        <v>0.43041060397890424</v>
      </c>
      <c r="N160" s="13">
        <f t="shared" si="45"/>
        <v>2362.9258423973533</v>
      </c>
      <c r="O160" s="13">
        <f t="shared" si="54"/>
        <v>198353.41855600587</v>
      </c>
      <c r="P160" s="15">
        <f t="shared" si="46"/>
        <v>0.30847815620775665</v>
      </c>
      <c r="Q160" s="7">
        <f t="shared" si="55"/>
        <v>643006.36711021129</v>
      </c>
      <c r="R160" s="7">
        <f t="shared" si="56"/>
        <v>444652.94855420542</v>
      </c>
      <c r="S160" s="13">
        <f>IF('Calc (3)'!$AD$32="Sim",R160,Q160)</f>
        <v>444652.94855420542</v>
      </c>
      <c r="T160" s="9">
        <f t="shared" si="57"/>
        <v>156</v>
      </c>
      <c r="U160" s="17">
        <f t="shared" ca="1" si="58"/>
        <v>50253</v>
      </c>
      <c r="V160" s="22"/>
      <c r="W160" s="22"/>
      <c r="X160" s="22"/>
    </row>
    <row r="161" spans="2:24" x14ac:dyDescent="0.2">
      <c r="B161" s="17">
        <f t="shared" ca="1" si="47"/>
        <v>50253</v>
      </c>
      <c r="C161" s="9">
        <f t="shared" si="59"/>
        <v>157</v>
      </c>
      <c r="D161" s="9"/>
      <c r="E161" s="13">
        <f t="shared" si="48"/>
        <v>1893.3315103416078</v>
      </c>
      <c r="F161" s="14">
        <f t="shared" si="60"/>
        <v>255162.93591633084</v>
      </c>
      <c r="G161" s="15">
        <f t="shared" si="49"/>
        <v>0.5678595881349382</v>
      </c>
      <c r="H161" s="13">
        <f t="shared" si="50"/>
        <v>6402.8512441879375</v>
      </c>
      <c r="I161" s="13">
        <f t="shared" si="51"/>
        <v>396139.61394841026</v>
      </c>
      <c r="J161" s="15">
        <f t="shared" si="44"/>
        <v>0.4321404118650618</v>
      </c>
      <c r="K161" s="13">
        <f t="shared" si="52"/>
        <v>194178.66409852618</v>
      </c>
      <c r="L161" s="13">
        <f t="shared" si="61"/>
        <v>10153198.34165054</v>
      </c>
      <c r="M161" s="15">
        <f t="shared" si="53"/>
        <v>0.4321404118650618</v>
      </c>
      <c r="N161" s="13">
        <f t="shared" si="45"/>
        <v>2393.4127327714409</v>
      </c>
      <c r="O161" s="13">
        <f t="shared" si="54"/>
        <v>201960.94984988379</v>
      </c>
      <c r="P161" s="15">
        <f t="shared" si="46"/>
        <v>0.3100877616582739</v>
      </c>
      <c r="Q161" s="7">
        <f t="shared" si="55"/>
        <v>651302.54986474081</v>
      </c>
      <c r="R161" s="7">
        <f t="shared" si="56"/>
        <v>449341.60001485702</v>
      </c>
      <c r="S161" s="13">
        <f>IF('Calc (3)'!$AD$32="Sim",R161,Q161)</f>
        <v>449341.60001485702</v>
      </c>
      <c r="T161" s="9">
        <f t="shared" si="57"/>
        <v>157</v>
      </c>
      <c r="U161" s="17">
        <f t="shared" ca="1" si="58"/>
        <v>50284</v>
      </c>
      <c r="V161" s="22"/>
      <c r="W161" s="22"/>
      <c r="X161" s="22"/>
    </row>
    <row r="162" spans="2:24" x14ac:dyDescent="0.2">
      <c r="B162" s="17">
        <f t="shared" ca="1" si="47"/>
        <v>50284</v>
      </c>
      <c r="C162" s="9">
        <f t="shared" si="59"/>
        <v>158</v>
      </c>
      <c r="D162" s="9"/>
      <c r="E162" s="13">
        <f t="shared" si="48"/>
        <v>1901.0451772782214</v>
      </c>
      <c r="F162" s="14">
        <f t="shared" si="60"/>
        <v>257063.98109360907</v>
      </c>
      <c r="G162" s="15">
        <f t="shared" si="49"/>
        <v>0.56613622032897559</v>
      </c>
      <c r="H162" s="13">
        <f t="shared" si="50"/>
        <v>6485.4619721509862</v>
      </c>
      <c r="I162" s="13">
        <f t="shared" si="51"/>
        <v>402625.07592056127</v>
      </c>
      <c r="J162" s="15">
        <f t="shared" si="44"/>
        <v>0.43386377967102441</v>
      </c>
      <c r="K162" s="13">
        <f t="shared" si="52"/>
        <v>197003.38266600342</v>
      </c>
      <c r="L162" s="13">
        <f t="shared" si="61"/>
        <v>10350201.724316543</v>
      </c>
      <c r="M162" s="15">
        <f t="shared" si="53"/>
        <v>0.43386377967102446</v>
      </c>
      <c r="N162" s="13">
        <f t="shared" si="45"/>
        <v>2424.2315480809939</v>
      </c>
      <c r="O162" s="13">
        <f t="shared" si="54"/>
        <v>205621.6932545575</v>
      </c>
      <c r="P162" s="15">
        <f t="shared" si="46"/>
        <v>0.31169486755658093</v>
      </c>
      <c r="Q162" s="7">
        <f t="shared" si="55"/>
        <v>659689.05701416999</v>
      </c>
      <c r="R162" s="7">
        <f t="shared" si="56"/>
        <v>454067.36375961249</v>
      </c>
      <c r="S162" s="13">
        <f>IF('Calc (3)'!$AD$32="Sim",R162,Q162)</f>
        <v>454067.36375961249</v>
      </c>
      <c r="T162" s="9">
        <f t="shared" si="57"/>
        <v>158</v>
      </c>
      <c r="U162" s="17">
        <f t="shared" ca="1" si="58"/>
        <v>50314</v>
      </c>
      <c r="V162" s="22"/>
      <c r="W162" s="22"/>
      <c r="X162" s="22"/>
    </row>
    <row r="163" spans="2:24" x14ac:dyDescent="0.2">
      <c r="B163" s="17">
        <f t="shared" ca="1" si="47"/>
        <v>50314</v>
      </c>
      <c r="C163" s="9">
        <f t="shared" si="59"/>
        <v>159</v>
      </c>
      <c r="D163" s="9"/>
      <c r="E163" s="13">
        <f t="shared" si="48"/>
        <v>1908.7902706487607</v>
      </c>
      <c r="F163" s="14">
        <f t="shared" si="60"/>
        <v>258972.77136425782</v>
      </c>
      <c r="G163" s="15">
        <f t="shared" si="49"/>
        <v>0.56441925560576467</v>
      </c>
      <c r="H163" s="13">
        <f t="shared" si="50"/>
        <v>6568.9721214788069</v>
      </c>
      <c r="I163" s="13">
        <f t="shared" si="51"/>
        <v>409194.04804204009</v>
      </c>
      <c r="J163" s="15">
        <f t="shared" si="44"/>
        <v>0.43558074439423533</v>
      </c>
      <c r="K163" s="13">
        <f t="shared" si="52"/>
        <v>199857.73236530487</v>
      </c>
      <c r="L163" s="13">
        <f t="shared" si="61"/>
        <v>10550059.456681848</v>
      </c>
      <c r="M163" s="15">
        <f t="shared" si="53"/>
        <v>0.43558074439423528</v>
      </c>
      <c r="N163" s="13">
        <f t="shared" si="45"/>
        <v>2455.3857090142542</v>
      </c>
      <c r="O163" s="13">
        <f t="shared" si="54"/>
        <v>209336.31567673484</v>
      </c>
      <c r="P163" s="15">
        <f t="shared" si="46"/>
        <v>0.31329947790993501</v>
      </c>
      <c r="Q163" s="7">
        <f t="shared" si="55"/>
        <v>668166.81940629752</v>
      </c>
      <c r="R163" s="7">
        <f t="shared" si="56"/>
        <v>458830.50372956268</v>
      </c>
      <c r="S163" s="13">
        <f>IF('Calc (3)'!$AD$32="Sim",R163,Q163)</f>
        <v>458830.50372956268</v>
      </c>
      <c r="T163" s="9">
        <f t="shared" si="57"/>
        <v>159</v>
      </c>
      <c r="U163" s="17">
        <f t="shared" ca="1" si="58"/>
        <v>50345</v>
      </c>
      <c r="V163" s="22"/>
      <c r="W163" s="22"/>
      <c r="X163" s="22"/>
    </row>
    <row r="164" spans="2:24" x14ac:dyDescent="0.2">
      <c r="B164" s="17">
        <f t="shared" ca="1" si="47"/>
        <v>50345</v>
      </c>
      <c r="C164" s="9">
        <f t="shared" si="59"/>
        <v>160</v>
      </c>
      <c r="D164" s="9"/>
      <c r="E164" s="13">
        <f t="shared" si="48"/>
        <v>1916.5669184884075</v>
      </c>
      <c r="F164" s="14">
        <f t="shared" si="60"/>
        <v>260889.33828274623</v>
      </c>
      <c r="G164" s="15">
        <f t="shared" si="49"/>
        <v>0.56270865741673659</v>
      </c>
      <c r="H164" s="13">
        <f t="shared" si="50"/>
        <v>6653.3909612553343</v>
      </c>
      <c r="I164" s="13">
        <f t="shared" si="51"/>
        <v>415847.43900329544</v>
      </c>
      <c r="J164" s="15">
        <f t="shared" si="44"/>
        <v>0.43729134258326341</v>
      </c>
      <c r="K164" s="13">
        <f t="shared" si="52"/>
        <v>202741.94736412473</v>
      </c>
      <c r="L164" s="13">
        <f t="shared" si="61"/>
        <v>10752801.404045973</v>
      </c>
      <c r="M164" s="15">
        <f t="shared" si="53"/>
        <v>0.43729134258326346</v>
      </c>
      <c r="N164" s="13">
        <f t="shared" si="45"/>
        <v>2486.878670792084</v>
      </c>
      <c r="O164" s="13">
        <f t="shared" si="54"/>
        <v>213105.49163917021</v>
      </c>
      <c r="P164" s="15">
        <f t="shared" si="46"/>
        <v>0.31490159659092298</v>
      </c>
      <c r="Q164" s="7">
        <f t="shared" si="55"/>
        <v>676736.77728604118</v>
      </c>
      <c r="R164" s="7">
        <f t="shared" si="56"/>
        <v>463631.28564687097</v>
      </c>
      <c r="S164" s="13">
        <f>IF('Calc (3)'!$AD$32="Sim",R164,Q164)</f>
        <v>463631.28564687097</v>
      </c>
      <c r="T164" s="9">
        <f t="shared" si="57"/>
        <v>160</v>
      </c>
      <c r="U164" s="17">
        <f t="shared" ca="1" si="58"/>
        <v>50375</v>
      </c>
      <c r="V164" s="22"/>
      <c r="W164" s="22"/>
      <c r="X164" s="22"/>
    </row>
    <row r="165" spans="2:24" x14ac:dyDescent="0.2">
      <c r="B165" s="17">
        <f t="shared" ca="1" si="47"/>
        <v>50375</v>
      </c>
      <c r="C165" s="9">
        <f t="shared" si="59"/>
        <v>161</v>
      </c>
      <c r="D165" s="9"/>
      <c r="E165" s="13">
        <f t="shared" si="48"/>
        <v>1924.3752493539748</v>
      </c>
      <c r="F165" s="14">
        <f t="shared" si="60"/>
        <v>262813.7135321002</v>
      </c>
      <c r="G165" s="15">
        <f t="shared" si="49"/>
        <v>0.56100438965219546</v>
      </c>
      <c r="H165" s="13">
        <f t="shared" si="50"/>
        <v>6738.7278541379983</v>
      </c>
      <c r="I165" s="13">
        <f t="shared" si="51"/>
        <v>422586.16685743345</v>
      </c>
      <c r="J165" s="15">
        <f t="shared" si="44"/>
        <v>0.43899561034780454</v>
      </c>
      <c r="K165" s="13">
        <f t="shared" si="52"/>
        <v>205656.26349434728</v>
      </c>
      <c r="L165" s="13">
        <f t="shared" si="61"/>
        <v>10958457.667540321</v>
      </c>
      <c r="M165" s="15">
        <f t="shared" si="53"/>
        <v>0.43899561034780454</v>
      </c>
      <c r="N165" s="13">
        <f t="shared" si="45"/>
        <v>2518.7139235137497</v>
      </c>
      <c r="O165" s="13">
        <f t="shared" si="54"/>
        <v>216929.90336308564</v>
      </c>
      <c r="P165" s="15">
        <f t="shared" si="46"/>
        <v>0.31650122734161834</v>
      </c>
      <c r="Q165" s="7">
        <f t="shared" si="55"/>
        <v>685399.88038953312</v>
      </c>
      <c r="R165" s="7">
        <f t="shared" si="56"/>
        <v>468469.97702644748</v>
      </c>
      <c r="S165" s="13">
        <f>IF('Calc (3)'!$AD$32="Sim",R165,Q165)</f>
        <v>468469.97702644748</v>
      </c>
      <c r="T165" s="9">
        <f t="shared" si="57"/>
        <v>161</v>
      </c>
      <c r="U165" s="17">
        <f t="shared" ca="1" si="58"/>
        <v>50406</v>
      </c>
      <c r="V165" s="22"/>
      <c r="W165" s="22"/>
      <c r="X165" s="22"/>
    </row>
    <row r="166" spans="2:24" x14ac:dyDescent="0.2">
      <c r="B166" s="17">
        <f t="shared" ca="1" si="47"/>
        <v>50406</v>
      </c>
      <c r="C166" s="9">
        <f t="shared" si="59"/>
        <v>162</v>
      </c>
      <c r="D166" s="9"/>
      <c r="E166" s="13">
        <f t="shared" si="48"/>
        <v>1932.2153923260321</v>
      </c>
      <c r="F166" s="14">
        <f t="shared" si="60"/>
        <v>264745.9289244262</v>
      </c>
      <c r="G166" s="15">
        <f t="shared" si="49"/>
        <v>0.55930641663161917</v>
      </c>
      <c r="H166" s="13">
        <f t="shared" si="50"/>
        <v>6824.9922572946998</v>
      </c>
      <c r="I166" s="13">
        <f t="shared" si="51"/>
        <v>429411.15911472816</v>
      </c>
      <c r="J166" s="15">
        <f t="shared" si="44"/>
        <v>0.44069358336838083</v>
      </c>
      <c r="K166" s="13">
        <f t="shared" si="52"/>
        <v>208600.91826327221</v>
      </c>
      <c r="L166" s="13">
        <f t="shared" si="61"/>
        <v>11167058.585803593</v>
      </c>
      <c r="M166" s="15">
        <f t="shared" si="53"/>
        <v>0.44069358336838088</v>
      </c>
      <c r="N166" s="13">
        <f t="shared" si="45"/>
        <v>2550.8949925061538</v>
      </c>
      <c r="O166" s="13">
        <f t="shared" si="54"/>
        <v>220810.24085145543</v>
      </c>
      <c r="P166" s="15">
        <f t="shared" si="46"/>
        <v>0.31809837377760902</v>
      </c>
      <c r="Q166" s="7">
        <f t="shared" si="55"/>
        <v>694157.08803915384</v>
      </c>
      <c r="R166" s="7">
        <f t="shared" si="56"/>
        <v>473346.84718769841</v>
      </c>
      <c r="S166" s="13">
        <f>IF('Calc (3)'!$AD$32="Sim",R166,Q166)</f>
        <v>473346.84718769841</v>
      </c>
      <c r="T166" s="9">
        <f t="shared" si="57"/>
        <v>162</v>
      </c>
      <c r="U166" s="17">
        <f t="shared" ca="1" si="58"/>
        <v>50437</v>
      </c>
      <c r="V166" s="22"/>
      <c r="W166" s="22"/>
      <c r="X166" s="22"/>
    </row>
    <row r="167" spans="2:24" x14ac:dyDescent="0.2">
      <c r="B167" s="17">
        <f t="shared" ca="1" si="47"/>
        <v>50437</v>
      </c>
      <c r="C167" s="9">
        <f t="shared" si="59"/>
        <v>163</v>
      </c>
      <c r="D167" s="9"/>
      <c r="E167" s="13">
        <f t="shared" si="48"/>
        <v>1940.087477011039</v>
      </c>
      <c r="F167" s="14">
        <f t="shared" si="60"/>
        <v>266686.01640143723</v>
      </c>
      <c r="G167" s="15">
        <f t="shared" si="49"/>
        <v>0.55761470309424632</v>
      </c>
      <c r="H167" s="13">
        <f t="shared" si="50"/>
        <v>6912.1937233501294</v>
      </c>
      <c r="I167" s="13">
        <f t="shared" si="51"/>
        <v>436323.35283807828</v>
      </c>
      <c r="J167" s="15">
        <f t="shared" si="44"/>
        <v>0.44238529690575368</v>
      </c>
      <c r="K167" s="13">
        <f t="shared" si="52"/>
        <v>211576.15086491406</v>
      </c>
      <c r="L167" s="13">
        <f t="shared" si="61"/>
        <v>11378634.736668507</v>
      </c>
      <c r="M167" s="15">
        <f t="shared" si="53"/>
        <v>0.44238529690575373</v>
      </c>
      <c r="N167" s="13">
        <f t="shared" si="45"/>
        <v>2583.4254386765515</v>
      </c>
      <c r="O167" s="13">
        <f t="shared" si="54"/>
        <v>224747.20197316376</v>
      </c>
      <c r="P167" s="15">
        <f t="shared" si="46"/>
        <v>0.31969303939190102</v>
      </c>
      <c r="Q167" s="7">
        <f t="shared" si="55"/>
        <v>703009.36923951504</v>
      </c>
      <c r="R167" s="7">
        <f t="shared" si="56"/>
        <v>478262.16726635129</v>
      </c>
      <c r="S167" s="13">
        <f>IF('Calc (3)'!$AD$32="Sim",R167,Q167)</f>
        <v>478262.16726635129</v>
      </c>
      <c r="T167" s="9">
        <f t="shared" si="57"/>
        <v>163</v>
      </c>
      <c r="U167" s="17">
        <f t="shared" ca="1" si="58"/>
        <v>50465</v>
      </c>
      <c r="V167" s="22"/>
      <c r="W167" s="22"/>
      <c r="X167" s="22"/>
    </row>
    <row r="168" spans="2:24" x14ac:dyDescent="0.2">
      <c r="B168" s="17">
        <f t="shared" ca="1" si="47"/>
        <v>50465</v>
      </c>
      <c r="C168" s="9">
        <f t="shared" si="59"/>
        <v>164</v>
      </c>
      <c r="D168" s="9"/>
      <c r="E168" s="13">
        <f t="shared" si="48"/>
        <v>1947.991633543488</v>
      </c>
      <c r="F168" s="14">
        <f t="shared" si="60"/>
        <v>268634.00803498074</v>
      </c>
      <c r="G168" s="15">
        <f t="shared" si="49"/>
        <v>0.55592921418994357</v>
      </c>
      <c r="H168" s="13">
        <f t="shared" si="50"/>
        <v>7000.3419013415296</v>
      </c>
      <c r="I168" s="13">
        <f t="shared" si="51"/>
        <v>443323.69473941979</v>
      </c>
      <c r="J168" s="15">
        <f t="shared" si="44"/>
        <v>0.44407078581005643</v>
      </c>
      <c r="K168" s="13">
        <f t="shared" si="52"/>
        <v>214582.20219137543</v>
      </c>
      <c r="L168" s="13">
        <f t="shared" si="61"/>
        <v>11593216.938859882</v>
      </c>
      <c r="M168" s="15">
        <f t="shared" si="53"/>
        <v>0.44407078581005649</v>
      </c>
      <c r="N168" s="13">
        <f t="shared" si="45"/>
        <v>2616.3088588687915</v>
      </c>
      <c r="O168" s="13">
        <f t="shared" si="54"/>
        <v>228741.49254804396</v>
      </c>
      <c r="P168" s="15">
        <f t="shared" si="46"/>
        <v>0.32128522755870215</v>
      </c>
      <c r="Q168" s="7">
        <f t="shared" si="55"/>
        <v>711957.70277440012</v>
      </c>
      <c r="R168" s="7">
        <f t="shared" si="56"/>
        <v>483216.21022635617</v>
      </c>
      <c r="S168" s="13">
        <f>IF('Calc (3)'!$AD$32="Sim",R168,Q168)</f>
        <v>483216.21022635617</v>
      </c>
      <c r="T168" s="9">
        <f t="shared" si="57"/>
        <v>164</v>
      </c>
      <c r="U168" s="17">
        <f t="shared" ca="1" si="58"/>
        <v>50496</v>
      </c>
      <c r="V168" s="22"/>
      <c r="W168" s="22"/>
      <c r="X168" s="22"/>
    </row>
    <row r="169" spans="2:24" x14ac:dyDescent="0.2">
      <c r="B169" s="17">
        <f t="shared" ca="1" si="47"/>
        <v>50496</v>
      </c>
      <c r="C169" s="9">
        <f t="shared" si="59"/>
        <v>165</v>
      </c>
      <c r="D169" s="9"/>
      <c r="E169" s="13">
        <f t="shared" si="48"/>
        <v>1955.9279925880555</v>
      </c>
      <c r="F169" s="14">
        <f t="shared" si="60"/>
        <v>270589.93602756882</v>
      </c>
      <c r="G169" s="15">
        <f t="shared" si="49"/>
        <v>0.55424991547034119</v>
      </c>
      <c r="H169" s="13">
        <f t="shared" si="50"/>
        <v>7089.4465376839989</v>
      </c>
      <c r="I169" s="13">
        <f t="shared" si="51"/>
        <v>450413.1412771038</v>
      </c>
      <c r="J169" s="15">
        <f t="shared" si="44"/>
        <v>0.44575008452965881</v>
      </c>
      <c r="K169" s="13">
        <f t="shared" si="52"/>
        <v>217619.31484429451</v>
      </c>
      <c r="L169" s="13">
        <f t="shared" si="61"/>
        <v>11810836.253704177</v>
      </c>
      <c r="M169" s="15">
        <f t="shared" si="53"/>
        <v>0.44575008452965886</v>
      </c>
      <c r="N169" s="13">
        <f t="shared" si="45"/>
        <v>2649.5488862231068</v>
      </c>
      <c r="O169" s="13">
        <f t="shared" si="54"/>
        <v>232793.82643280877</v>
      </c>
      <c r="P169" s="15">
        <f t="shared" si="46"/>
        <v>0.32287494153709106</v>
      </c>
      <c r="Q169" s="7">
        <f t="shared" si="55"/>
        <v>721003.0773046721</v>
      </c>
      <c r="R169" s="7">
        <f t="shared" si="56"/>
        <v>488209.25087186333</v>
      </c>
      <c r="S169" s="13">
        <f>IF('Calc (3)'!$AD$32="Sim",R169,Q169)</f>
        <v>488209.25087186333</v>
      </c>
      <c r="T169" s="9">
        <f t="shared" si="57"/>
        <v>165</v>
      </c>
      <c r="U169" s="17">
        <f t="shared" ca="1" si="58"/>
        <v>50526</v>
      </c>
      <c r="V169" s="22"/>
      <c r="W169" s="22"/>
      <c r="X169" s="22"/>
    </row>
    <row r="170" spans="2:24" x14ac:dyDescent="0.2">
      <c r="B170" s="17">
        <f t="shared" ca="1" si="47"/>
        <v>50526</v>
      </c>
      <c r="C170" s="9">
        <f t="shared" si="59"/>
        <v>166</v>
      </c>
      <c r="D170" s="9"/>
      <c r="E170" s="13">
        <f t="shared" si="48"/>
        <v>1963.8966853417621</v>
      </c>
      <c r="F170" s="14">
        <f t="shared" si="60"/>
        <v>272553.8327129106</v>
      </c>
      <c r="G170" s="15">
        <f t="shared" si="49"/>
        <v>0.552576772880228</v>
      </c>
      <c r="H170" s="13">
        <f t="shared" si="50"/>
        <v>7179.5174771454285</v>
      </c>
      <c r="I170" s="13">
        <f t="shared" si="51"/>
        <v>457592.65875424922</v>
      </c>
      <c r="J170" s="15">
        <f t="shared" si="44"/>
        <v>0.447423227119772</v>
      </c>
      <c r="K170" s="13">
        <f t="shared" si="52"/>
        <v>220687.733146368</v>
      </c>
      <c r="L170" s="13">
        <f t="shared" si="61"/>
        <v>12031523.986850545</v>
      </c>
      <c r="M170" s="15">
        <f t="shared" si="53"/>
        <v>0.447423227119772</v>
      </c>
      <c r="N170" s="13">
        <f t="shared" si="45"/>
        <v>2683.1491905395023</v>
      </c>
      <c r="O170" s="13">
        <f t="shared" si="54"/>
        <v>236904.92560788064</v>
      </c>
      <c r="P170" s="15">
        <f t="shared" si="46"/>
        <v>0.32446218447457431</v>
      </c>
      <c r="Q170" s="7">
        <f t="shared" si="55"/>
        <v>730146.49146715924</v>
      </c>
      <c r="R170" s="7">
        <f t="shared" si="56"/>
        <v>493241.56585927861</v>
      </c>
      <c r="S170" s="13">
        <f>IF('Calc (3)'!$AD$32="Sim",R170,Q170)</f>
        <v>493241.56585927861</v>
      </c>
      <c r="T170" s="9">
        <f t="shared" si="57"/>
        <v>166</v>
      </c>
      <c r="U170" s="17">
        <f t="shared" ca="1" si="58"/>
        <v>50557</v>
      </c>
      <c r="V170" s="22"/>
      <c r="W170" s="22"/>
      <c r="X170" s="22"/>
    </row>
    <row r="171" spans="2:24" x14ac:dyDescent="0.2">
      <c r="B171" s="17">
        <f t="shared" ca="1" si="47"/>
        <v>50557</v>
      </c>
      <c r="C171" s="9">
        <f t="shared" si="59"/>
        <v>167</v>
      </c>
      <c r="D171" s="9"/>
      <c r="E171" s="13">
        <f t="shared" si="48"/>
        <v>1971.8978435361412</v>
      </c>
      <c r="F171" s="14">
        <f t="shared" si="60"/>
        <v>274525.73055644677</v>
      </c>
      <c r="G171" s="15">
        <f t="shared" si="49"/>
        <v>0.55090975274919696</v>
      </c>
      <c r="H171" s="13">
        <f t="shared" si="50"/>
        <v>7270.5646638311737</v>
      </c>
      <c r="I171" s="13">
        <f t="shared" si="51"/>
        <v>464863.22341808036</v>
      </c>
      <c r="J171" s="15">
        <f t="shared" si="44"/>
        <v>0.44909024725080304</v>
      </c>
      <c r="K171" s="13">
        <f t="shared" si="52"/>
        <v>223787.7031529494</v>
      </c>
      <c r="L171" s="13">
        <f t="shared" si="61"/>
        <v>12255311.690003494</v>
      </c>
      <c r="M171" s="15">
        <f t="shared" si="53"/>
        <v>0.4490902472508031</v>
      </c>
      <c r="N171" s="13">
        <f t="shared" si="45"/>
        <v>2717.1134786447606</v>
      </c>
      <c r="O171" s="13">
        <f t="shared" si="54"/>
        <v>241075.52026513033</v>
      </c>
      <c r="P171" s="15">
        <f t="shared" si="46"/>
        <v>0.32604695941053496</v>
      </c>
      <c r="Q171" s="7">
        <f t="shared" si="55"/>
        <v>739388.95397452649</v>
      </c>
      <c r="R171" s="7">
        <f t="shared" si="56"/>
        <v>498313.43370939617</v>
      </c>
      <c r="S171" s="13">
        <f>IF('Calc (3)'!$AD$32="Sim",R171,Q171)</f>
        <v>498313.43370939617</v>
      </c>
      <c r="T171" s="9">
        <f t="shared" si="57"/>
        <v>167</v>
      </c>
      <c r="U171" s="17">
        <f t="shared" ca="1" si="58"/>
        <v>50587</v>
      </c>
      <c r="V171" s="22"/>
      <c r="W171" s="22"/>
      <c r="X171" s="22"/>
    </row>
    <row r="172" spans="2:24" x14ac:dyDescent="0.2">
      <c r="B172" s="17">
        <f t="shared" ca="1" si="47"/>
        <v>50587</v>
      </c>
      <c r="C172" s="9">
        <f t="shared" si="59"/>
        <v>168</v>
      </c>
      <c r="D172" s="9">
        <v>14</v>
      </c>
      <c r="E172" s="13">
        <f t="shared" si="48"/>
        <v>1979.9315994394167</v>
      </c>
      <c r="F172" s="14">
        <f t="shared" si="60"/>
        <v>276505.66215588618</v>
      </c>
      <c r="G172" s="15">
        <f t="shared" si="49"/>
        <v>0.54924882178353218</v>
      </c>
      <c r="H172" s="13">
        <f t="shared" si="50"/>
        <v>7362.5981421785409</v>
      </c>
      <c r="I172" s="13">
        <f t="shared" si="51"/>
        <v>472225.82156025892</v>
      </c>
      <c r="J172" s="15">
        <f t="shared" si="44"/>
        <v>0.45075117821646782</v>
      </c>
      <c r="K172" s="13">
        <f t="shared" si="52"/>
        <v>226919.47266372299</v>
      </c>
      <c r="L172" s="13">
        <f t="shared" si="61"/>
        <v>12482231.162667217</v>
      </c>
      <c r="M172" s="15">
        <f t="shared" si="53"/>
        <v>0.45075117821646782</v>
      </c>
      <c r="N172" s="13">
        <f t="shared" si="45"/>
        <v>2751.4454947631189</v>
      </c>
      <c r="O172" s="13">
        <f t="shared" si="54"/>
        <v>245306.34889653529</v>
      </c>
      <c r="P172" s="15">
        <f t="shared" si="46"/>
        <v>0.32762926927957886</v>
      </c>
      <c r="Q172" s="7">
        <f t="shared" si="55"/>
        <v>748731.48371614446</v>
      </c>
      <c r="R172" s="7">
        <f t="shared" si="56"/>
        <v>503425.13481960917</v>
      </c>
      <c r="S172" s="13">
        <f>IF('Calc (3)'!$AD$32="Sim",R172,Q172)</f>
        <v>503425.13481960917</v>
      </c>
      <c r="T172" s="9">
        <f t="shared" si="57"/>
        <v>168</v>
      </c>
      <c r="U172" s="17">
        <f t="shared" ca="1" si="58"/>
        <v>50618</v>
      </c>
      <c r="V172" s="22"/>
      <c r="W172" s="22"/>
      <c r="X172" s="22"/>
    </row>
    <row r="173" spans="2:24" x14ac:dyDescent="0.2">
      <c r="B173" s="17">
        <f t="shared" ca="1" si="47"/>
        <v>50618</v>
      </c>
      <c r="C173" s="9">
        <f t="shared" si="59"/>
        <v>169</v>
      </c>
      <c r="D173" s="9"/>
      <c r="E173" s="13">
        <f t="shared" si="48"/>
        <v>1987.9980858586898</v>
      </c>
      <c r="F173" s="14">
        <f t="shared" si="60"/>
        <v>278493.66024174489</v>
      </c>
      <c r="G173" s="15">
        <f t="shared" si="49"/>
        <v>0.54759394705833009</v>
      </c>
      <c r="H173" s="13">
        <f t="shared" si="50"/>
        <v>7455.6280579612076</v>
      </c>
      <c r="I173" s="13">
        <f t="shared" si="51"/>
        <v>479681.44961822015</v>
      </c>
      <c r="J173" s="15">
        <f t="shared" si="44"/>
        <v>0.45240605294166991</v>
      </c>
      <c r="K173" s="13">
        <f t="shared" si="52"/>
        <v>230083.29123445461</v>
      </c>
      <c r="L173" s="13">
        <f t="shared" si="61"/>
        <v>12712314.453901671</v>
      </c>
      <c r="M173" s="15">
        <f t="shared" si="53"/>
        <v>0.45240605294166991</v>
      </c>
      <c r="N173" s="13">
        <f t="shared" si="45"/>
        <v>2786.1490208906393</v>
      </c>
      <c r="O173" s="13">
        <f t="shared" si="54"/>
        <v>249598.15838376485</v>
      </c>
      <c r="P173" s="15">
        <f t="shared" si="46"/>
        <v>0.32920911691477955</v>
      </c>
      <c r="Q173" s="7">
        <f t="shared" si="55"/>
        <v>758175.10985996434</v>
      </c>
      <c r="R173" s="7">
        <f t="shared" si="56"/>
        <v>508576.95147619949</v>
      </c>
      <c r="S173" s="13">
        <f>IF('Calc (3)'!$AD$32="Sim",R173,Q173)</f>
        <v>508576.95147619949</v>
      </c>
      <c r="T173" s="9">
        <f t="shared" si="57"/>
        <v>169</v>
      </c>
      <c r="U173" s="17">
        <f t="shared" ca="1" si="58"/>
        <v>50649</v>
      </c>
      <c r="V173" s="22"/>
      <c r="W173" s="22"/>
      <c r="X173" s="22"/>
    </row>
    <row r="174" spans="2:24" x14ac:dyDescent="0.2">
      <c r="B174" s="17">
        <f t="shared" ca="1" si="47"/>
        <v>50649</v>
      </c>
      <c r="C174" s="9">
        <f t="shared" si="59"/>
        <v>170</v>
      </c>
      <c r="D174" s="9"/>
      <c r="E174" s="13">
        <f t="shared" si="48"/>
        <v>1996.097436142134</v>
      </c>
      <c r="F174" s="14">
        <f t="shared" si="60"/>
        <v>280489.75767788704</v>
      </c>
      <c r="G174" s="15">
        <f t="shared" si="49"/>
        <v>0.54594509600984498</v>
      </c>
      <c r="H174" s="13">
        <f t="shared" si="50"/>
        <v>7549.6646593036621</v>
      </c>
      <c r="I174" s="13">
        <f t="shared" si="51"/>
        <v>487231.11427752383</v>
      </c>
      <c r="J174" s="15">
        <f t="shared" si="44"/>
        <v>0.45405490399015502</v>
      </c>
      <c r="K174" s="13">
        <f t="shared" si="52"/>
        <v>233279.41018881911</v>
      </c>
      <c r="L174" s="13">
        <f t="shared" si="61"/>
        <v>12945593.864090489</v>
      </c>
      <c r="M174" s="15">
        <f t="shared" si="53"/>
        <v>0.45405490399015502</v>
      </c>
      <c r="N174" s="13">
        <f t="shared" si="45"/>
        <v>2821.2278771733172</v>
      </c>
      <c r="O174" s="13">
        <f t="shared" si="54"/>
        <v>253951.70408870396</v>
      </c>
      <c r="P174" s="15">
        <f t="shared" si="46"/>
        <v>0.33078650505082752</v>
      </c>
      <c r="Q174" s="7">
        <f t="shared" si="55"/>
        <v>767720.87195541011</v>
      </c>
      <c r="R174" s="7">
        <f t="shared" si="56"/>
        <v>513769.16786670615</v>
      </c>
      <c r="S174" s="13">
        <f>IF('Calc (3)'!$AD$32="Sim",R174,Q174)</f>
        <v>513769.16786670615</v>
      </c>
      <c r="T174" s="9">
        <f t="shared" si="57"/>
        <v>170</v>
      </c>
      <c r="U174" s="17">
        <f t="shared" ca="1" si="58"/>
        <v>50679</v>
      </c>
      <c r="V174" s="22"/>
      <c r="W174" s="22"/>
      <c r="X174" s="22"/>
    </row>
    <row r="175" spans="2:24" x14ac:dyDescent="0.2">
      <c r="B175" s="17">
        <f t="shared" ca="1" si="47"/>
        <v>50679</v>
      </c>
      <c r="C175" s="9">
        <f t="shared" si="59"/>
        <v>171</v>
      </c>
      <c r="D175" s="9"/>
      <c r="E175" s="13">
        <f t="shared" si="48"/>
        <v>2004.2297841812001</v>
      </c>
      <c r="F175" s="14">
        <f t="shared" si="60"/>
        <v>282493.98746206827</v>
      </c>
      <c r="G175" s="15">
        <f t="shared" si="49"/>
        <v>0.5443022364280532</v>
      </c>
      <c r="H175" s="13">
        <f t="shared" si="50"/>
        <v>7644.7182977057701</v>
      </c>
      <c r="I175" s="13">
        <f t="shared" si="51"/>
        <v>494875.83257522958</v>
      </c>
      <c r="J175" s="15">
        <f t="shared" si="44"/>
        <v>0.4556977635719468</v>
      </c>
      <c r="K175" s="13">
        <f t="shared" si="52"/>
        <v>236508.08263030555</v>
      </c>
      <c r="L175" s="13">
        <f t="shared" si="61"/>
        <v>13182101.946720794</v>
      </c>
      <c r="M175" s="15">
        <f t="shared" si="53"/>
        <v>0.45569776357194686</v>
      </c>
      <c r="N175" s="13">
        <f t="shared" si="45"/>
        <v>2856.685922288963</v>
      </c>
      <c r="O175" s="13">
        <f t="shared" si="54"/>
        <v>258367.74994492327</v>
      </c>
      <c r="P175" s="15">
        <f t="shared" si="46"/>
        <v>0.33236143632708454</v>
      </c>
      <c r="Q175" s="7">
        <f t="shared" si="55"/>
        <v>777369.82003729709</v>
      </c>
      <c r="R175" s="7">
        <f t="shared" si="56"/>
        <v>519002.07009237382</v>
      </c>
      <c r="S175" s="13">
        <f>IF('Calc (3)'!$AD$32="Sim",R175,Q175)</f>
        <v>519002.07009237382</v>
      </c>
      <c r="T175" s="9">
        <f t="shared" si="57"/>
        <v>171</v>
      </c>
      <c r="U175" s="17">
        <f t="shared" ca="1" si="58"/>
        <v>50710</v>
      </c>
      <c r="V175" s="22"/>
      <c r="W175" s="22"/>
      <c r="X175" s="22"/>
    </row>
    <row r="176" spans="2:24" x14ac:dyDescent="0.2">
      <c r="B176" s="17">
        <f t="shared" ca="1" si="47"/>
        <v>50710</v>
      </c>
      <c r="C176" s="9">
        <f t="shared" si="59"/>
        <v>172</v>
      </c>
      <c r="D176" s="9"/>
      <c r="E176" s="13">
        <f t="shared" si="48"/>
        <v>2012.3952644128292</v>
      </c>
      <c r="F176" s="14">
        <f t="shared" si="60"/>
        <v>284506.38272648107</v>
      </c>
      <c r="G176" s="15">
        <f t="shared" si="49"/>
        <v>0.54266533644942716</v>
      </c>
      <c r="H176" s="13">
        <f t="shared" si="50"/>
        <v>7740.7994290775614</v>
      </c>
      <c r="I176" s="13">
        <f t="shared" si="51"/>
        <v>502616.63200430712</v>
      </c>
      <c r="J176" s="15">
        <f t="shared" si="44"/>
        <v>0.45733466355057284</v>
      </c>
      <c r="K176" s="13">
        <f t="shared" si="52"/>
        <v>239769.56345419999</v>
      </c>
      <c r="L176" s="13">
        <f t="shared" si="61"/>
        <v>13421871.510174993</v>
      </c>
      <c r="M176" s="15">
        <f t="shared" si="53"/>
        <v>0.45733466355057278</v>
      </c>
      <c r="N176" s="13">
        <f t="shared" si="45"/>
        <v>2892.5270538328923</v>
      </c>
      <c r="O176" s="13">
        <f t="shared" si="54"/>
        <v>262847.06855010643</v>
      </c>
      <c r="P176" s="15">
        <f t="shared" si="46"/>
        <v>0.33393391329054917</v>
      </c>
      <c r="Q176" s="7">
        <f t="shared" si="55"/>
        <v>787123.01473078749</v>
      </c>
      <c r="R176" s="7">
        <f t="shared" si="56"/>
        <v>524275.94618068106</v>
      </c>
      <c r="S176" s="13">
        <f>IF('Calc (3)'!$AD$32="Sim",R176,Q176)</f>
        <v>524275.94618068106</v>
      </c>
      <c r="T176" s="9">
        <f t="shared" si="57"/>
        <v>172</v>
      </c>
      <c r="U176" s="17">
        <f t="shared" ca="1" si="58"/>
        <v>50740</v>
      </c>
      <c r="V176" s="22"/>
      <c r="W176" s="22"/>
      <c r="X176" s="22"/>
    </row>
    <row r="177" spans="2:24" x14ac:dyDescent="0.2">
      <c r="B177" s="17">
        <f t="shared" ca="1" si="47"/>
        <v>50740</v>
      </c>
      <c r="C177" s="9">
        <f t="shared" si="59"/>
        <v>173</v>
      </c>
      <c r="D177" s="9"/>
      <c r="E177" s="13">
        <f t="shared" si="48"/>
        <v>2020.5940118216747</v>
      </c>
      <c r="F177" s="14">
        <f t="shared" si="60"/>
        <v>286526.97673830274</v>
      </c>
      <c r="G177" s="15">
        <f t="shared" si="49"/>
        <v>0.54103436454991338</v>
      </c>
      <c r="H177" s="13">
        <f t="shared" si="50"/>
        <v>7837.9186147843475</v>
      </c>
      <c r="I177" s="13">
        <f t="shared" si="51"/>
        <v>510454.55061909149</v>
      </c>
      <c r="J177" s="15">
        <f t="shared" si="44"/>
        <v>0.45896563545008662</v>
      </c>
      <c r="K177" s="13">
        <f t="shared" si="52"/>
        <v>243064.10935964703</v>
      </c>
      <c r="L177" s="13">
        <f t="shared" si="61"/>
        <v>13664935.61953464</v>
      </c>
      <c r="M177" s="15">
        <f t="shared" si="53"/>
        <v>0.45896563545008656</v>
      </c>
      <c r="N177" s="13">
        <f t="shared" si="45"/>
        <v>2928.7552087074696</v>
      </c>
      <c r="O177" s="13">
        <f t="shared" si="54"/>
        <v>267390.44125944376</v>
      </c>
      <c r="P177" s="15">
        <f t="shared" si="46"/>
        <v>0.33550393839873383</v>
      </c>
      <c r="Q177" s="7">
        <f t="shared" si="55"/>
        <v>796981.52735739353</v>
      </c>
      <c r="R177" s="7">
        <f t="shared" si="56"/>
        <v>529591.08609794977</v>
      </c>
      <c r="S177" s="13">
        <f>IF('Calc (3)'!$AD$32="Sim",R177,Q177)</f>
        <v>529591.08609794977</v>
      </c>
      <c r="T177" s="9">
        <f t="shared" si="57"/>
        <v>173</v>
      </c>
      <c r="U177" s="17">
        <f t="shared" ca="1" si="58"/>
        <v>50771</v>
      </c>
      <c r="V177" s="22"/>
      <c r="W177" s="22"/>
      <c r="X177" s="22"/>
    </row>
    <row r="178" spans="2:24" x14ac:dyDescent="0.2">
      <c r="B178" s="17">
        <f t="shared" ca="1" si="47"/>
        <v>50771</v>
      </c>
      <c r="C178" s="9">
        <f t="shared" si="59"/>
        <v>174</v>
      </c>
      <c r="D178" s="9"/>
      <c r="E178" s="13">
        <f t="shared" si="48"/>
        <v>2028.8261619423349</v>
      </c>
      <c r="F178" s="14">
        <f t="shared" si="60"/>
        <v>288555.80290024506</v>
      </c>
      <c r="G178" s="15">
        <f t="shared" si="49"/>
        <v>0.53940928953810607</v>
      </c>
      <c r="H178" s="13">
        <f t="shared" si="50"/>
        <v>7936.0865227022605</v>
      </c>
      <c r="I178" s="13">
        <f t="shared" si="51"/>
        <v>518390.63714179373</v>
      </c>
      <c r="J178" s="15">
        <f t="shared" si="44"/>
        <v>0.46059071046189393</v>
      </c>
      <c r="K178" s="13">
        <f t="shared" si="52"/>
        <v>246391.9788617898</v>
      </c>
      <c r="L178" s="13">
        <f t="shared" si="61"/>
        <v>13911327.59839643</v>
      </c>
      <c r="M178" s="15">
        <f t="shared" si="53"/>
        <v>0.46059071046189387</v>
      </c>
      <c r="N178" s="13">
        <f t="shared" si="45"/>
        <v>2965.3743635155338</v>
      </c>
      <c r="O178" s="13">
        <f t="shared" si="54"/>
        <v>271998.65828000323</v>
      </c>
      <c r="P178" s="15">
        <f t="shared" si="46"/>
        <v>0.337071514022459</v>
      </c>
      <c r="Q178" s="7">
        <f t="shared" si="55"/>
        <v>806946.4400420381</v>
      </c>
      <c r="R178" s="7">
        <f t="shared" si="56"/>
        <v>534947.78176203487</v>
      </c>
      <c r="S178" s="13">
        <f>IF('Calc (3)'!$AD$32="Sim",R178,Q178)</f>
        <v>534947.78176203487</v>
      </c>
      <c r="T178" s="9">
        <f t="shared" si="57"/>
        <v>174</v>
      </c>
      <c r="U178" s="17">
        <f t="shared" ca="1" si="58"/>
        <v>50802</v>
      </c>
      <c r="V178" s="22"/>
      <c r="W178" s="22"/>
      <c r="X178" s="22"/>
    </row>
    <row r="179" spans="2:24" x14ac:dyDescent="0.2">
      <c r="B179" s="17">
        <f t="shared" ca="1" si="47"/>
        <v>50802</v>
      </c>
      <c r="C179" s="9">
        <f t="shared" si="59"/>
        <v>175</v>
      </c>
      <c r="D179" s="9"/>
      <c r="E179" s="13">
        <f t="shared" si="48"/>
        <v>2037.0918508615921</v>
      </c>
      <c r="F179" s="14">
        <f t="shared" si="60"/>
        <v>290592.89475110668</v>
      </c>
      <c r="G179" s="15">
        <f t="shared" si="49"/>
        <v>0.53779008054861099</v>
      </c>
      <c r="H179" s="13">
        <f t="shared" si="50"/>
        <v>8035.313928284334</v>
      </c>
      <c r="I179" s="13">
        <f t="shared" si="51"/>
        <v>526425.95107007807</v>
      </c>
      <c r="J179" s="15">
        <f t="shared" si="44"/>
        <v>0.46220991945138901</v>
      </c>
      <c r="K179" s="13">
        <f t="shared" si="52"/>
        <v>249753.4323039903</v>
      </c>
      <c r="L179" s="13">
        <f t="shared" si="61"/>
        <v>14161081.030700421</v>
      </c>
      <c r="M179" s="15">
        <f t="shared" si="53"/>
        <v>0.46220991945138906</v>
      </c>
      <c r="N179" s="13">
        <f t="shared" si="45"/>
        <v>3002.3885349577536</v>
      </c>
      <c r="O179" s="13">
        <f t="shared" si="54"/>
        <v>276672.51876608701</v>
      </c>
      <c r="P179" s="15">
        <f t="shared" si="46"/>
        <v>0.33863664244856434</v>
      </c>
      <c r="Q179" s="7">
        <f t="shared" si="55"/>
        <v>817018.84582118399</v>
      </c>
      <c r="R179" s="7">
        <f t="shared" si="56"/>
        <v>540346.32705509698</v>
      </c>
      <c r="S179" s="13">
        <f>IF('Calc (3)'!$AD$32="Sim",R179,Q179)</f>
        <v>540346.32705509698</v>
      </c>
      <c r="T179" s="9">
        <f t="shared" si="57"/>
        <v>175</v>
      </c>
      <c r="U179" s="17">
        <f t="shared" ca="1" si="58"/>
        <v>50830</v>
      </c>
      <c r="V179" s="22"/>
      <c r="W179" s="22"/>
      <c r="X179" s="22"/>
    </row>
    <row r="180" spans="2:24" x14ac:dyDescent="0.2">
      <c r="B180" s="17">
        <f t="shared" ca="1" si="47"/>
        <v>50830</v>
      </c>
      <c r="C180" s="9">
        <f t="shared" si="59"/>
        <v>176</v>
      </c>
      <c r="D180" s="9"/>
      <c r="E180" s="13">
        <f t="shared" si="48"/>
        <v>2045.3912152206635</v>
      </c>
      <c r="F180" s="14">
        <f t="shared" si="60"/>
        <v>292638.28596632736</v>
      </c>
      <c r="G180" s="15">
        <f t="shared" si="49"/>
        <v>0.53617670703559261</v>
      </c>
      <c r="H180" s="13">
        <f t="shared" si="50"/>
        <v>8135.6117156372175</v>
      </c>
      <c r="I180" s="13">
        <f t="shared" si="51"/>
        <v>534561.56278571533</v>
      </c>
      <c r="J180" s="15">
        <f t="shared" si="44"/>
        <v>0.46382329296440739</v>
      </c>
      <c r="K180" s="13">
        <f t="shared" si="52"/>
        <v>253148.73187012883</v>
      </c>
      <c r="L180" s="13">
        <f t="shared" si="61"/>
        <v>14414229.762570551</v>
      </c>
      <c r="M180" s="15">
        <f t="shared" si="53"/>
        <v>0.46382329296440733</v>
      </c>
      <c r="N180" s="13">
        <f t="shared" si="45"/>
        <v>3039.8017802339455</v>
      </c>
      <c r="O180" s="13">
        <f t="shared" si="54"/>
        <v>281412.83091558574</v>
      </c>
      <c r="P180" s="15">
        <f t="shared" si="46"/>
        <v>0.34019932588254248</v>
      </c>
      <c r="Q180" s="7">
        <f t="shared" si="55"/>
        <v>827199.84875204193</v>
      </c>
      <c r="R180" s="7">
        <f t="shared" si="56"/>
        <v>545787.01783645619</v>
      </c>
      <c r="S180" s="13">
        <f>IF('Calc (3)'!$AD$32="Sim",R180,Q180)</f>
        <v>545787.01783645619</v>
      </c>
      <c r="T180" s="9">
        <f t="shared" si="57"/>
        <v>176</v>
      </c>
      <c r="U180" s="17">
        <f t="shared" ca="1" si="58"/>
        <v>50861</v>
      </c>
      <c r="V180" s="22"/>
      <c r="W180" s="22"/>
      <c r="X180" s="22"/>
    </row>
    <row r="181" spans="2:24" x14ac:dyDescent="0.2">
      <c r="B181" s="17">
        <f t="shared" ca="1" si="47"/>
        <v>50861</v>
      </c>
      <c r="C181" s="9">
        <f t="shared" si="59"/>
        <v>177</v>
      </c>
      <c r="D181" s="9"/>
      <c r="E181" s="13">
        <f t="shared" si="48"/>
        <v>2053.7243922174594</v>
      </c>
      <c r="F181" s="14">
        <f t="shared" si="60"/>
        <v>294692.01035854482</v>
      </c>
      <c r="G181" s="15">
        <f t="shared" si="49"/>
        <v>0.53456913876650014</v>
      </c>
      <c r="H181" s="13">
        <f t="shared" si="50"/>
        <v>8236.9908786086344</v>
      </c>
      <c r="I181" s="13">
        <f t="shared" si="51"/>
        <v>542798.55366432399</v>
      </c>
      <c r="J181" s="15">
        <f t="shared" si="44"/>
        <v>0.46543086123349986</v>
      </c>
      <c r="K181" s="13">
        <f t="shared" si="52"/>
        <v>256578.14159698418</v>
      </c>
      <c r="L181" s="13">
        <f t="shared" si="61"/>
        <v>14670807.904167535</v>
      </c>
      <c r="M181" s="15">
        <f t="shared" si="53"/>
        <v>0.4654308612334998</v>
      </c>
      <c r="N181" s="13">
        <f t="shared" si="45"/>
        <v>3077.6181974483961</v>
      </c>
      <c r="O181" s="13">
        <f t="shared" si="54"/>
        <v>286220.41206733906</v>
      </c>
      <c r="P181" s="15">
        <f t="shared" si="46"/>
        <v>0.34175956645109579</v>
      </c>
      <c r="Q181" s="7">
        <f t="shared" si="55"/>
        <v>837490.56402286806</v>
      </c>
      <c r="R181" s="7">
        <f t="shared" si="56"/>
        <v>551270.151955529</v>
      </c>
      <c r="S181" s="13">
        <f>IF('Calc (3)'!$AD$32="Sim",R181,Q181)</f>
        <v>551270.151955529</v>
      </c>
      <c r="T181" s="9">
        <f t="shared" si="57"/>
        <v>177</v>
      </c>
      <c r="U181" s="17">
        <f t="shared" ca="1" si="58"/>
        <v>50891</v>
      </c>
      <c r="V181" s="22"/>
      <c r="W181" s="22"/>
      <c r="X181" s="22"/>
    </row>
    <row r="182" spans="2:24" x14ac:dyDescent="0.2">
      <c r="B182" s="17">
        <f t="shared" ca="1" si="47"/>
        <v>50891</v>
      </c>
      <c r="C182" s="9">
        <f t="shared" si="59"/>
        <v>178</v>
      </c>
      <c r="D182" s="9"/>
      <c r="E182" s="13">
        <f t="shared" si="48"/>
        <v>2062.0915196088513</v>
      </c>
      <c r="F182" s="14">
        <f t="shared" si="60"/>
        <v>296754.10187815368</v>
      </c>
      <c r="G182" s="15">
        <f t="shared" si="49"/>
        <v>0.53296734581596295</v>
      </c>
      <c r="H182" s="13">
        <f t="shared" si="50"/>
        <v>8339.4625218856891</v>
      </c>
      <c r="I182" s="13">
        <f t="shared" si="51"/>
        <v>551138.01618620963</v>
      </c>
      <c r="J182" s="15">
        <f t="shared" si="44"/>
        <v>0.46703265418403705</v>
      </c>
      <c r="K182" s="13">
        <f t="shared" si="52"/>
        <v>260041.92738669511</v>
      </c>
      <c r="L182" s="13">
        <f t="shared" si="61"/>
        <v>14930849.83155423</v>
      </c>
      <c r="M182" s="15">
        <f t="shared" si="53"/>
        <v>0.46703265418403705</v>
      </c>
      <c r="N182" s="13">
        <f t="shared" si="45"/>
        <v>3115.8419260192322</v>
      </c>
      <c r="O182" s="13">
        <f t="shared" si="54"/>
        <v>291096.08879951376</v>
      </c>
      <c r="P182" s="15">
        <f t="shared" si="46"/>
        <v>0.34331736620462011</v>
      </c>
      <c r="Q182" s="7">
        <f t="shared" si="55"/>
        <v>847892.11806436256</v>
      </c>
      <c r="R182" s="7">
        <f t="shared" si="56"/>
        <v>556796.0292648488</v>
      </c>
      <c r="S182" s="13">
        <f>IF('Calc (3)'!$AD$32="Sim",R182,Q182)</f>
        <v>556796.0292648488</v>
      </c>
      <c r="T182" s="9">
        <f t="shared" si="57"/>
        <v>178</v>
      </c>
      <c r="U182" s="17">
        <f t="shared" ca="1" si="58"/>
        <v>50922</v>
      </c>
      <c r="V182" s="22"/>
      <c r="W182" s="22"/>
      <c r="X182" s="22"/>
    </row>
    <row r="183" spans="2:24" x14ac:dyDescent="0.2">
      <c r="B183" s="17">
        <f t="shared" ca="1" si="47"/>
        <v>50922</v>
      </c>
      <c r="C183" s="9">
        <f t="shared" si="59"/>
        <v>179</v>
      </c>
      <c r="D183" s="9"/>
      <c r="E183" s="13">
        <f t="shared" si="48"/>
        <v>2070.4927357129491</v>
      </c>
      <c r="F183" s="14">
        <f t="shared" si="60"/>
        <v>298824.59461386665</v>
      </c>
      <c r="G183" s="15">
        <f t="shared" si="49"/>
        <v>0.53137129855985399</v>
      </c>
      <c r="H183" s="13">
        <f t="shared" si="50"/>
        <v>8443.0378621041418</v>
      </c>
      <c r="I183" s="13">
        <f t="shared" si="51"/>
        <v>559581.05404831376</v>
      </c>
      <c r="J183" s="15">
        <f t="shared" si="44"/>
        <v>0.46862870144014601</v>
      </c>
      <c r="K183" s="13">
        <f t="shared" si="52"/>
        <v>263540.35701930267</v>
      </c>
      <c r="L183" s="13">
        <f t="shared" si="61"/>
        <v>15194390.188573534</v>
      </c>
      <c r="M183" s="15">
        <f t="shared" si="53"/>
        <v>0.46862870144014601</v>
      </c>
      <c r="N183" s="13">
        <f t="shared" si="45"/>
        <v>3154.4771470918708</v>
      </c>
      <c r="O183" s="13">
        <f t="shared" si="54"/>
        <v>296040.69702901028</v>
      </c>
      <c r="P183" s="15">
        <f t="shared" si="46"/>
        <v>0.34487272711961769</v>
      </c>
      <c r="Q183" s="7">
        <f t="shared" si="55"/>
        <v>858405.64866217959</v>
      </c>
      <c r="R183" s="7">
        <f t="shared" si="56"/>
        <v>562364.95163316932</v>
      </c>
      <c r="S183" s="13">
        <f>IF('Calc (3)'!$AD$32="Sim",R183,Q183)</f>
        <v>562364.95163316932</v>
      </c>
      <c r="T183" s="9">
        <f t="shared" si="57"/>
        <v>179</v>
      </c>
      <c r="U183" s="17">
        <f t="shared" ca="1" si="58"/>
        <v>50952</v>
      </c>
      <c r="V183" s="22"/>
      <c r="W183" s="22"/>
      <c r="X183" s="22"/>
    </row>
    <row r="184" spans="2:24" x14ac:dyDescent="0.2">
      <c r="B184" s="17">
        <f t="shared" ca="1" si="47"/>
        <v>50952</v>
      </c>
      <c r="C184" s="9">
        <f t="shared" si="59"/>
        <v>180</v>
      </c>
      <c r="D184" s="9">
        <v>15</v>
      </c>
      <c r="E184" s="13">
        <f t="shared" si="48"/>
        <v>2078.9281794113886</v>
      </c>
      <c r="F184" s="14">
        <f t="shared" si="60"/>
        <v>300903.52279327804</v>
      </c>
      <c r="G184" s="15">
        <f t="shared" si="49"/>
        <v>0.52978096766951255</v>
      </c>
      <c r="H184" s="13">
        <f t="shared" si="50"/>
        <v>8547.728228968741</v>
      </c>
      <c r="I184" s="13">
        <f t="shared" si="51"/>
        <v>568128.78227728244</v>
      </c>
      <c r="J184" s="15">
        <f t="shared" si="44"/>
        <v>0.47021903233048745</v>
      </c>
      <c r="K184" s="13">
        <f t="shared" si="52"/>
        <v>267073.70016537566</v>
      </c>
      <c r="L184" s="13">
        <f t="shared" si="61"/>
        <v>15461463.88873891</v>
      </c>
      <c r="M184" s="15">
        <f t="shared" si="53"/>
        <v>0.47021903233048745</v>
      </c>
      <c r="N184" s="13">
        <f t="shared" si="45"/>
        <v>3193.528083956598</v>
      </c>
      <c r="O184" s="13">
        <f t="shared" si="54"/>
        <v>301055.08211190591</v>
      </c>
      <c r="P184" s="15">
        <f t="shared" si="46"/>
        <v>0.34642565110103962</v>
      </c>
      <c r="Q184" s="7">
        <f t="shared" si="55"/>
        <v>869032.30507055961</v>
      </c>
      <c r="R184" s="7">
        <f t="shared" si="56"/>
        <v>567977.2229586537</v>
      </c>
      <c r="S184" s="13">
        <f>IF('Calc (3)'!$AD$32="Sim",R184,Q184)</f>
        <v>567977.2229586537</v>
      </c>
      <c r="T184" s="9">
        <f t="shared" si="57"/>
        <v>180</v>
      </c>
      <c r="U184" s="17">
        <f t="shared" ca="1" si="58"/>
        <v>50983</v>
      </c>
      <c r="V184" s="22"/>
      <c r="W184" s="22"/>
      <c r="X184" s="22"/>
    </row>
    <row r="185" spans="2:24" x14ac:dyDescent="0.2">
      <c r="B185" s="17">
        <f t="shared" ca="1" si="47"/>
        <v>50983</v>
      </c>
      <c r="C185" s="9">
        <f t="shared" si="59"/>
        <v>181</v>
      </c>
      <c r="D185" s="9"/>
      <c r="E185" s="13">
        <f t="shared" si="48"/>
        <v>2087.3979901516254</v>
      </c>
      <c r="F185" s="14">
        <f t="shared" si="60"/>
        <v>302990.92078342964</v>
      </c>
      <c r="G185" s="15">
        <f t="shared" si="49"/>
        <v>0.52819632410612338</v>
      </c>
      <c r="H185" s="13">
        <f t="shared" si="50"/>
        <v>8653.5450663847405</v>
      </c>
      <c r="I185" s="13">
        <f t="shared" si="51"/>
        <v>576782.32734366716</v>
      </c>
      <c r="J185" s="15">
        <f t="shared" si="44"/>
        <v>0.47180367589387662</v>
      </c>
      <c r="K185" s="13">
        <f t="shared" si="52"/>
        <v>270642.22839871759</v>
      </c>
      <c r="L185" s="13">
        <f t="shared" si="61"/>
        <v>15732106.117137628</v>
      </c>
      <c r="M185" s="15">
        <f t="shared" si="53"/>
        <v>0.47180367589387667</v>
      </c>
      <c r="N185" s="13">
        <f t="shared" si="45"/>
        <v>3232.9990024703147</v>
      </c>
      <c r="O185" s="13">
        <f t="shared" si="54"/>
        <v>306140.09894494875</v>
      </c>
      <c r="P185" s="15">
        <f t="shared" si="46"/>
        <v>0.34797613998456384</v>
      </c>
      <c r="Q185" s="7">
        <f t="shared" si="55"/>
        <v>879773.24812709598</v>
      </c>
      <c r="R185" s="7">
        <f t="shared" si="56"/>
        <v>573633.14918214723</v>
      </c>
      <c r="S185" s="13">
        <f>IF('Calc (3)'!$AD$32="Sim",R185,Q185)</f>
        <v>573633.14918214723</v>
      </c>
      <c r="T185" s="9">
        <f t="shared" si="57"/>
        <v>181</v>
      </c>
      <c r="U185" s="17">
        <f t="shared" ca="1" si="58"/>
        <v>51014</v>
      </c>
      <c r="V185" s="22"/>
      <c r="W185" s="22"/>
      <c r="X185" s="22"/>
    </row>
    <row r="186" spans="2:24" x14ac:dyDescent="0.2">
      <c r="B186" s="17">
        <f t="shared" ca="1" si="47"/>
        <v>51014</v>
      </c>
      <c r="C186" s="9">
        <f t="shared" si="59"/>
        <v>182</v>
      </c>
      <c r="D186" s="9"/>
      <c r="E186" s="13">
        <f t="shared" si="48"/>
        <v>2095.9023079492417</v>
      </c>
      <c r="F186" s="14">
        <f t="shared" si="60"/>
        <v>305086.8230913789</v>
      </c>
      <c r="G186" s="15">
        <f t="shared" si="49"/>
        <v>0.52661733911524589</v>
      </c>
      <c r="H186" s="13">
        <f t="shared" si="50"/>
        <v>8760.4999336007095</v>
      </c>
      <c r="I186" s="13">
        <f t="shared" si="51"/>
        <v>585542.82727726782</v>
      </c>
      <c r="J186" s="15">
        <f t="shared" si="44"/>
        <v>0.47338266088475411</v>
      </c>
      <c r="K186" s="13">
        <f t="shared" si="52"/>
        <v>274246.21520915674</v>
      </c>
      <c r="L186" s="13">
        <f t="shared" si="61"/>
        <v>16006352.332346784</v>
      </c>
      <c r="M186" s="15">
        <f t="shared" si="53"/>
        <v>0.47338266088475411</v>
      </c>
      <c r="N186" s="13">
        <f t="shared" si="45"/>
        <v>3272.8942114824863</v>
      </c>
      <c r="O186" s="13">
        <f t="shared" si="54"/>
        <v>311296.61206811026</v>
      </c>
      <c r="P186" s="15">
        <f t="shared" si="46"/>
        <v>0.34952419553880743</v>
      </c>
      <c r="Q186" s="7">
        <f t="shared" si="55"/>
        <v>890629.6503686459</v>
      </c>
      <c r="R186" s="7">
        <f t="shared" si="56"/>
        <v>579333.03830053564</v>
      </c>
      <c r="S186" s="13">
        <f>IF('Calc (3)'!$AD$32="Sim",R186,Q186)</f>
        <v>579333.03830053564</v>
      </c>
      <c r="T186" s="9">
        <f t="shared" si="57"/>
        <v>182</v>
      </c>
      <c r="U186" s="17">
        <f t="shared" ca="1" si="58"/>
        <v>51044</v>
      </c>
      <c r="V186" s="22"/>
      <c r="W186" s="22"/>
      <c r="X186" s="22"/>
    </row>
    <row r="187" spans="2:24" x14ac:dyDescent="0.2">
      <c r="B187" s="17">
        <f t="shared" ca="1" si="47"/>
        <v>51044</v>
      </c>
      <c r="C187" s="9">
        <f t="shared" si="59"/>
        <v>183</v>
      </c>
      <c r="D187" s="9"/>
      <c r="E187" s="13">
        <f t="shared" si="48"/>
        <v>2104.4412733902614</v>
      </c>
      <c r="F187" s="14">
        <f t="shared" si="60"/>
        <v>307191.26436476916</v>
      </c>
      <c r="G187" s="15">
        <f t="shared" si="49"/>
        <v>0.52504398422148801</v>
      </c>
      <c r="H187" s="13">
        <f t="shared" si="50"/>
        <v>8868.6045063627371</v>
      </c>
      <c r="I187" s="13">
        <f t="shared" si="51"/>
        <v>594411.43178363051</v>
      </c>
      <c r="J187" s="15">
        <f t="shared" si="44"/>
        <v>0.47495601577851199</v>
      </c>
      <c r="K187" s="13">
        <f t="shared" si="52"/>
        <v>277885.93601542135</v>
      </c>
      <c r="L187" s="13">
        <f t="shared" si="61"/>
        <v>16284238.268362205</v>
      </c>
      <c r="M187" s="15">
        <f t="shared" si="53"/>
        <v>0.47495601577851193</v>
      </c>
      <c r="N187" s="13">
        <f t="shared" si="45"/>
        <v>3313.2180632653467</v>
      </c>
      <c r="O187" s="13">
        <f t="shared" si="54"/>
        <v>316525.49576820841</v>
      </c>
      <c r="P187" s="15">
        <f t="shared" si="46"/>
        <v>0.3510698194674764</v>
      </c>
      <c r="Q187" s="7">
        <f t="shared" si="55"/>
        <v>901602.69614839891</v>
      </c>
      <c r="R187" s="7">
        <f t="shared" si="56"/>
        <v>585077.20038019051</v>
      </c>
      <c r="S187" s="13">
        <f>IF('Calc (3)'!$AD$32="Sim",R187,Q187)</f>
        <v>585077.20038019051</v>
      </c>
      <c r="T187" s="9">
        <f t="shared" si="57"/>
        <v>183</v>
      </c>
      <c r="U187" s="17">
        <f t="shared" ca="1" si="58"/>
        <v>51075</v>
      </c>
      <c r="V187" s="22"/>
      <c r="W187" s="22"/>
      <c r="X187" s="22"/>
    </row>
    <row r="188" spans="2:24" x14ac:dyDescent="0.2">
      <c r="B188" s="17">
        <f t="shared" ca="1" si="47"/>
        <v>51075</v>
      </c>
      <c r="C188" s="9">
        <f t="shared" si="59"/>
        <v>184</v>
      </c>
      <c r="D188" s="9"/>
      <c r="E188" s="13">
        <f t="shared" si="48"/>
        <v>2113.0150276334721</v>
      </c>
      <c r="F188" s="14">
        <f t="shared" si="60"/>
        <v>309304.27939240262</v>
      </c>
      <c r="G188" s="15">
        <f t="shared" si="49"/>
        <v>0.5234762312233231</v>
      </c>
      <c r="H188" s="13">
        <f t="shared" si="50"/>
        <v>8977.8705780801574</v>
      </c>
      <c r="I188" s="13">
        <f t="shared" si="51"/>
        <v>603389.3023617107</v>
      </c>
      <c r="J188" s="15">
        <f t="shared" si="44"/>
        <v>0.4765237687766769</v>
      </c>
      <c r="K188" s="13">
        <f t="shared" si="52"/>
        <v>281561.66817809676</v>
      </c>
      <c r="L188" s="13">
        <f t="shared" si="61"/>
        <v>16565799.936540302</v>
      </c>
      <c r="M188" s="15">
        <f t="shared" si="53"/>
        <v>0.47652376877667696</v>
      </c>
      <c r="N188" s="13">
        <f t="shared" si="45"/>
        <v>3353.9749539483932</v>
      </c>
      <c r="O188" s="13">
        <f t="shared" si="54"/>
        <v>321827.63418361323</v>
      </c>
      <c r="P188" s="15">
        <f t="shared" si="46"/>
        <v>0.35261301341145657</v>
      </c>
      <c r="Q188" s="7">
        <f t="shared" si="55"/>
        <v>912693.58175411262</v>
      </c>
      <c r="R188" s="7">
        <f t="shared" si="56"/>
        <v>590865.94757049938</v>
      </c>
      <c r="S188" s="13">
        <f>IF('Calc (3)'!$AD$32="Sim",R188,Q188)</f>
        <v>590865.94757049938</v>
      </c>
      <c r="T188" s="9">
        <f t="shared" si="57"/>
        <v>184</v>
      </c>
      <c r="U188" s="17">
        <f t="shared" ca="1" si="58"/>
        <v>51105</v>
      </c>
      <c r="V188" s="22"/>
      <c r="W188" s="22"/>
      <c r="X188" s="22"/>
    </row>
    <row r="189" spans="2:24" x14ac:dyDescent="0.2">
      <c r="B189" s="17">
        <f t="shared" ca="1" si="47"/>
        <v>51105</v>
      </c>
      <c r="C189" s="9">
        <f t="shared" si="59"/>
        <v>185</v>
      </c>
      <c r="D189" s="9"/>
      <c r="E189" s="13">
        <f t="shared" si="48"/>
        <v>2121.6237124127601</v>
      </c>
      <c r="F189" s="14">
        <f t="shared" si="60"/>
        <v>311425.9031048154</v>
      </c>
      <c r="G189" s="15">
        <f t="shared" si="49"/>
        <v>0.52191405218804043</v>
      </c>
      <c r="H189" s="13">
        <f t="shared" si="50"/>
        <v>9088.3100610029123</v>
      </c>
      <c r="I189" s="13">
        <f t="shared" si="51"/>
        <v>612477.61242271366</v>
      </c>
      <c r="J189" s="15">
        <f t="shared" si="44"/>
        <v>0.47808594781195957</v>
      </c>
      <c r="K189" s="13">
        <f t="shared" si="52"/>
        <v>285273.69101266924</v>
      </c>
      <c r="L189" s="13">
        <f t="shared" si="61"/>
        <v>16851073.627552971</v>
      </c>
      <c r="M189" s="15">
        <f t="shared" si="53"/>
        <v>0.47808594781195962</v>
      </c>
      <c r="N189" s="13">
        <f t="shared" si="45"/>
        <v>3395.169323957216</v>
      </c>
      <c r="O189" s="13">
        <f t="shared" si="54"/>
        <v>327203.92141004372</v>
      </c>
      <c r="P189" s="15">
        <f t="shared" si="46"/>
        <v>0.35415377895084377</v>
      </c>
      <c r="Q189" s="7">
        <f t="shared" si="55"/>
        <v>923903.51552752836</v>
      </c>
      <c r="R189" s="7">
        <f t="shared" si="56"/>
        <v>596699.59411748464</v>
      </c>
      <c r="S189" s="13">
        <f>IF('Calc (3)'!$AD$32="Sim",R189,Q189)</f>
        <v>596699.59411748464</v>
      </c>
      <c r="T189" s="9">
        <f t="shared" si="57"/>
        <v>185</v>
      </c>
      <c r="U189" s="17">
        <f t="shared" ca="1" si="58"/>
        <v>51136</v>
      </c>
      <c r="V189" s="22"/>
      <c r="W189" s="22"/>
      <c r="X189" s="22"/>
    </row>
    <row r="190" spans="2:24" x14ac:dyDescent="0.2">
      <c r="B190" s="17">
        <f t="shared" ca="1" si="47"/>
        <v>51136</v>
      </c>
      <c r="C190" s="9">
        <f t="shared" si="59"/>
        <v>186</v>
      </c>
      <c r="D190" s="9"/>
      <c r="E190" s="13">
        <f t="shared" si="48"/>
        <v>2130.2674700394532</v>
      </c>
      <c r="F190" s="14">
        <f t="shared" si="60"/>
        <v>313556.17057485483</v>
      </c>
      <c r="G190" s="15">
        <f t="shared" si="49"/>
        <v>0.52035741944683034</v>
      </c>
      <c r="H190" s="13">
        <f t="shared" si="50"/>
        <v>9199.934987410641</v>
      </c>
      <c r="I190" s="13">
        <f t="shared" si="51"/>
        <v>621677.54741012433</v>
      </c>
      <c r="J190" s="15">
        <f t="shared" si="44"/>
        <v>0.47964258055316966</v>
      </c>
      <c r="K190" s="13">
        <f t="shared" si="52"/>
        <v>289022.28580265387</v>
      </c>
      <c r="L190" s="13">
        <f t="shared" si="61"/>
        <v>17140095.913355626</v>
      </c>
      <c r="M190" s="15">
        <f t="shared" si="53"/>
        <v>0.47964258055316972</v>
      </c>
      <c r="N190" s="13">
        <f t="shared" si="45"/>
        <v>3436.8056584567062</v>
      </c>
      <c r="O190" s="13">
        <f t="shared" si="54"/>
        <v>332655.26160746976</v>
      </c>
      <c r="P190" s="15">
        <f t="shared" si="46"/>
        <v>0.35569211760691971</v>
      </c>
      <c r="Q190" s="7">
        <f t="shared" si="55"/>
        <v>935233.71798497846</v>
      </c>
      <c r="R190" s="7">
        <f t="shared" si="56"/>
        <v>602578.4563775087</v>
      </c>
      <c r="S190" s="13">
        <f>IF('Calc (3)'!$AD$32="Sim",R190,Q190)</f>
        <v>602578.4563775087</v>
      </c>
      <c r="T190" s="9">
        <f t="shared" si="57"/>
        <v>186</v>
      </c>
      <c r="U190" s="17">
        <f t="shared" ca="1" si="58"/>
        <v>51167</v>
      </c>
      <c r="V190" s="22"/>
      <c r="W190" s="22"/>
      <c r="X190" s="22"/>
    </row>
    <row r="191" spans="2:24" x14ac:dyDescent="0.2">
      <c r="B191" s="17">
        <f t="shared" ca="1" si="47"/>
        <v>51167</v>
      </c>
      <c r="C191" s="9">
        <f t="shared" si="59"/>
        <v>187</v>
      </c>
      <c r="D191" s="9"/>
      <c r="E191" s="13">
        <f t="shared" si="48"/>
        <v>2138.9464434046731</v>
      </c>
      <c r="F191" s="14">
        <f t="shared" si="60"/>
        <v>315695.11701825948</v>
      </c>
      <c r="G191" s="15">
        <f t="shared" si="49"/>
        <v>0.51880630558999585</v>
      </c>
      <c r="H191" s="13">
        <f t="shared" si="50"/>
        <v>9312.7575108136662</v>
      </c>
      <c r="I191" s="13">
        <f t="shared" si="51"/>
        <v>630990.30492093798</v>
      </c>
      <c r="J191" s="15">
        <f t="shared" si="44"/>
        <v>0.48119369441000415</v>
      </c>
      <c r="K191" s="13">
        <f t="shared" si="52"/>
        <v>292807.73581280874</v>
      </c>
      <c r="L191" s="13">
        <f t="shared" si="61"/>
        <v>17432903.649168435</v>
      </c>
      <c r="M191" s="15">
        <f t="shared" si="53"/>
        <v>0.48119369441000409</v>
      </c>
      <c r="N191" s="13">
        <f t="shared" si="45"/>
        <v>3478.8884877986875</v>
      </c>
      <c r="O191" s="13">
        <f t="shared" si="54"/>
        <v>338182.56910812855</v>
      </c>
      <c r="P191" s="15">
        <f t="shared" si="46"/>
        <v>0.35722803084407184</v>
      </c>
      <c r="Q191" s="7">
        <f t="shared" si="55"/>
        <v>946685.42193919676</v>
      </c>
      <c r="R191" s="7">
        <f t="shared" si="56"/>
        <v>608502.85283106822</v>
      </c>
      <c r="S191" s="13">
        <f>IF('Calc (3)'!$AD$32="Sim",R191,Q191)</f>
        <v>608502.85283106822</v>
      </c>
      <c r="T191" s="9">
        <f t="shared" si="57"/>
        <v>187</v>
      </c>
      <c r="U191" s="17">
        <f t="shared" ca="1" si="58"/>
        <v>51196</v>
      </c>
      <c r="V191" s="22"/>
      <c r="W191" s="22"/>
      <c r="X191" s="22"/>
    </row>
    <row r="192" spans="2:24" x14ac:dyDescent="0.2">
      <c r="B192" s="17">
        <f t="shared" ca="1" si="47"/>
        <v>51196</v>
      </c>
      <c r="C192" s="9">
        <f t="shared" si="59"/>
        <v>188</v>
      </c>
      <c r="D192" s="9"/>
      <c r="E192" s="13">
        <f t="shared" si="48"/>
        <v>2147.660775981698</v>
      </c>
      <c r="F192" s="14">
        <f t="shared" si="60"/>
        <v>317842.77779424121</v>
      </c>
      <c r="G192" s="15">
        <f t="shared" si="49"/>
        <v>0.51726068346228915</v>
      </c>
      <c r="H192" s="13">
        <f t="shared" si="50"/>
        <v>9426.7899071659267</v>
      </c>
      <c r="I192" s="13">
        <f t="shared" si="51"/>
        <v>640417.0948281039</v>
      </c>
      <c r="J192" s="15">
        <f t="shared" si="44"/>
        <v>0.48273931653771085</v>
      </c>
      <c r="K192" s="13">
        <f t="shared" si="52"/>
        <v>296630.32630243525</v>
      </c>
      <c r="L192" s="13">
        <f t="shared" si="61"/>
        <v>17729533.975470871</v>
      </c>
      <c r="M192" s="15">
        <f t="shared" si="53"/>
        <v>0.48273931653771085</v>
      </c>
      <c r="N192" s="13">
        <f t="shared" si="45"/>
        <v>3521.4223879740111</v>
      </c>
      <c r="O192" s="13">
        <f t="shared" si="54"/>
        <v>343786.76852566795</v>
      </c>
      <c r="P192" s="15">
        <f t="shared" si="46"/>
        <v>0.3587615200716604</v>
      </c>
      <c r="Q192" s="7">
        <f t="shared" si="55"/>
        <v>958259.87262234441</v>
      </c>
      <c r="R192" s="7">
        <f t="shared" si="56"/>
        <v>614473.10409667646</v>
      </c>
      <c r="S192" s="13">
        <f>IF('Calc (3)'!$AD$32="Sim",R192,Q192)</f>
        <v>614473.10409667646</v>
      </c>
      <c r="T192" s="9">
        <f t="shared" si="57"/>
        <v>188</v>
      </c>
      <c r="U192" s="17">
        <f t="shared" ca="1" si="58"/>
        <v>51227</v>
      </c>
      <c r="V192" s="22"/>
      <c r="W192" s="22"/>
      <c r="X192" s="22"/>
    </row>
    <row r="193" spans="2:24" x14ac:dyDescent="0.2">
      <c r="B193" s="17">
        <f t="shared" ca="1" si="47"/>
        <v>51227</v>
      </c>
      <c r="C193" s="9">
        <f t="shared" si="59"/>
        <v>189</v>
      </c>
      <c r="D193" s="9"/>
      <c r="E193" s="13">
        <f t="shared" si="48"/>
        <v>2156.4106118283335</v>
      </c>
      <c r="F193" s="14">
        <f t="shared" si="60"/>
        <v>319999.18840606953</v>
      </c>
      <c r="G193" s="15">
        <f t="shared" si="49"/>
        <v>0.51572052615836661</v>
      </c>
      <c r="H193" s="13">
        <f t="shared" si="50"/>
        <v>9542.0445760900402</v>
      </c>
      <c r="I193" s="13">
        <f t="shared" si="51"/>
        <v>649959.13940419396</v>
      </c>
      <c r="J193" s="15">
        <f t="shared" si="44"/>
        <v>0.48427947384163339</v>
      </c>
      <c r="K193" s="13">
        <f t="shared" si="52"/>
        <v>300490.34453876561</v>
      </c>
      <c r="L193" s="13">
        <f t="shared" si="61"/>
        <v>18030024.320009638</v>
      </c>
      <c r="M193" s="15">
        <f t="shared" si="53"/>
        <v>0.48427947384163339</v>
      </c>
      <c r="N193" s="13">
        <f t="shared" si="45"/>
        <v>3564.4119810691627</v>
      </c>
      <c r="O193" s="13">
        <f t="shared" si="54"/>
        <v>349468.79486542766</v>
      </c>
      <c r="P193" s="15">
        <f t="shared" si="46"/>
        <v>0.3602925866458343</v>
      </c>
      <c r="Q193" s="7">
        <f t="shared" si="55"/>
        <v>969958.3278102628</v>
      </c>
      <c r="R193" s="7">
        <f t="shared" si="56"/>
        <v>620489.53294483514</v>
      </c>
      <c r="S193" s="13">
        <f>IF('Calc (3)'!$AD$32="Sim",R193,Q193)</f>
        <v>620489.53294483514</v>
      </c>
      <c r="T193" s="9">
        <f t="shared" si="57"/>
        <v>189</v>
      </c>
      <c r="U193" s="17">
        <f t="shared" ca="1" si="58"/>
        <v>51257</v>
      </c>
      <c r="V193" s="22"/>
      <c r="W193" s="22"/>
      <c r="X193" s="22"/>
    </row>
    <row r="194" spans="2:24" x14ac:dyDescent="0.2">
      <c r="B194" s="17">
        <f t="shared" ca="1" si="47"/>
        <v>51257</v>
      </c>
      <c r="C194" s="9">
        <f t="shared" si="59"/>
        <v>190</v>
      </c>
      <c r="D194" s="9"/>
      <c r="E194" s="13">
        <f t="shared" si="48"/>
        <v>2165.1960955892951</v>
      </c>
      <c r="F194" s="14">
        <f t="shared" si="60"/>
        <v>322164.38450165885</v>
      </c>
      <c r="G194" s="15">
        <f t="shared" si="49"/>
        <v>0.51418580701836203</v>
      </c>
      <c r="H194" s="13">
        <f t="shared" si="50"/>
        <v>9658.5340421145665</v>
      </c>
      <c r="I194" s="13">
        <f t="shared" si="51"/>
        <v>659617.67344630859</v>
      </c>
      <c r="J194" s="15">
        <f t="shared" si="44"/>
        <v>0.48581419298163797</v>
      </c>
      <c r="K194" s="13">
        <f t="shared" si="52"/>
        <v>304388.07981043775</v>
      </c>
      <c r="L194" s="13">
        <f t="shared" si="61"/>
        <v>18334412.399820074</v>
      </c>
      <c r="M194" s="15">
        <f t="shared" si="53"/>
        <v>0.48581419298163797</v>
      </c>
      <c r="N194" s="13">
        <f t="shared" si="45"/>
        <v>3607.8619357274256</v>
      </c>
      <c r="O194" s="13">
        <f t="shared" si="54"/>
        <v>355229.59363587014</v>
      </c>
      <c r="P194" s="15">
        <f t="shared" si="46"/>
        <v>0.36182123187129672</v>
      </c>
      <c r="Q194" s="7">
        <f t="shared" si="55"/>
        <v>981782.05794796674</v>
      </c>
      <c r="R194" s="7">
        <f t="shared" si="56"/>
        <v>626552.46431209659</v>
      </c>
      <c r="S194" s="13">
        <f>IF('Calc (3)'!$AD$32="Sim",R194,Q194)</f>
        <v>626552.46431209659</v>
      </c>
      <c r="T194" s="9">
        <f t="shared" si="57"/>
        <v>190</v>
      </c>
      <c r="U194" s="17">
        <f t="shared" ca="1" si="58"/>
        <v>51288</v>
      </c>
      <c r="V194" s="22"/>
      <c r="W194" s="22"/>
      <c r="X194" s="22"/>
    </row>
    <row r="195" spans="2:24" x14ac:dyDescent="0.2">
      <c r="B195" s="17">
        <f t="shared" ca="1" si="47"/>
        <v>51288</v>
      </c>
      <c r="C195" s="9">
        <f t="shared" si="59"/>
        <v>191</v>
      </c>
      <c r="D195" s="9"/>
      <c r="E195" s="13">
        <f t="shared" si="48"/>
        <v>2174.017372498598</v>
      </c>
      <c r="F195" s="14">
        <f t="shared" si="60"/>
        <v>324338.40187415743</v>
      </c>
      <c r="G195" s="15">
        <f t="shared" si="49"/>
        <v>0.51265649962357118</v>
      </c>
      <c r="H195" s="13">
        <f t="shared" si="50"/>
        <v>9776.2709559236409</v>
      </c>
      <c r="I195" s="13">
        <f t="shared" si="51"/>
        <v>669393.94440223218</v>
      </c>
      <c r="J195" s="15">
        <f t="shared" si="44"/>
        <v>0.48734350037642882</v>
      </c>
      <c r="K195" s="13">
        <f t="shared" si="52"/>
        <v>308323.82344105799</v>
      </c>
      <c r="L195" s="13">
        <f t="shared" si="61"/>
        <v>18642736.223261133</v>
      </c>
      <c r="M195" s="15">
        <f t="shared" si="53"/>
        <v>0.48734350037642882</v>
      </c>
      <c r="N195" s="13">
        <f t="shared" si="45"/>
        <v>3651.7769676146427</v>
      </c>
      <c r="O195" s="13">
        <f t="shared" si="54"/>
        <v>361070.12096117355</v>
      </c>
      <c r="P195" s="15">
        <f t="shared" si="46"/>
        <v>0.36334745700302318</v>
      </c>
      <c r="Q195" s="7">
        <f t="shared" si="55"/>
        <v>993732.34627638897</v>
      </c>
      <c r="R195" s="7">
        <f t="shared" si="56"/>
        <v>632662.22531521542</v>
      </c>
      <c r="S195" s="13">
        <f>IF('Calc (3)'!$AD$32="Sim",R195,Q195)</f>
        <v>632662.22531521542</v>
      </c>
      <c r="T195" s="9">
        <f t="shared" si="57"/>
        <v>191</v>
      </c>
      <c r="U195" s="17">
        <f t="shared" ca="1" si="58"/>
        <v>51318</v>
      </c>
      <c r="V195" s="22"/>
      <c r="W195" s="22"/>
      <c r="X195" s="22"/>
    </row>
    <row r="196" spans="2:24" x14ac:dyDescent="0.2">
      <c r="B196" s="17">
        <f t="shared" ca="1" si="47"/>
        <v>51318</v>
      </c>
      <c r="C196" s="9">
        <f t="shared" si="59"/>
        <v>192</v>
      </c>
      <c r="D196" s="9">
        <v>16</v>
      </c>
      <c r="E196" s="13">
        <f t="shared" si="48"/>
        <v>2182.8745883819593</v>
      </c>
      <c r="F196" s="14">
        <f t="shared" si="60"/>
        <v>326521.27646253939</v>
      </c>
      <c r="G196" s="15">
        <f t="shared" si="49"/>
        <v>0.51113257779224663</v>
      </c>
      <c r="H196" s="13">
        <f t="shared" si="50"/>
        <v>9895.2680956190361</v>
      </c>
      <c r="I196" s="13">
        <f t="shared" si="51"/>
        <v>679289.21249785123</v>
      </c>
      <c r="J196" s="15">
        <f t="shared" si="44"/>
        <v>0.48886742220775337</v>
      </c>
      <c r="K196" s="13">
        <f t="shared" si="52"/>
        <v>312297.8688028524</v>
      </c>
      <c r="L196" s="13">
        <f t="shared" si="61"/>
        <v>18955034.092063986</v>
      </c>
      <c r="M196" s="15">
        <f t="shared" si="53"/>
        <v>0.48886742220775337</v>
      </c>
      <c r="N196" s="13">
        <f t="shared" si="45"/>
        <v>3696.1618398896271</v>
      </c>
      <c r="O196" s="13">
        <f t="shared" si="54"/>
        <v>366991.34369499818</v>
      </c>
      <c r="P196" s="15">
        <f t="shared" si="46"/>
        <v>0.36487126324793251</v>
      </c>
      <c r="Q196" s="7">
        <f t="shared" si="55"/>
        <v>1005810.48896039</v>
      </c>
      <c r="R196" s="7">
        <f t="shared" si="56"/>
        <v>638819.14526539179</v>
      </c>
      <c r="S196" s="13">
        <f>IF('Calc (3)'!$AD$32="Sim",R196,Q196)</f>
        <v>638819.14526539179</v>
      </c>
      <c r="T196" s="9">
        <f t="shared" si="57"/>
        <v>192</v>
      </c>
      <c r="U196" s="17">
        <f t="shared" ca="1" si="58"/>
        <v>51349</v>
      </c>
      <c r="V196" s="22"/>
      <c r="W196" s="22"/>
      <c r="X196" s="22"/>
    </row>
    <row r="197" spans="2:24" x14ac:dyDescent="0.2">
      <c r="B197" s="17">
        <f t="shared" ca="1" si="47"/>
        <v>51349</v>
      </c>
      <c r="C197" s="9">
        <f t="shared" si="59"/>
        <v>193</v>
      </c>
      <c r="D197" s="9"/>
      <c r="E197" s="13">
        <f t="shared" si="48"/>
        <v>2191.7678896592079</v>
      </c>
      <c r="F197" s="14">
        <f t="shared" si="60"/>
        <v>328713.0443521986</v>
      </c>
      <c r="G197" s="15">
        <f t="shared" si="49"/>
        <v>0.50961401557549746</v>
      </c>
      <c r="H197" s="13">
        <f t="shared" si="50"/>
        <v>10015.538367994863</v>
      </c>
      <c r="I197" s="13">
        <f t="shared" si="51"/>
        <v>689304.75086584606</v>
      </c>
      <c r="J197" s="15">
        <f t="shared" ref="J197:J260" si="62">1-G197</f>
        <v>0.49038598442450254</v>
      </c>
      <c r="K197" s="13">
        <f t="shared" si="52"/>
        <v>316310.51133040793</v>
      </c>
      <c r="L197" s="13">
        <f t="shared" si="61"/>
        <v>19271344.603394393</v>
      </c>
      <c r="M197" s="15">
        <f t="shared" si="53"/>
        <v>0.49038598442450254</v>
      </c>
      <c r="N197" s="13">
        <f t="shared" ref="N197:N260" si="63">Q197*Inflação_3</f>
        <v>3741.0213636792655</v>
      </c>
      <c r="O197" s="13">
        <f t="shared" si="54"/>
        <v>372994.23953543743</v>
      </c>
      <c r="P197" s="15">
        <f t="shared" ref="P197:P260" si="64">O197/Q197</f>
        <v>0.36639265176651231</v>
      </c>
      <c r="Q197" s="7">
        <f t="shared" si="55"/>
        <v>1018017.795218044</v>
      </c>
      <c r="R197" s="7">
        <f t="shared" si="56"/>
        <v>645023.55568260653</v>
      </c>
      <c r="S197" s="13">
        <f>IF('Calc (3)'!$AD$32="Sim",R197,Q197)</f>
        <v>645023.55568260653</v>
      </c>
      <c r="T197" s="9">
        <f t="shared" si="57"/>
        <v>193</v>
      </c>
      <c r="U197" s="17">
        <f t="shared" ca="1" si="58"/>
        <v>51380</v>
      </c>
      <c r="V197" s="22"/>
      <c r="W197" s="22"/>
      <c r="X197" s="22"/>
    </row>
    <row r="198" spans="2:24" x14ac:dyDescent="0.2">
      <c r="B198" s="17">
        <f t="shared" ref="B198:B261" ca="1" si="65">DATE(YEAR(B197),MONTH(B197)+1,1)</f>
        <v>51380</v>
      </c>
      <c r="C198" s="9">
        <f t="shared" si="59"/>
        <v>194</v>
      </c>
      <c r="D198" s="9"/>
      <c r="E198" s="13">
        <f t="shared" ref="E198:E261" si="66">IF($AE$33,IF($AE$34,$E197*(1+Inflação_3)*(1+Crescimento_Salário_3),$E197*(1+Inflação_3)),IF($AE$34,$E197*(1+Crescimento_Salário_3),$E197))</f>
        <v>2200.6974233467054</v>
      </c>
      <c r="F198" s="14">
        <f t="shared" si="60"/>
        <v>330913.74177554529</v>
      </c>
      <c r="G198" s="15">
        <f t="shared" ref="G198:G261" si="67">IF(F198&lt;=0,0,F198/S198)</f>
        <v>0.50810078725329211</v>
      </c>
      <c r="H198" s="13">
        <f t="shared" ref="H198:H261" si="68">Q197*Taxa_3</f>
        <v>10137.094809824941</v>
      </c>
      <c r="I198" s="13">
        <f t="shared" ref="I198:I261" si="69">I197+H198</f>
        <v>699441.84567567101</v>
      </c>
      <c r="J198" s="15">
        <f t="shared" si="62"/>
        <v>0.49189921274670789</v>
      </c>
      <c r="K198" s="13">
        <f t="shared" ref="K198:K261" si="70">R198-F198</f>
        <v>320362.04853450251</v>
      </c>
      <c r="L198" s="13">
        <f t="shared" si="61"/>
        <v>19591706.651928894</v>
      </c>
      <c r="M198" s="15">
        <f t="shared" ref="M198:M261" si="71">K198/R198</f>
        <v>0.49189921274670789</v>
      </c>
      <c r="N198" s="13">
        <f t="shared" si="63"/>
        <v>3786.3603985583613</v>
      </c>
      <c r="O198" s="13">
        <f t="shared" ref="O198:O261" si="72">Q198-R198</f>
        <v>379079.7971411678</v>
      </c>
      <c r="P198" s="15">
        <f t="shared" si="64"/>
        <v>0.36791162367440078</v>
      </c>
      <c r="Q198" s="7">
        <f t="shared" ref="Q198:Q261" si="73">Q197+E198+H198</f>
        <v>1030355.5874512156</v>
      </c>
      <c r="R198" s="7">
        <f t="shared" ref="R198:R261" si="74">(R197+E198)*(1+((1+Taxa_3)/(1+Inflação_3)-1))</f>
        <v>651275.7903100478</v>
      </c>
      <c r="S198" s="13">
        <f>IF('Calc (3)'!$AD$32="Sim",R198,Q198)</f>
        <v>651275.7903100478</v>
      </c>
      <c r="T198" s="9">
        <f t="shared" ref="T198:T261" si="75">C198</f>
        <v>194</v>
      </c>
      <c r="U198" s="17">
        <f t="shared" ref="U198:U261" ca="1" si="76">DATE(YEAR(U197),MONTH(U197)+1,1)</f>
        <v>51410</v>
      </c>
      <c r="V198" s="22"/>
      <c r="W198" s="22"/>
      <c r="X198" s="22"/>
    </row>
    <row r="199" spans="2:24" x14ac:dyDescent="0.2">
      <c r="B199" s="17">
        <f t="shared" ca="1" si="65"/>
        <v>51410</v>
      </c>
      <c r="C199" s="9">
        <f t="shared" ref="C199:C262" si="77">C198+1</f>
        <v>195</v>
      </c>
      <c r="D199" s="9"/>
      <c r="E199" s="13">
        <f t="shared" si="66"/>
        <v>2209.663337059776</v>
      </c>
      <c r="F199" s="14">
        <f t="shared" ref="F199:F262" si="78">F198+E199</f>
        <v>333123.40511260508</v>
      </c>
      <c r="G199" s="15">
        <f t="shared" si="67"/>
        <v>0.5065928673305613</v>
      </c>
      <c r="H199" s="13">
        <f t="shared" si="68"/>
        <v>10259.950589163056</v>
      </c>
      <c r="I199" s="13">
        <f t="shared" si="69"/>
        <v>709701.79626483412</v>
      </c>
      <c r="J199" s="15">
        <f t="shared" si="62"/>
        <v>0.4934071326694387</v>
      </c>
      <c r="K199" s="13">
        <f t="shared" si="70"/>
        <v>324452.78001602576</v>
      </c>
      <c r="L199" s="13">
        <f t="shared" ref="L199:L262" si="79">L198+K199</f>
        <v>19916159.431944922</v>
      </c>
      <c r="M199" s="15">
        <f t="shared" si="71"/>
        <v>0.49340713266943875</v>
      </c>
      <c r="N199" s="13">
        <f t="shared" si="63"/>
        <v>3832.1838530342638</v>
      </c>
      <c r="O199" s="13">
        <f t="shared" si="72"/>
        <v>385249.01624880766</v>
      </c>
      <c r="P199" s="15">
        <f t="shared" si="64"/>
        <v>0.36942818004392591</v>
      </c>
      <c r="Q199" s="7">
        <f t="shared" si="73"/>
        <v>1042825.2013774385</v>
      </c>
      <c r="R199" s="7">
        <f t="shared" si="74"/>
        <v>657576.18512863084</v>
      </c>
      <c r="S199" s="13">
        <f>IF('Calc (3)'!$AD$32="Sim",R199,Q199)</f>
        <v>657576.18512863084</v>
      </c>
      <c r="T199" s="9">
        <f t="shared" si="75"/>
        <v>195</v>
      </c>
      <c r="U199" s="17">
        <f t="shared" ca="1" si="76"/>
        <v>51441</v>
      </c>
      <c r="V199" s="22"/>
      <c r="W199" s="22"/>
      <c r="X199" s="22"/>
    </row>
    <row r="200" spans="2:24" x14ac:dyDescent="0.2">
      <c r="B200" s="17">
        <f t="shared" ca="1" si="65"/>
        <v>51441</v>
      </c>
      <c r="C200" s="9">
        <f t="shared" si="77"/>
        <v>196</v>
      </c>
      <c r="D200" s="9"/>
      <c r="E200" s="13">
        <f t="shared" si="66"/>
        <v>2218.6657790151471</v>
      </c>
      <c r="F200" s="14">
        <f t="shared" si="78"/>
        <v>335342.07089162024</v>
      </c>
      <c r="G200" s="15">
        <f t="shared" si="67"/>
        <v>0.50509023053339641</v>
      </c>
      <c r="H200" s="13">
        <f t="shared" si="68"/>
        <v>10384.119006656152</v>
      </c>
      <c r="I200" s="13">
        <f t="shared" si="69"/>
        <v>720085.91527149023</v>
      </c>
      <c r="J200" s="15">
        <f t="shared" si="62"/>
        <v>0.49490976946660359</v>
      </c>
      <c r="K200" s="13">
        <f t="shared" si="70"/>
        <v>328583.00747999072</v>
      </c>
      <c r="L200" s="13">
        <f t="shared" si="79"/>
        <v>20244742.439424913</v>
      </c>
      <c r="M200" s="15">
        <f t="shared" si="71"/>
        <v>0.49490976946660359</v>
      </c>
      <c r="N200" s="13">
        <f t="shared" si="63"/>
        <v>3878.4966850363312</v>
      </c>
      <c r="O200" s="13">
        <f t="shared" si="72"/>
        <v>391502.90779149882</v>
      </c>
      <c r="P200" s="15">
        <f t="shared" si="64"/>
        <v>0.37094232190560322</v>
      </c>
      <c r="Q200" s="7">
        <f t="shared" si="73"/>
        <v>1055427.9861631098</v>
      </c>
      <c r="R200" s="7">
        <f t="shared" si="74"/>
        <v>663925.07837161096</v>
      </c>
      <c r="S200" s="13">
        <f>IF('Calc (3)'!$AD$32="Sim",R200,Q200)</f>
        <v>663925.07837161096</v>
      </c>
      <c r="T200" s="9">
        <f t="shared" si="75"/>
        <v>196</v>
      </c>
      <c r="U200" s="17">
        <f t="shared" ca="1" si="76"/>
        <v>51471</v>
      </c>
      <c r="V200" s="22"/>
      <c r="W200" s="22"/>
      <c r="X200" s="22"/>
    </row>
    <row r="201" spans="2:24" x14ac:dyDescent="0.2">
      <c r="B201" s="17">
        <f t="shared" ca="1" si="65"/>
        <v>51471</v>
      </c>
      <c r="C201" s="9">
        <f t="shared" si="77"/>
        <v>197</v>
      </c>
      <c r="D201" s="9"/>
      <c r="E201" s="13">
        <f t="shared" si="66"/>
        <v>2227.7048980333993</v>
      </c>
      <c r="F201" s="14">
        <f t="shared" si="78"/>
        <v>337569.77578965365</v>
      </c>
      <c r="G201" s="15">
        <f t="shared" si="67"/>
        <v>0.50359285180534263</v>
      </c>
      <c r="H201" s="13">
        <f t="shared" si="68"/>
        <v>10509.613496870643</v>
      </c>
      <c r="I201" s="13">
        <f t="shared" si="69"/>
        <v>730595.52876836085</v>
      </c>
      <c r="J201" s="15">
        <f t="shared" si="62"/>
        <v>0.49640714819465737</v>
      </c>
      <c r="K201" s="13">
        <f t="shared" si="70"/>
        <v>332753.03474963678</v>
      </c>
      <c r="L201" s="13">
        <f t="shared" si="79"/>
        <v>20577495.474174552</v>
      </c>
      <c r="M201" s="15">
        <f t="shared" si="71"/>
        <v>0.49640714819465737</v>
      </c>
      <c r="N201" s="13">
        <f t="shared" si="63"/>
        <v>3925.3039024102814</v>
      </c>
      <c r="O201" s="13">
        <f t="shared" si="72"/>
        <v>397842.49401872337</v>
      </c>
      <c r="P201" s="15">
        <f t="shared" si="64"/>
        <v>0.37245405024959405</v>
      </c>
      <c r="Q201" s="7">
        <f t="shared" si="73"/>
        <v>1068165.3045580138</v>
      </c>
      <c r="R201" s="7">
        <f t="shared" si="74"/>
        <v>670322.81053929043</v>
      </c>
      <c r="S201" s="13">
        <f>IF('Calc (3)'!$AD$32="Sim",R201,Q201)</f>
        <v>670322.81053929043</v>
      </c>
      <c r="T201" s="9">
        <f t="shared" si="75"/>
        <v>197</v>
      </c>
      <c r="U201" s="17">
        <f t="shared" ca="1" si="76"/>
        <v>51502</v>
      </c>
      <c r="V201" s="22"/>
      <c r="W201" s="22"/>
      <c r="X201" s="22"/>
    </row>
    <row r="202" spans="2:24" x14ac:dyDescent="0.2">
      <c r="B202" s="17">
        <f t="shared" ca="1" si="65"/>
        <v>51502</v>
      </c>
      <c r="C202" s="9">
        <f t="shared" si="77"/>
        <v>198</v>
      </c>
      <c r="D202" s="9"/>
      <c r="E202" s="13">
        <f t="shared" si="66"/>
        <v>2236.7808435414272</v>
      </c>
      <c r="F202" s="14">
        <f t="shared" si="78"/>
        <v>339806.55663319508</v>
      </c>
      <c r="G202" s="15">
        <f t="shared" si="67"/>
        <v>0.50210070630378201</v>
      </c>
      <c r="H202" s="13">
        <f t="shared" si="68"/>
        <v>10636.447629631961</v>
      </c>
      <c r="I202" s="13">
        <f t="shared" si="69"/>
        <v>741231.97639799281</v>
      </c>
      <c r="J202" s="15">
        <f t="shared" si="62"/>
        <v>0.49789929369621799</v>
      </c>
      <c r="K202" s="13">
        <f t="shared" si="70"/>
        <v>336963.16778062523</v>
      </c>
      <c r="L202" s="13">
        <f t="shared" si="79"/>
        <v>20914458.641955178</v>
      </c>
      <c r="M202" s="15">
        <f t="shared" si="71"/>
        <v>0.49789929369621799</v>
      </c>
      <c r="N202" s="13">
        <f t="shared" si="63"/>
        <v>3972.6105634174705</v>
      </c>
      <c r="O202" s="13">
        <f t="shared" si="72"/>
        <v>404268.80861736694</v>
      </c>
      <c r="P202" s="15">
        <f t="shared" si="64"/>
        <v>0.37396336602712388</v>
      </c>
      <c r="Q202" s="7">
        <f t="shared" si="73"/>
        <v>1081038.5330311873</v>
      </c>
      <c r="R202" s="7">
        <f t="shared" si="74"/>
        <v>676769.72441382031</v>
      </c>
      <c r="S202" s="13">
        <f>IF('Calc (3)'!$AD$32="Sim",R202,Q202)</f>
        <v>676769.72441382031</v>
      </c>
      <c r="T202" s="9">
        <f t="shared" si="75"/>
        <v>198</v>
      </c>
      <c r="U202" s="17">
        <f t="shared" ca="1" si="76"/>
        <v>51533</v>
      </c>
      <c r="V202" s="22"/>
      <c r="W202" s="22"/>
      <c r="X202" s="22"/>
    </row>
    <row r="203" spans="2:24" x14ac:dyDescent="0.2">
      <c r="B203" s="17">
        <f t="shared" ca="1" si="65"/>
        <v>51533</v>
      </c>
      <c r="C203" s="9">
        <f t="shared" si="77"/>
        <v>199</v>
      </c>
      <c r="D203" s="9"/>
      <c r="E203" s="13">
        <f t="shared" si="66"/>
        <v>2245.8937655749082</v>
      </c>
      <c r="F203" s="14">
        <f t="shared" si="78"/>
        <v>342052.45039876999</v>
      </c>
      <c r="G203" s="15">
        <f t="shared" si="67"/>
        <v>0.50061376939640512</v>
      </c>
      <c r="H203" s="13">
        <f t="shared" si="68"/>
        <v>10764.635111377453</v>
      </c>
      <c r="I203" s="13">
        <f t="shared" si="69"/>
        <v>751996.61150937027</v>
      </c>
      <c r="J203" s="15">
        <f t="shared" si="62"/>
        <v>0.49938623060359488</v>
      </c>
      <c r="K203" s="13">
        <f t="shared" si="70"/>
        <v>341213.71467532689</v>
      </c>
      <c r="L203" s="13">
        <f t="shared" si="79"/>
        <v>21255672.356630504</v>
      </c>
      <c r="M203" s="15">
        <f t="shared" si="71"/>
        <v>0.49938623060359494</v>
      </c>
      <c r="N203" s="13">
        <f t="shared" si="63"/>
        <v>4020.4217772391503</v>
      </c>
      <c r="O203" s="13">
        <f t="shared" si="72"/>
        <v>410782.89683404274</v>
      </c>
      <c r="P203" s="15">
        <f t="shared" si="64"/>
        <v>0.37547027015186418</v>
      </c>
      <c r="Q203" s="7">
        <f t="shared" si="73"/>
        <v>1094049.0619081396</v>
      </c>
      <c r="R203" s="7">
        <f t="shared" si="74"/>
        <v>683266.16507409688</v>
      </c>
      <c r="S203" s="13">
        <f>IF('Calc (3)'!$AD$32="Sim",R203,Q203)</f>
        <v>683266.16507409688</v>
      </c>
      <c r="T203" s="9">
        <f t="shared" si="75"/>
        <v>199</v>
      </c>
      <c r="U203" s="17">
        <f t="shared" ca="1" si="76"/>
        <v>51561</v>
      </c>
      <c r="V203" s="22"/>
      <c r="W203" s="22"/>
      <c r="X203" s="22"/>
    </row>
    <row r="204" spans="2:24" x14ac:dyDescent="0.2">
      <c r="B204" s="17">
        <f t="shared" ca="1" si="65"/>
        <v>51561</v>
      </c>
      <c r="C204" s="9">
        <f t="shared" si="77"/>
        <v>200</v>
      </c>
      <c r="D204" s="9"/>
      <c r="E204" s="13">
        <f t="shared" si="66"/>
        <v>2255.0438147807845</v>
      </c>
      <c r="F204" s="14">
        <f t="shared" si="78"/>
        <v>344307.49421355076</v>
      </c>
      <c r="G204" s="15">
        <f t="shared" si="67"/>
        <v>0.49913201665776796</v>
      </c>
      <c r="H204" s="13">
        <f t="shared" si="68"/>
        <v>10894.189786522775</v>
      </c>
      <c r="I204" s="13">
        <f t="shared" si="69"/>
        <v>762890.80129589303</v>
      </c>
      <c r="J204" s="15">
        <f t="shared" si="62"/>
        <v>0.50086798334223204</v>
      </c>
      <c r="K204" s="13">
        <f t="shared" si="70"/>
        <v>345504.98569720337</v>
      </c>
      <c r="L204" s="13">
        <f t="shared" si="79"/>
        <v>21601177.342327707</v>
      </c>
      <c r="M204" s="15">
        <f t="shared" si="71"/>
        <v>0.50086798334223204</v>
      </c>
      <c r="N204" s="13">
        <f t="shared" si="63"/>
        <v>4068.7427044857614</v>
      </c>
      <c r="O204" s="13">
        <f t="shared" si="72"/>
        <v>417385.81559868925</v>
      </c>
      <c r="P204" s="15">
        <f t="shared" si="64"/>
        <v>0.37697476350127684</v>
      </c>
      <c r="Q204" s="7">
        <f t="shared" si="73"/>
        <v>1107198.2955094434</v>
      </c>
      <c r="R204" s="7">
        <f t="shared" si="74"/>
        <v>689812.47991075413</v>
      </c>
      <c r="S204" s="13">
        <f>IF('Calc (3)'!$AD$32="Sim",R204,Q204)</f>
        <v>689812.47991075413</v>
      </c>
      <c r="T204" s="9">
        <f t="shared" si="75"/>
        <v>200</v>
      </c>
      <c r="U204" s="17">
        <f t="shared" ca="1" si="76"/>
        <v>51592</v>
      </c>
      <c r="V204" s="22"/>
      <c r="W204" s="22"/>
      <c r="X204" s="22"/>
    </row>
    <row r="205" spans="2:24" x14ac:dyDescent="0.2">
      <c r="B205" s="17">
        <f t="shared" ca="1" si="65"/>
        <v>51592</v>
      </c>
      <c r="C205" s="9">
        <f t="shared" si="77"/>
        <v>201</v>
      </c>
      <c r="D205" s="9"/>
      <c r="E205" s="13">
        <f t="shared" si="66"/>
        <v>2264.2311424197519</v>
      </c>
      <c r="F205" s="14">
        <f t="shared" si="78"/>
        <v>346571.7253559705</v>
      </c>
      <c r="G205" s="15">
        <f t="shared" si="67"/>
        <v>0.49765542386593242</v>
      </c>
      <c r="H205" s="13">
        <f t="shared" si="68"/>
        <v>11025.125638841941</v>
      </c>
      <c r="I205" s="13">
        <f t="shared" si="69"/>
        <v>773915.92693473492</v>
      </c>
      <c r="J205" s="15">
        <f t="shared" si="62"/>
        <v>0.50234457613406758</v>
      </c>
      <c r="K205" s="13">
        <f t="shared" si="70"/>
        <v>349837.29328528192</v>
      </c>
      <c r="L205" s="13">
        <f t="shared" si="79"/>
        <v>21951014.635612987</v>
      </c>
      <c r="M205" s="15">
        <f t="shared" si="71"/>
        <v>0.50234457613406758</v>
      </c>
      <c r="N205" s="13">
        <f t="shared" si="63"/>
        <v>4117.5785577113011</v>
      </c>
      <c r="O205" s="13">
        <f t="shared" si="72"/>
        <v>424078.63364945271</v>
      </c>
      <c r="P205" s="15">
        <f t="shared" si="64"/>
        <v>0.37847684691792349</v>
      </c>
      <c r="Q205" s="7">
        <f t="shared" si="73"/>
        <v>1120487.6522907051</v>
      </c>
      <c r="R205" s="7">
        <f t="shared" si="74"/>
        <v>696409.01864125242</v>
      </c>
      <c r="S205" s="13">
        <f>IF('Calc (3)'!$AD$32="Sim",R205,Q205)</f>
        <v>696409.01864125242</v>
      </c>
      <c r="T205" s="9">
        <f t="shared" si="75"/>
        <v>201</v>
      </c>
      <c r="U205" s="17">
        <f t="shared" ca="1" si="76"/>
        <v>51622</v>
      </c>
      <c r="V205" s="22"/>
      <c r="W205" s="22"/>
      <c r="X205" s="22"/>
    </row>
    <row r="206" spans="2:24" x14ac:dyDescent="0.2">
      <c r="B206" s="17">
        <f t="shared" ca="1" si="65"/>
        <v>51622</v>
      </c>
      <c r="C206" s="9">
        <f t="shared" si="77"/>
        <v>202</v>
      </c>
      <c r="D206" s="9"/>
      <c r="E206" s="13">
        <f t="shared" si="66"/>
        <v>2273.4559003687614</v>
      </c>
      <c r="F206" s="14">
        <f t="shared" si="78"/>
        <v>348845.18125633925</v>
      </c>
      <c r="G206" s="15">
        <f t="shared" si="67"/>
        <v>0.49618396699918632</v>
      </c>
      <c r="H206" s="13">
        <f t="shared" si="68"/>
        <v>11157.456792861096</v>
      </c>
      <c r="I206" s="13">
        <f t="shared" si="69"/>
        <v>785073.38372759602</v>
      </c>
      <c r="J206" s="15">
        <f t="shared" si="62"/>
        <v>0.50381603300081368</v>
      </c>
      <c r="K206" s="13">
        <f t="shared" si="70"/>
        <v>354210.95206872508</v>
      </c>
      <c r="L206" s="13">
        <f t="shared" si="79"/>
        <v>22305225.587681711</v>
      </c>
      <c r="M206" s="15">
        <f t="shared" si="71"/>
        <v>0.50381603300081368</v>
      </c>
      <c r="N206" s="13">
        <f t="shared" si="63"/>
        <v>4166.9346019328286</v>
      </c>
      <c r="O206" s="13">
        <f t="shared" si="72"/>
        <v>430862.43165887054</v>
      </c>
      <c r="P206" s="15">
        <f t="shared" si="64"/>
        <v>0.37997652121074049</v>
      </c>
      <c r="Q206" s="7">
        <f t="shared" si="73"/>
        <v>1133918.5649839349</v>
      </c>
      <c r="R206" s="7">
        <f t="shared" si="74"/>
        <v>703056.13332506432</v>
      </c>
      <c r="S206" s="13">
        <f>IF('Calc (3)'!$AD$32="Sim",R206,Q206)</f>
        <v>703056.13332506432</v>
      </c>
      <c r="T206" s="9">
        <f t="shared" si="75"/>
        <v>202</v>
      </c>
      <c r="U206" s="17">
        <f t="shared" ca="1" si="76"/>
        <v>51653</v>
      </c>
      <c r="V206" s="22"/>
      <c r="W206" s="22"/>
      <c r="X206" s="22"/>
    </row>
    <row r="207" spans="2:24" x14ac:dyDescent="0.2">
      <c r="B207" s="17">
        <f t="shared" ca="1" si="65"/>
        <v>51653</v>
      </c>
      <c r="C207" s="9">
        <f t="shared" si="77"/>
        <v>203</v>
      </c>
      <c r="D207" s="9"/>
      <c r="E207" s="13">
        <f t="shared" si="66"/>
        <v>2282.7182411235294</v>
      </c>
      <c r="F207" s="14">
        <f t="shared" si="78"/>
        <v>351127.89949746279</v>
      </c>
      <c r="G207" s="15">
        <f t="shared" si="67"/>
        <v>0.49471762223284255</v>
      </c>
      <c r="H207" s="13">
        <f t="shared" si="68"/>
        <v>11291.197515266238</v>
      </c>
      <c r="I207" s="13">
        <f t="shared" si="69"/>
        <v>796364.58124286227</v>
      </c>
      <c r="J207" s="15">
        <f t="shared" si="62"/>
        <v>0.50528237776715745</v>
      </c>
      <c r="K207" s="13">
        <f t="shared" si="70"/>
        <v>358626.278881495</v>
      </c>
      <c r="L207" s="13">
        <f t="shared" si="79"/>
        <v>22663851.866563205</v>
      </c>
      <c r="M207" s="15">
        <f t="shared" si="71"/>
        <v>0.50528237776715745</v>
      </c>
      <c r="N207" s="13">
        <f t="shared" si="63"/>
        <v>4216.8161551551475</v>
      </c>
      <c r="O207" s="13">
        <f t="shared" si="72"/>
        <v>437738.3023613668</v>
      </c>
      <c r="P207" s="15">
        <f t="shared" si="64"/>
        <v>0.38147378715628044</v>
      </c>
      <c r="Q207" s="7">
        <f t="shared" si="73"/>
        <v>1147492.4807403246</v>
      </c>
      <c r="R207" s="7">
        <f t="shared" si="74"/>
        <v>709754.17837895779</v>
      </c>
      <c r="S207" s="13">
        <f>IF('Calc (3)'!$AD$32="Sim",R207,Q207)</f>
        <v>709754.17837895779</v>
      </c>
      <c r="T207" s="9">
        <f t="shared" si="75"/>
        <v>203</v>
      </c>
      <c r="U207" s="17">
        <f t="shared" ca="1" si="76"/>
        <v>51683</v>
      </c>
      <c r="V207" s="22"/>
      <c r="W207" s="22"/>
      <c r="X207" s="22"/>
    </row>
    <row r="208" spans="2:24" x14ac:dyDescent="0.2">
      <c r="B208" s="17">
        <f t="shared" ca="1" si="65"/>
        <v>51683</v>
      </c>
      <c r="C208" s="9">
        <f t="shared" si="77"/>
        <v>204</v>
      </c>
      <c r="D208" s="9">
        <v>17</v>
      </c>
      <c r="E208" s="13">
        <f t="shared" si="66"/>
        <v>2292.0183178010589</v>
      </c>
      <c r="F208" s="14">
        <f t="shared" si="78"/>
        <v>353419.91781526385</v>
      </c>
      <c r="G208" s="15">
        <f t="shared" si="67"/>
        <v>0.49325636593611327</v>
      </c>
      <c r="H208" s="13">
        <f t="shared" si="68"/>
        <v>11426.362216324953</v>
      </c>
      <c r="I208" s="13">
        <f t="shared" si="69"/>
        <v>807790.94345918717</v>
      </c>
      <c r="J208" s="15">
        <f t="shared" si="62"/>
        <v>0.50674363406388667</v>
      </c>
      <c r="K208" s="13">
        <f t="shared" si="70"/>
        <v>363083.59277711425</v>
      </c>
      <c r="L208" s="13">
        <f t="shared" si="79"/>
        <v>23026935.459340319</v>
      </c>
      <c r="M208" s="15">
        <f t="shared" si="71"/>
        <v>0.50674363406388678</v>
      </c>
      <c r="N208" s="13">
        <f t="shared" si="63"/>
        <v>4267.2285889007235</v>
      </c>
      <c r="O208" s="13">
        <f t="shared" si="72"/>
        <v>444707.35068207246</v>
      </c>
      <c r="P208" s="15">
        <f t="shared" si="64"/>
        <v>0.38296864549992055</v>
      </c>
      <c r="Q208" s="7">
        <f t="shared" si="73"/>
        <v>1161210.8612744506</v>
      </c>
      <c r="R208" s="7">
        <f t="shared" si="74"/>
        <v>716503.51059237809</v>
      </c>
      <c r="S208" s="13">
        <f>IF('Calc (3)'!$AD$32="Sim",R208,Q208)</f>
        <v>716503.51059237809</v>
      </c>
      <c r="T208" s="9">
        <f t="shared" si="75"/>
        <v>204</v>
      </c>
      <c r="U208" s="17">
        <f t="shared" ca="1" si="76"/>
        <v>51714</v>
      </c>
      <c r="V208" s="22"/>
      <c r="W208" s="22"/>
      <c r="X208" s="22"/>
    </row>
    <row r="209" spans="2:24" x14ac:dyDescent="0.2">
      <c r="B209" s="17">
        <f t="shared" ca="1" si="65"/>
        <v>51714</v>
      </c>
      <c r="C209" s="9">
        <f t="shared" si="77"/>
        <v>205</v>
      </c>
      <c r="D209" s="9"/>
      <c r="E209" s="13">
        <f t="shared" si="66"/>
        <v>2301.3562841421699</v>
      </c>
      <c r="F209" s="14">
        <f t="shared" si="78"/>
        <v>355721.27409940603</v>
      </c>
      <c r="G209" s="15">
        <f t="shared" si="67"/>
        <v>0.49180017466905857</v>
      </c>
      <c r="H209" s="13">
        <f t="shared" si="68"/>
        <v>11562.96545132234</v>
      </c>
      <c r="I209" s="13">
        <f t="shared" si="69"/>
        <v>819353.90891050955</v>
      </c>
      <c r="J209" s="15">
        <f t="shared" si="62"/>
        <v>0.50819982533094143</v>
      </c>
      <c r="K209" s="13">
        <f t="shared" si="70"/>
        <v>367583.21504352166</v>
      </c>
      <c r="L209" s="13">
        <f t="shared" si="79"/>
        <v>23394518.674383841</v>
      </c>
      <c r="M209" s="15">
        <f t="shared" si="71"/>
        <v>0.50819982533094143</v>
      </c>
      <c r="N209" s="13">
        <f t="shared" si="63"/>
        <v>4318.1773287448896</v>
      </c>
      <c r="O209" s="13">
        <f t="shared" si="72"/>
        <v>451770.69386698736</v>
      </c>
      <c r="P209" s="15">
        <f t="shared" si="64"/>
        <v>0.38446109695704078</v>
      </c>
      <c r="Q209" s="7">
        <f t="shared" si="73"/>
        <v>1175075.1830099151</v>
      </c>
      <c r="R209" s="7">
        <f t="shared" si="74"/>
        <v>723304.48914292769</v>
      </c>
      <c r="S209" s="13">
        <f>IF('Calc (3)'!$AD$32="Sim",R209,Q209)</f>
        <v>723304.48914292769</v>
      </c>
      <c r="T209" s="9">
        <f t="shared" si="75"/>
        <v>205</v>
      </c>
      <c r="U209" s="17">
        <f t="shared" ca="1" si="76"/>
        <v>51745</v>
      </c>
      <c r="V209" s="22"/>
      <c r="W209" s="22"/>
      <c r="X209" s="22"/>
    </row>
    <row r="210" spans="2:24" x14ac:dyDescent="0.2">
      <c r="B210" s="17">
        <f t="shared" ca="1" si="65"/>
        <v>51745</v>
      </c>
      <c r="C210" s="9">
        <f t="shared" si="77"/>
        <v>206</v>
      </c>
      <c r="D210" s="9"/>
      <c r="E210" s="13">
        <f t="shared" si="66"/>
        <v>2310.7322945140422</v>
      </c>
      <c r="F210" s="14">
        <f t="shared" si="78"/>
        <v>358032.00639392005</v>
      </c>
      <c r="G210" s="15">
        <f t="shared" si="67"/>
        <v>0.49034902517960632</v>
      </c>
      <c r="H210" s="13">
        <f t="shared" si="68"/>
        <v>11701.021922011261</v>
      </c>
      <c r="I210" s="13">
        <f t="shared" si="69"/>
        <v>831054.93083252083</v>
      </c>
      <c r="J210" s="15">
        <f t="shared" si="62"/>
        <v>0.50965097482039368</v>
      </c>
      <c r="K210" s="13">
        <f t="shared" si="70"/>
        <v>372125.46921802626</v>
      </c>
      <c r="L210" s="13">
        <f t="shared" si="79"/>
        <v>23766644.143601868</v>
      </c>
      <c r="M210" s="15">
        <f t="shared" si="71"/>
        <v>0.50965097482039368</v>
      </c>
      <c r="N210" s="13">
        <f t="shared" si="63"/>
        <v>4369.6678548563868</v>
      </c>
      <c r="O210" s="13">
        <f t="shared" si="72"/>
        <v>458929.46161449398</v>
      </c>
      <c r="P210" s="15">
        <f t="shared" si="64"/>
        <v>0.38595114221417026</v>
      </c>
      <c r="Q210" s="7">
        <f t="shared" si="73"/>
        <v>1189086.9372264403</v>
      </c>
      <c r="R210" s="7">
        <f t="shared" si="74"/>
        <v>730157.47561194631</v>
      </c>
      <c r="S210" s="13">
        <f>IF('Calc (3)'!$AD$32="Sim",R210,Q210)</f>
        <v>730157.47561194631</v>
      </c>
      <c r="T210" s="9">
        <f t="shared" si="75"/>
        <v>206</v>
      </c>
      <c r="U210" s="17">
        <f t="shared" ca="1" si="76"/>
        <v>51775</v>
      </c>
      <c r="V210" s="22"/>
      <c r="W210" s="22"/>
      <c r="X210" s="22"/>
    </row>
    <row r="211" spans="2:24" x14ac:dyDescent="0.2">
      <c r="B211" s="17">
        <f t="shared" ca="1" si="65"/>
        <v>51775</v>
      </c>
      <c r="C211" s="9">
        <f t="shared" si="77"/>
        <v>207</v>
      </c>
      <c r="D211" s="9"/>
      <c r="E211" s="13">
        <f t="shared" si="66"/>
        <v>2320.1465039127661</v>
      </c>
      <c r="F211" s="14">
        <f t="shared" si="78"/>
        <v>360352.1528978328</v>
      </c>
      <c r="G211" s="15">
        <f t="shared" si="67"/>
        <v>0.48890289440064144</v>
      </c>
      <c r="H211" s="13">
        <f t="shared" si="68"/>
        <v>11840.54647807706</v>
      </c>
      <c r="I211" s="13">
        <f t="shared" si="69"/>
        <v>842895.4773105979</v>
      </c>
      <c r="J211" s="15">
        <f t="shared" si="62"/>
        <v>0.5110971055993585</v>
      </c>
      <c r="K211" s="13">
        <f t="shared" si="70"/>
        <v>376710.68110235804</v>
      </c>
      <c r="L211" s="13">
        <f t="shared" si="79"/>
        <v>24143354.824704226</v>
      </c>
      <c r="M211" s="15">
        <f t="shared" si="71"/>
        <v>0.51109710559935861</v>
      </c>
      <c r="N211" s="13">
        <f t="shared" si="63"/>
        <v>4421.7057025433032</v>
      </c>
      <c r="O211" s="13">
        <f t="shared" si="72"/>
        <v>466184.79620823928</v>
      </c>
      <c r="P211" s="15">
        <f t="shared" si="64"/>
        <v>0.38743878193010473</v>
      </c>
      <c r="Q211" s="7">
        <f t="shared" si="73"/>
        <v>1203247.6302084301</v>
      </c>
      <c r="R211" s="7">
        <f t="shared" si="74"/>
        <v>737062.83400019084</v>
      </c>
      <c r="S211" s="13">
        <f>IF('Calc (3)'!$AD$32="Sim",R211,Q211)</f>
        <v>737062.83400019084</v>
      </c>
      <c r="T211" s="9">
        <f t="shared" si="75"/>
        <v>207</v>
      </c>
      <c r="U211" s="17">
        <f t="shared" ca="1" si="76"/>
        <v>51806</v>
      </c>
      <c r="V211" s="22"/>
      <c r="W211" s="22"/>
      <c r="X211" s="22"/>
    </row>
    <row r="212" spans="2:24" x14ac:dyDescent="0.2">
      <c r="B212" s="17">
        <f t="shared" ca="1" si="65"/>
        <v>51806</v>
      </c>
      <c r="C212" s="9">
        <f t="shared" si="77"/>
        <v>208</v>
      </c>
      <c r="D212" s="9"/>
      <c r="E212" s="13">
        <f t="shared" si="66"/>
        <v>2329.5990679659058</v>
      </c>
      <c r="F212" s="14">
        <f t="shared" si="78"/>
        <v>362681.75196579873</v>
      </c>
      <c r="G212" s="15">
        <f t="shared" si="67"/>
        <v>0.48746175944716291</v>
      </c>
      <c r="H212" s="13">
        <f t="shared" si="68"/>
        <v>11981.554118616887</v>
      </c>
      <c r="I212" s="13">
        <f t="shared" si="69"/>
        <v>854877.03142921475</v>
      </c>
      <c r="J212" s="15">
        <f t="shared" si="62"/>
        <v>0.51253824055283714</v>
      </c>
      <c r="K212" s="13">
        <f t="shared" si="70"/>
        <v>381339.17877781711</v>
      </c>
      <c r="L212" s="13">
        <f t="shared" si="79"/>
        <v>24524694.003482044</v>
      </c>
      <c r="M212" s="15">
        <f t="shared" si="71"/>
        <v>0.51253824055283703</v>
      </c>
      <c r="N212" s="13">
        <f t="shared" si="63"/>
        <v>4474.2964628044501</v>
      </c>
      <c r="O212" s="13">
        <f t="shared" si="72"/>
        <v>473537.85265139723</v>
      </c>
      <c r="P212" s="15">
        <f t="shared" si="64"/>
        <v>0.38892401673699489</v>
      </c>
      <c r="Q212" s="7">
        <f t="shared" si="73"/>
        <v>1217558.7833950131</v>
      </c>
      <c r="R212" s="7">
        <f t="shared" si="74"/>
        <v>744020.93074361584</v>
      </c>
      <c r="S212" s="13">
        <f>IF('Calc (3)'!$AD$32="Sim",R212,Q212)</f>
        <v>744020.93074361584</v>
      </c>
      <c r="T212" s="9">
        <f t="shared" si="75"/>
        <v>208</v>
      </c>
      <c r="U212" s="17">
        <f t="shared" ca="1" si="76"/>
        <v>51836</v>
      </c>
      <c r="V212" s="22"/>
      <c r="W212" s="22"/>
      <c r="X212" s="22"/>
    </row>
    <row r="213" spans="2:24" x14ac:dyDescent="0.2">
      <c r="B213" s="17">
        <f t="shared" ca="1" si="65"/>
        <v>51836</v>
      </c>
      <c r="C213" s="9">
        <f t="shared" si="77"/>
        <v>209</v>
      </c>
      <c r="D213" s="9"/>
      <c r="E213" s="13">
        <f t="shared" si="66"/>
        <v>2339.0901429350706</v>
      </c>
      <c r="F213" s="14">
        <f t="shared" si="78"/>
        <v>365020.84210873378</v>
      </c>
      <c r="G213" s="15">
        <f t="shared" si="67"/>
        <v>0.48602559761350611</v>
      </c>
      <c r="H213" s="13">
        <f t="shared" si="68"/>
        <v>12124.059993633784</v>
      </c>
      <c r="I213" s="13">
        <f t="shared" si="69"/>
        <v>867001.09142284852</v>
      </c>
      <c r="J213" s="15">
        <f t="shared" si="62"/>
        <v>0.51397440238649383</v>
      </c>
      <c r="K213" s="13">
        <f t="shared" si="70"/>
        <v>386011.29262052203</v>
      </c>
      <c r="L213" s="13">
        <f t="shared" si="79"/>
        <v>24910705.296102565</v>
      </c>
      <c r="M213" s="15">
        <f t="shared" si="71"/>
        <v>0.51397440238649394</v>
      </c>
      <c r="N213" s="13">
        <f t="shared" si="63"/>
        <v>4527.4457828862433</v>
      </c>
      <c r="O213" s="13">
        <f t="shared" si="72"/>
        <v>480989.79880232608</v>
      </c>
      <c r="P213" s="15">
        <f t="shared" si="64"/>
        <v>0.39040684724140612</v>
      </c>
      <c r="Q213" s="7">
        <f t="shared" si="73"/>
        <v>1232021.9335315819</v>
      </c>
      <c r="R213" s="7">
        <f t="shared" si="74"/>
        <v>751032.13472925581</v>
      </c>
      <c r="S213" s="13">
        <f>IF('Calc (3)'!$AD$32="Sim",R213,Q213)</f>
        <v>751032.13472925581</v>
      </c>
      <c r="T213" s="9">
        <f t="shared" si="75"/>
        <v>209</v>
      </c>
      <c r="U213" s="17">
        <f t="shared" ca="1" si="76"/>
        <v>51867</v>
      </c>
      <c r="V213" s="22"/>
      <c r="W213" s="22"/>
      <c r="X213" s="22"/>
    </row>
    <row r="214" spans="2:24" x14ac:dyDescent="0.2">
      <c r="B214" s="17">
        <f t="shared" ca="1" si="65"/>
        <v>51867</v>
      </c>
      <c r="C214" s="9">
        <f t="shared" si="77"/>
        <v>210</v>
      </c>
      <c r="D214" s="9"/>
      <c r="E214" s="13">
        <f t="shared" si="66"/>
        <v>2348.6198857185</v>
      </c>
      <c r="F214" s="14">
        <f t="shared" si="78"/>
        <v>367369.46199445229</v>
      </c>
      <c r="G214" s="15">
        <f t="shared" si="67"/>
        <v>0.48459438637062913</v>
      </c>
      <c r="H214" s="13">
        <f t="shared" si="68"/>
        <v>12268.079405545663</v>
      </c>
      <c r="I214" s="13">
        <f t="shared" si="69"/>
        <v>879269.17082839413</v>
      </c>
      <c r="J214" s="15">
        <f t="shared" si="62"/>
        <v>0.51540561362937087</v>
      </c>
      <c r="K214" s="13">
        <f t="shared" si="70"/>
        <v>390727.35531675676</v>
      </c>
      <c r="L214" s="13">
        <f t="shared" si="79"/>
        <v>25301432.651419323</v>
      </c>
      <c r="M214" s="15">
        <f t="shared" si="71"/>
        <v>0.51540561362937087</v>
      </c>
      <c r="N214" s="13">
        <f t="shared" si="63"/>
        <v>4581.1593668451387</v>
      </c>
      <c r="O214" s="13">
        <f t="shared" si="72"/>
        <v>488541.81551163702</v>
      </c>
      <c r="P214" s="15">
        <f t="shared" si="64"/>
        <v>0.39188727402535212</v>
      </c>
      <c r="Q214" s="7">
        <f t="shared" si="73"/>
        <v>1246638.6328228461</v>
      </c>
      <c r="R214" s="7">
        <f t="shared" si="74"/>
        <v>758096.81731120904</v>
      </c>
      <c r="S214" s="13">
        <f>IF('Calc (3)'!$AD$32="Sim",R214,Q214)</f>
        <v>758096.81731120904</v>
      </c>
      <c r="T214" s="9">
        <f t="shared" si="75"/>
        <v>210</v>
      </c>
      <c r="U214" s="17">
        <f t="shared" ca="1" si="76"/>
        <v>51898</v>
      </c>
      <c r="V214" s="22"/>
      <c r="W214" s="22"/>
      <c r="X214" s="22"/>
    </row>
    <row r="215" spans="2:24" x14ac:dyDescent="0.2">
      <c r="B215" s="17">
        <f t="shared" ca="1" si="65"/>
        <v>51898</v>
      </c>
      <c r="C215" s="9">
        <f t="shared" si="77"/>
        <v>211</v>
      </c>
      <c r="D215" s="9"/>
      <c r="E215" s="13">
        <f t="shared" si="66"/>
        <v>2358.1884538536551</v>
      </c>
      <c r="F215" s="14">
        <f t="shared" si="78"/>
        <v>369727.65044830594</v>
      </c>
      <c r="G215" s="15">
        <f t="shared" si="67"/>
        <v>0.48316810336346072</v>
      </c>
      <c r="H215" s="13">
        <f t="shared" si="68"/>
        <v>12413.627810709357</v>
      </c>
      <c r="I215" s="13">
        <f t="shared" si="69"/>
        <v>891682.79863910354</v>
      </c>
      <c r="J215" s="15">
        <f t="shared" si="62"/>
        <v>0.51683189663653928</v>
      </c>
      <c r="K215" s="13">
        <f t="shared" si="70"/>
        <v>395487.70187841874</v>
      </c>
      <c r="L215" s="13">
        <f t="shared" si="79"/>
        <v>25696920.35329774</v>
      </c>
      <c r="M215" s="15">
        <f t="shared" si="71"/>
        <v>0.51683189663653928</v>
      </c>
      <c r="N215" s="13">
        <f t="shared" si="63"/>
        <v>4635.4429761156816</v>
      </c>
      <c r="O215" s="13">
        <f t="shared" si="72"/>
        <v>496195.09676068439</v>
      </c>
      <c r="P215" s="15">
        <f t="shared" si="64"/>
        <v>0.3933652976473011</v>
      </c>
      <c r="Q215" s="7">
        <f t="shared" si="73"/>
        <v>1261410.4490874091</v>
      </c>
      <c r="R215" s="7">
        <f t="shared" si="74"/>
        <v>765215.35232672468</v>
      </c>
      <c r="S215" s="13">
        <f>IF('Calc (3)'!$AD$32="Sim",R215,Q215)</f>
        <v>765215.35232672468</v>
      </c>
      <c r="T215" s="9">
        <f t="shared" si="75"/>
        <v>211</v>
      </c>
      <c r="U215" s="17">
        <f t="shared" ca="1" si="76"/>
        <v>51926</v>
      </c>
      <c r="V215" s="22"/>
      <c r="W215" s="22"/>
      <c r="X215" s="22"/>
    </row>
    <row r="216" spans="2:24" x14ac:dyDescent="0.2">
      <c r="B216" s="17">
        <f t="shared" ca="1" si="65"/>
        <v>51926</v>
      </c>
      <c r="C216" s="9">
        <f t="shared" si="77"/>
        <v>212</v>
      </c>
      <c r="D216" s="9"/>
      <c r="E216" s="13">
        <f t="shared" si="66"/>
        <v>2367.796005519825</v>
      </c>
      <c r="F216" s="14">
        <f t="shared" si="78"/>
        <v>372095.44645382575</v>
      </c>
      <c r="G216" s="15">
        <f t="shared" si="67"/>
        <v>0.48174672640830901</v>
      </c>
      <c r="H216" s="13">
        <f t="shared" si="68"/>
        <v>12560.720820959847</v>
      </c>
      <c r="I216" s="13">
        <f t="shared" si="69"/>
        <v>904243.51946006343</v>
      </c>
      <c r="J216" s="15">
        <f t="shared" si="62"/>
        <v>0.51825327359169093</v>
      </c>
      <c r="K216" s="13">
        <f t="shared" si="70"/>
        <v>400292.6696585663</v>
      </c>
      <c r="L216" s="13">
        <f t="shared" si="79"/>
        <v>26097213.022956308</v>
      </c>
      <c r="M216" s="15">
        <f t="shared" si="71"/>
        <v>0.51825327359169093</v>
      </c>
      <c r="N216" s="13">
        <f t="shared" si="63"/>
        <v>4690.3024300842089</v>
      </c>
      <c r="O216" s="13">
        <f t="shared" si="72"/>
        <v>503950.84980149672</v>
      </c>
      <c r="P216" s="15">
        <f t="shared" si="64"/>
        <v>0.39484091864315685</v>
      </c>
      <c r="Q216" s="7">
        <f t="shared" si="73"/>
        <v>1276338.9659138888</v>
      </c>
      <c r="R216" s="7">
        <f t="shared" si="74"/>
        <v>772388.11611239205</v>
      </c>
      <c r="S216" s="13">
        <f>IF('Calc (3)'!$AD$32="Sim",R216,Q216)</f>
        <v>772388.11611239205</v>
      </c>
      <c r="T216" s="9">
        <f t="shared" si="75"/>
        <v>212</v>
      </c>
      <c r="U216" s="17">
        <f t="shared" ca="1" si="76"/>
        <v>51957</v>
      </c>
      <c r="V216" s="22"/>
      <c r="W216" s="22"/>
      <c r="X216" s="22"/>
    </row>
    <row r="217" spans="2:24" x14ac:dyDescent="0.2">
      <c r="B217" s="17">
        <f t="shared" ca="1" si="65"/>
        <v>51957</v>
      </c>
      <c r="C217" s="9">
        <f t="shared" si="77"/>
        <v>213</v>
      </c>
      <c r="D217" s="9"/>
      <c r="E217" s="13">
        <f t="shared" si="66"/>
        <v>2377.4426995407407</v>
      </c>
      <c r="F217" s="14">
        <f t="shared" si="78"/>
        <v>374472.8891533665</v>
      </c>
      <c r="G217" s="15">
        <f t="shared" si="67"/>
        <v>0.48033023349032788</v>
      </c>
      <c r="H217" s="13">
        <f t="shared" si="68"/>
        <v>12709.374205164864</v>
      </c>
      <c r="I217" s="13">
        <f t="shared" si="69"/>
        <v>916952.89366522827</v>
      </c>
      <c r="J217" s="15">
        <f t="shared" si="62"/>
        <v>0.51966976650967212</v>
      </c>
      <c r="K217" s="13">
        <f t="shared" si="70"/>
        <v>405142.59836706886</v>
      </c>
      <c r="L217" s="13">
        <f t="shared" si="79"/>
        <v>26502355.621323377</v>
      </c>
      <c r="M217" s="15">
        <f t="shared" si="71"/>
        <v>0.51966976650967212</v>
      </c>
      <c r="N217" s="13">
        <f t="shared" si="63"/>
        <v>4745.7436066682894</v>
      </c>
      <c r="O217" s="13">
        <f t="shared" si="72"/>
        <v>511810.29529815889</v>
      </c>
      <c r="P217" s="15">
        <f t="shared" si="64"/>
        <v>0.39631413752721439</v>
      </c>
      <c r="Q217" s="7">
        <f t="shared" si="73"/>
        <v>1291425.7828185942</v>
      </c>
      <c r="R217" s="7">
        <f t="shared" si="74"/>
        <v>779615.48752043536</v>
      </c>
      <c r="S217" s="13">
        <f>IF('Calc (3)'!$AD$32="Sim",R217,Q217)</f>
        <v>779615.48752043536</v>
      </c>
      <c r="T217" s="9">
        <f t="shared" si="75"/>
        <v>213</v>
      </c>
      <c r="U217" s="17">
        <f t="shared" ca="1" si="76"/>
        <v>51987</v>
      </c>
      <c r="V217" s="22"/>
      <c r="W217" s="22"/>
      <c r="X217" s="22"/>
    </row>
    <row r="218" spans="2:24" x14ac:dyDescent="0.2">
      <c r="B218" s="17">
        <f t="shared" ca="1" si="65"/>
        <v>51987</v>
      </c>
      <c r="C218" s="9">
        <f t="shared" si="77"/>
        <v>214</v>
      </c>
      <c r="D218" s="9"/>
      <c r="E218" s="13">
        <f t="shared" si="66"/>
        <v>2387.1286953872009</v>
      </c>
      <c r="F218" s="14">
        <f t="shared" si="78"/>
        <v>376860.01784875372</v>
      </c>
      <c r="G218" s="15">
        <f t="shared" si="67"/>
        <v>0.47891860276104076</v>
      </c>
      <c r="H218" s="13">
        <f t="shared" si="68"/>
        <v>12859.603890794979</v>
      </c>
      <c r="I218" s="13">
        <f t="shared" si="69"/>
        <v>929812.4975560233</v>
      </c>
      <c r="J218" s="15">
        <f t="shared" si="62"/>
        <v>0.52108139723895919</v>
      </c>
      <c r="K218" s="13">
        <f t="shared" si="70"/>
        <v>410037.83008635824</v>
      </c>
      <c r="L218" s="13">
        <f t="shared" si="79"/>
        <v>26912393.451409735</v>
      </c>
      <c r="M218" s="15">
        <f t="shared" si="71"/>
        <v>0.5210813972389593</v>
      </c>
      <c r="N218" s="13">
        <f t="shared" si="63"/>
        <v>4801.772442901939</v>
      </c>
      <c r="O218" s="13">
        <f t="shared" si="72"/>
        <v>519774.66746966448</v>
      </c>
      <c r="P218" s="15">
        <f t="shared" si="64"/>
        <v>0.39778495479309173</v>
      </c>
      <c r="Q218" s="7">
        <f t="shared" si="73"/>
        <v>1306672.5154047764</v>
      </c>
      <c r="R218" s="7">
        <f t="shared" si="74"/>
        <v>786897.84793511196</v>
      </c>
      <c r="S218" s="13">
        <f>IF('Calc (3)'!$AD$32="Sim",R218,Q218)</f>
        <v>786897.84793511196</v>
      </c>
      <c r="T218" s="9">
        <f t="shared" si="75"/>
        <v>214</v>
      </c>
      <c r="U218" s="17">
        <f t="shared" ca="1" si="76"/>
        <v>52018</v>
      </c>
      <c r="V218" s="22"/>
      <c r="W218" s="22"/>
      <c r="X218" s="22"/>
    </row>
    <row r="219" spans="2:24" x14ac:dyDescent="0.2">
      <c r="B219" s="17">
        <f t="shared" ca="1" si="65"/>
        <v>52018</v>
      </c>
      <c r="C219" s="9">
        <f t="shared" si="77"/>
        <v>215</v>
      </c>
      <c r="D219" s="9"/>
      <c r="E219" s="13">
        <f t="shared" si="66"/>
        <v>2396.8541531797073</v>
      </c>
      <c r="F219" s="14">
        <f t="shared" si="78"/>
        <v>379256.8720019334</v>
      </c>
      <c r="G219" s="15">
        <f t="shared" si="67"/>
        <v>0.47751181253591934</v>
      </c>
      <c r="H219" s="13">
        <f t="shared" si="68"/>
        <v>13011.425965509372</v>
      </c>
      <c r="I219" s="13">
        <f t="shared" si="69"/>
        <v>942823.92352153268</v>
      </c>
      <c r="J219" s="15">
        <f t="shared" si="62"/>
        <v>0.52248818746408066</v>
      </c>
      <c r="K219" s="13">
        <f t="shared" si="70"/>
        <v>414978.70928728336</v>
      </c>
      <c r="L219" s="13">
        <f t="shared" si="79"/>
        <v>27327372.160697017</v>
      </c>
      <c r="M219" s="15">
        <f t="shared" si="71"/>
        <v>0.52248818746408066</v>
      </c>
      <c r="N219" s="13">
        <f t="shared" si="63"/>
        <v>4858.3949355266623</v>
      </c>
      <c r="O219" s="13">
        <f t="shared" si="72"/>
        <v>527845.21423424885</v>
      </c>
      <c r="P219" s="15">
        <f t="shared" si="64"/>
        <v>0.3992533709146372</v>
      </c>
      <c r="Q219" s="7">
        <f t="shared" si="73"/>
        <v>1322080.7955234656</v>
      </c>
      <c r="R219" s="7">
        <f t="shared" si="74"/>
        <v>794235.58128921676</v>
      </c>
      <c r="S219" s="13">
        <f>IF('Calc (3)'!$AD$32="Sim",R219,Q219)</f>
        <v>794235.58128921676</v>
      </c>
      <c r="T219" s="9">
        <f t="shared" si="75"/>
        <v>215</v>
      </c>
      <c r="U219" s="17">
        <f t="shared" ca="1" si="76"/>
        <v>52048</v>
      </c>
      <c r="V219" s="22"/>
      <c r="W219" s="22"/>
      <c r="X219" s="22"/>
    </row>
    <row r="220" spans="2:24" x14ac:dyDescent="0.2">
      <c r="B220" s="17">
        <f t="shared" ca="1" si="65"/>
        <v>52048</v>
      </c>
      <c r="C220" s="9">
        <f t="shared" si="77"/>
        <v>216</v>
      </c>
      <c r="D220" s="9">
        <v>18</v>
      </c>
      <c r="E220" s="13">
        <f t="shared" si="66"/>
        <v>2406.6192336911131</v>
      </c>
      <c r="F220" s="14">
        <f t="shared" si="78"/>
        <v>381663.49123562453</v>
      </c>
      <c r="G220" s="15">
        <f t="shared" si="67"/>
        <v>0.47610984129201694</v>
      </c>
      <c r="H220" s="13">
        <f t="shared" si="68"/>
        <v>13164.856678757404</v>
      </c>
      <c r="I220" s="13">
        <f t="shared" si="69"/>
        <v>955988.78020029003</v>
      </c>
      <c r="J220" s="15">
        <f t="shared" si="62"/>
        <v>0.52389015870798306</v>
      </c>
      <c r="K220" s="13">
        <f t="shared" si="70"/>
        <v>419965.58284506702</v>
      </c>
      <c r="L220" s="13">
        <f t="shared" si="79"/>
        <v>27747337.743542083</v>
      </c>
      <c r="M220" s="15">
        <f t="shared" si="71"/>
        <v>0.52389015870798306</v>
      </c>
      <c r="N220" s="13">
        <f t="shared" si="63"/>
        <v>4915.6171415884037</v>
      </c>
      <c r="O220" s="13">
        <f t="shared" si="72"/>
        <v>536023.19735522254</v>
      </c>
      <c r="P220" s="15">
        <f t="shared" si="64"/>
        <v>0.40071938634681487</v>
      </c>
      <c r="Q220" s="7">
        <f t="shared" si="73"/>
        <v>1337652.2714359141</v>
      </c>
      <c r="R220" s="7">
        <f t="shared" si="74"/>
        <v>801629.07408069156</v>
      </c>
      <c r="S220" s="13">
        <f>IF('Calc (3)'!$AD$32="Sim",R220,Q220)</f>
        <v>801629.07408069156</v>
      </c>
      <c r="T220" s="9">
        <f t="shared" si="75"/>
        <v>216</v>
      </c>
      <c r="U220" s="17">
        <f t="shared" ca="1" si="76"/>
        <v>52079</v>
      </c>
      <c r="V220" s="22"/>
      <c r="W220" s="22"/>
      <c r="X220" s="22"/>
    </row>
    <row r="221" spans="2:24" x14ac:dyDescent="0.2">
      <c r="B221" s="17">
        <f t="shared" ca="1" si="65"/>
        <v>52079</v>
      </c>
      <c r="C221" s="9">
        <f t="shared" si="77"/>
        <v>217</v>
      </c>
      <c r="D221" s="9"/>
      <c r="E221" s="13">
        <f t="shared" si="66"/>
        <v>2416.4240983492796</v>
      </c>
      <c r="F221" s="14">
        <f t="shared" si="78"/>
        <v>384079.91533397383</v>
      </c>
      <c r="G221" s="15">
        <f t="shared" si="67"/>
        <v>0.47471266766565262</v>
      </c>
      <c r="H221" s="13">
        <f t="shared" si="68"/>
        <v>13319.912443396161</v>
      </c>
      <c r="I221" s="13">
        <f t="shared" si="69"/>
        <v>969308.6926436862</v>
      </c>
      <c r="J221" s="15">
        <f t="shared" si="62"/>
        <v>0.52528733233434743</v>
      </c>
      <c r="K221" s="13">
        <f t="shared" si="70"/>
        <v>424998.8000553681</v>
      </c>
      <c r="L221" s="13">
        <f t="shared" si="79"/>
        <v>28172336.543597452</v>
      </c>
      <c r="M221" s="15">
        <f t="shared" si="71"/>
        <v>0.52528733233434732</v>
      </c>
      <c r="N221" s="13">
        <f t="shared" si="63"/>
        <v>4973.4451790404473</v>
      </c>
      <c r="O221" s="13">
        <f t="shared" si="72"/>
        <v>544309.89258831751</v>
      </c>
      <c r="P221" s="15">
        <f t="shared" si="64"/>
        <v>0.40218300152656711</v>
      </c>
      <c r="Q221" s="7">
        <f t="shared" si="73"/>
        <v>1353388.6079776594</v>
      </c>
      <c r="R221" s="7">
        <f t="shared" si="74"/>
        <v>809078.71538934193</v>
      </c>
      <c r="S221" s="13">
        <f>IF('Calc (3)'!$AD$32="Sim",R221,Q221)</f>
        <v>809078.71538934193</v>
      </c>
      <c r="T221" s="9">
        <f t="shared" si="75"/>
        <v>217</v>
      </c>
      <c r="U221" s="17">
        <f t="shared" ca="1" si="76"/>
        <v>52110</v>
      </c>
      <c r="V221" s="22"/>
      <c r="W221" s="22"/>
      <c r="X221" s="22"/>
    </row>
    <row r="222" spans="2:24" x14ac:dyDescent="0.2">
      <c r="B222" s="17">
        <f t="shared" ca="1" si="65"/>
        <v>52110</v>
      </c>
      <c r="C222" s="9">
        <f t="shared" si="77"/>
        <v>218</v>
      </c>
      <c r="D222" s="9"/>
      <c r="E222" s="13">
        <f t="shared" si="66"/>
        <v>2426.2689092397454</v>
      </c>
      <c r="F222" s="14">
        <f t="shared" si="78"/>
        <v>386506.18424321356</v>
      </c>
      <c r="G222" s="15">
        <f t="shared" si="67"/>
        <v>0.47332027045014746</v>
      </c>
      <c r="H222" s="13">
        <f t="shared" si="68"/>
        <v>13476.609837324149</v>
      </c>
      <c r="I222" s="13">
        <f t="shared" si="69"/>
        <v>982785.30248101032</v>
      </c>
      <c r="J222" s="15">
        <f t="shared" si="62"/>
        <v>0.52667972954985254</v>
      </c>
      <c r="K222" s="13">
        <f t="shared" si="70"/>
        <v>430078.71265044779</v>
      </c>
      <c r="L222" s="13">
        <f t="shared" si="79"/>
        <v>28602415.2562479</v>
      </c>
      <c r="M222" s="15">
        <f t="shared" si="71"/>
        <v>0.52667972954985254</v>
      </c>
      <c r="N222" s="13">
        <f t="shared" si="63"/>
        <v>5031.885227352328</v>
      </c>
      <c r="O222" s="13">
        <f t="shared" si="72"/>
        <v>552706.58983056189</v>
      </c>
      <c r="P222" s="15">
        <f t="shared" si="64"/>
        <v>0.40364421687365504</v>
      </c>
      <c r="Q222" s="7">
        <f t="shared" si="73"/>
        <v>1369291.4867242232</v>
      </c>
      <c r="R222" s="7">
        <f t="shared" si="74"/>
        <v>816584.89689366135</v>
      </c>
      <c r="S222" s="13">
        <f>IF('Calc (3)'!$AD$32="Sim",R222,Q222)</f>
        <v>816584.89689366135</v>
      </c>
      <c r="T222" s="9">
        <f t="shared" si="75"/>
        <v>218</v>
      </c>
      <c r="U222" s="17">
        <f t="shared" ca="1" si="76"/>
        <v>52140</v>
      </c>
      <c r="V222" s="22"/>
      <c r="W222" s="22"/>
      <c r="X222" s="22"/>
    </row>
    <row r="223" spans="2:24" x14ac:dyDescent="0.2">
      <c r="B223" s="17">
        <f t="shared" ca="1" si="65"/>
        <v>52140</v>
      </c>
      <c r="C223" s="9">
        <f t="shared" si="77"/>
        <v>219</v>
      </c>
      <c r="D223" s="9"/>
      <c r="E223" s="13">
        <f t="shared" si="66"/>
        <v>2436.1538291084057</v>
      </c>
      <c r="F223" s="14">
        <f t="shared" si="78"/>
        <v>388942.33807232196</v>
      </c>
      <c r="G223" s="15">
        <f t="shared" si="67"/>
        <v>0.47193262859360974</v>
      </c>
      <c r="H223" s="13">
        <f t="shared" si="68"/>
        <v>13634.965605131272</v>
      </c>
      <c r="I223" s="13">
        <f t="shared" si="69"/>
        <v>996420.26808614156</v>
      </c>
      <c r="J223" s="15">
        <f t="shared" si="62"/>
        <v>0.52806737140639026</v>
      </c>
      <c r="K223" s="13">
        <f t="shared" si="70"/>
        <v>435205.67481544067</v>
      </c>
      <c r="L223" s="13">
        <f t="shared" si="79"/>
        <v>29037620.931063343</v>
      </c>
      <c r="M223" s="15">
        <f t="shared" si="71"/>
        <v>0.52806737140639026</v>
      </c>
      <c r="N223" s="13">
        <f t="shared" si="63"/>
        <v>5090.9435281248152</v>
      </c>
      <c r="O223" s="13">
        <f t="shared" si="72"/>
        <v>561214.59327070042</v>
      </c>
      <c r="P223" s="15">
        <f t="shared" si="64"/>
        <v>0.4051030327914788</v>
      </c>
      <c r="Q223" s="7">
        <f t="shared" si="73"/>
        <v>1385362.6061584631</v>
      </c>
      <c r="R223" s="7">
        <f t="shared" si="74"/>
        <v>824148.01288776263</v>
      </c>
      <c r="S223" s="13">
        <f>IF('Calc (3)'!$AD$32="Sim",R223,Q223)</f>
        <v>824148.01288776263</v>
      </c>
      <c r="T223" s="9">
        <f t="shared" si="75"/>
        <v>219</v>
      </c>
      <c r="U223" s="17">
        <f t="shared" ca="1" si="76"/>
        <v>52171</v>
      </c>
      <c r="V223" s="22"/>
      <c r="W223" s="22"/>
      <c r="X223" s="22"/>
    </row>
    <row r="224" spans="2:24" x14ac:dyDescent="0.2">
      <c r="B224" s="17">
        <f t="shared" ca="1" si="65"/>
        <v>52171</v>
      </c>
      <c r="C224" s="9">
        <f t="shared" si="77"/>
        <v>220</v>
      </c>
      <c r="D224" s="9"/>
      <c r="E224" s="13">
        <f t="shared" si="66"/>
        <v>2446.0790213642022</v>
      </c>
      <c r="F224" s="14">
        <f t="shared" si="78"/>
        <v>391388.41709368618</v>
      </c>
      <c r="G224" s="15">
        <f t="shared" si="67"/>
        <v>0.47054972119676819</v>
      </c>
      <c r="H224" s="13">
        <f t="shared" si="68"/>
        <v>13794.996659765258</v>
      </c>
      <c r="I224" s="13">
        <f t="shared" si="69"/>
        <v>1010215.2647459068</v>
      </c>
      <c r="J224" s="15">
        <f t="shared" si="62"/>
        <v>0.52945027880323181</v>
      </c>
      <c r="K224" s="13">
        <f t="shared" si="70"/>
        <v>440380.0432047327</v>
      </c>
      <c r="L224" s="13">
        <f t="shared" si="79"/>
        <v>29478000.974268075</v>
      </c>
      <c r="M224" s="15">
        <f t="shared" si="71"/>
        <v>0.52945027880323181</v>
      </c>
      <c r="N224" s="13">
        <f t="shared" si="63"/>
        <v>5150.6263857110362</v>
      </c>
      <c r="O224" s="13">
        <f t="shared" si="72"/>
        <v>569835.22154117364</v>
      </c>
      <c r="P224" s="15">
        <f t="shared" si="64"/>
        <v>0.4065594496678761</v>
      </c>
      <c r="Q224" s="7">
        <f t="shared" si="73"/>
        <v>1401603.6818395925</v>
      </c>
      <c r="R224" s="7">
        <f t="shared" si="74"/>
        <v>831768.46029841888</v>
      </c>
      <c r="S224" s="13">
        <f>IF('Calc (3)'!$AD$32="Sim",R224,Q224)</f>
        <v>831768.46029841888</v>
      </c>
      <c r="T224" s="9">
        <f t="shared" si="75"/>
        <v>220</v>
      </c>
      <c r="U224" s="17">
        <f t="shared" ca="1" si="76"/>
        <v>52201</v>
      </c>
      <c r="V224" s="22"/>
      <c r="W224" s="22"/>
      <c r="X224" s="22"/>
    </row>
    <row r="225" spans="2:24" x14ac:dyDescent="0.2">
      <c r="B225" s="17">
        <f t="shared" ca="1" si="65"/>
        <v>52201</v>
      </c>
      <c r="C225" s="9">
        <f t="shared" si="77"/>
        <v>221</v>
      </c>
      <c r="D225" s="9"/>
      <c r="E225" s="13">
        <f t="shared" si="66"/>
        <v>2456.0446500818252</v>
      </c>
      <c r="F225" s="14">
        <f t="shared" si="78"/>
        <v>393844.46174376801</v>
      </c>
      <c r="G225" s="15">
        <f t="shared" si="67"/>
        <v>0.46917152751085217</v>
      </c>
      <c r="H225" s="13">
        <f t="shared" si="68"/>
        <v>13956.720084214719</v>
      </c>
      <c r="I225" s="13">
        <f t="shared" si="69"/>
        <v>1024171.9848301215</v>
      </c>
      <c r="J225" s="15">
        <f t="shared" si="62"/>
        <v>0.53082847248914788</v>
      </c>
      <c r="K225" s="13">
        <f t="shared" si="70"/>
        <v>445602.17695844563</v>
      </c>
      <c r="L225" s="13">
        <f t="shared" si="79"/>
        <v>29923603.151226521</v>
      </c>
      <c r="M225" s="15">
        <f t="shared" si="71"/>
        <v>0.53082847248914777</v>
      </c>
      <c r="N225" s="13">
        <f t="shared" si="63"/>
        <v>5210.940167843788</v>
      </c>
      <c r="O225" s="13">
        <f t="shared" si="72"/>
        <v>578569.80787167547</v>
      </c>
      <c r="P225" s="15">
        <f t="shared" si="64"/>
        <v>0.40801346787590148</v>
      </c>
      <c r="Q225" s="7">
        <f t="shared" si="73"/>
        <v>1418016.4465738891</v>
      </c>
      <c r="R225" s="7">
        <f t="shared" si="74"/>
        <v>839446.63870221365</v>
      </c>
      <c r="S225" s="13">
        <f>IF('Calc (3)'!$AD$32="Sim",R225,Q225)</f>
        <v>839446.63870221365</v>
      </c>
      <c r="T225" s="9">
        <f t="shared" si="75"/>
        <v>221</v>
      </c>
      <c r="U225" s="17">
        <f t="shared" ca="1" si="76"/>
        <v>52232</v>
      </c>
      <c r="V225" s="22"/>
      <c r="W225" s="22"/>
      <c r="X225" s="22"/>
    </row>
    <row r="226" spans="2:24" x14ac:dyDescent="0.2">
      <c r="B226" s="17">
        <f t="shared" ca="1" si="65"/>
        <v>52232</v>
      </c>
      <c r="C226" s="9">
        <f t="shared" si="77"/>
        <v>222</v>
      </c>
      <c r="D226" s="9"/>
      <c r="E226" s="13">
        <f t="shared" si="66"/>
        <v>2466.0508800044258</v>
      </c>
      <c r="F226" s="14">
        <f t="shared" si="78"/>
        <v>396310.51262377243</v>
      </c>
      <c r="G226" s="15">
        <f t="shared" si="67"/>
        <v>0.4677980269355172</v>
      </c>
      <c r="H226" s="13">
        <f t="shared" si="68"/>
        <v>14120.153133208996</v>
      </c>
      <c r="I226" s="13">
        <f t="shared" si="69"/>
        <v>1038292.1379633305</v>
      </c>
      <c r="J226" s="15">
        <f t="shared" si="62"/>
        <v>0.5322019730644828</v>
      </c>
      <c r="K226" s="13">
        <f t="shared" si="70"/>
        <v>450872.43771902827</v>
      </c>
      <c r="L226" s="13">
        <f t="shared" si="79"/>
        <v>30374475.588945549</v>
      </c>
      <c r="M226" s="15">
        <f t="shared" si="71"/>
        <v>0.5322019730644828</v>
      </c>
      <c r="N226" s="13">
        <f t="shared" si="63"/>
        <v>5271.8913062691081</v>
      </c>
      <c r="O226" s="13">
        <f t="shared" si="72"/>
        <v>587419.70024430193</v>
      </c>
      <c r="P226" s="15">
        <f t="shared" si="64"/>
        <v>0.40946508777458618</v>
      </c>
      <c r="Q226" s="7">
        <f t="shared" si="73"/>
        <v>1434602.6505871026</v>
      </c>
      <c r="R226" s="7">
        <f t="shared" si="74"/>
        <v>847182.9503428007</v>
      </c>
      <c r="S226" s="13">
        <f>IF('Calc (3)'!$AD$32="Sim",R226,Q226)</f>
        <v>847182.9503428007</v>
      </c>
      <c r="T226" s="9">
        <f t="shared" si="75"/>
        <v>222</v>
      </c>
      <c r="U226" s="17">
        <f t="shared" ca="1" si="76"/>
        <v>52263</v>
      </c>
      <c r="V226" s="22"/>
      <c r="W226" s="22"/>
      <c r="X226" s="22"/>
    </row>
    <row r="227" spans="2:24" x14ac:dyDescent="0.2">
      <c r="B227" s="17">
        <f t="shared" ca="1" si="65"/>
        <v>52263</v>
      </c>
      <c r="C227" s="9">
        <f t="shared" si="77"/>
        <v>223</v>
      </c>
      <c r="D227" s="9"/>
      <c r="E227" s="13">
        <f t="shared" si="66"/>
        <v>2476.0978765463387</v>
      </c>
      <c r="F227" s="14">
        <f t="shared" si="78"/>
        <v>398786.61050031875</v>
      </c>
      <c r="G227" s="15">
        <f t="shared" si="67"/>
        <v>0.46642919901681529</v>
      </c>
      <c r="H227" s="13">
        <f t="shared" si="68"/>
        <v>14285.313234934951</v>
      </c>
      <c r="I227" s="13">
        <f t="shared" si="69"/>
        <v>1052577.4511982654</v>
      </c>
      <c r="J227" s="15">
        <f t="shared" si="62"/>
        <v>0.53357080098318477</v>
      </c>
      <c r="K227" s="13">
        <f t="shared" si="70"/>
        <v>456191.18964795634</v>
      </c>
      <c r="L227" s="13">
        <f t="shared" si="79"/>
        <v>30830666.778593507</v>
      </c>
      <c r="M227" s="15">
        <f t="shared" si="71"/>
        <v>0.53357080098318466</v>
      </c>
      <c r="N227" s="13">
        <f t="shared" si="63"/>
        <v>5333.4862973861673</v>
      </c>
      <c r="O227" s="13">
        <f t="shared" si="72"/>
        <v>596386.26155030902</v>
      </c>
      <c r="P227" s="15">
        <f t="shared" si="64"/>
        <v>0.41091430970967857</v>
      </c>
      <c r="Q227" s="7">
        <f t="shared" si="73"/>
        <v>1451364.0616985841</v>
      </c>
      <c r="R227" s="7">
        <f t="shared" si="74"/>
        <v>854977.8001482751</v>
      </c>
      <c r="S227" s="13">
        <f>IF('Calc (3)'!$AD$32="Sim",R227,Q227)</f>
        <v>854977.8001482751</v>
      </c>
      <c r="T227" s="9">
        <f t="shared" si="75"/>
        <v>223</v>
      </c>
      <c r="U227" s="17">
        <f t="shared" ca="1" si="76"/>
        <v>52291</v>
      </c>
      <c r="V227" s="22"/>
      <c r="W227" s="22"/>
      <c r="X227" s="22"/>
    </row>
    <row r="228" spans="2:24" x14ac:dyDescent="0.2">
      <c r="B228" s="17">
        <f t="shared" ca="1" si="65"/>
        <v>52291</v>
      </c>
      <c r="C228" s="9">
        <f t="shared" si="77"/>
        <v>224</v>
      </c>
      <c r="D228" s="9"/>
      <c r="E228" s="13">
        <f t="shared" si="66"/>
        <v>2486.1858057958175</v>
      </c>
      <c r="F228" s="14">
        <f t="shared" si="78"/>
        <v>401272.79630611459</v>
      </c>
      <c r="G228" s="15">
        <f t="shared" si="67"/>
        <v>0.46506502344520789</v>
      </c>
      <c r="H228" s="13">
        <f t="shared" si="68"/>
        <v>14452.217992770886</v>
      </c>
      <c r="I228" s="13">
        <f t="shared" si="69"/>
        <v>1067029.6691910364</v>
      </c>
      <c r="J228" s="15">
        <f t="shared" si="62"/>
        <v>0.53493497655479216</v>
      </c>
      <c r="K228" s="13">
        <f t="shared" si="70"/>
        <v>461558.79944254091</v>
      </c>
      <c r="L228" s="13">
        <f t="shared" si="79"/>
        <v>31292225.578036048</v>
      </c>
      <c r="M228" s="15">
        <f t="shared" si="71"/>
        <v>0.53493497655479216</v>
      </c>
      <c r="N228" s="13">
        <f t="shared" si="63"/>
        <v>5395.7317028935358</v>
      </c>
      <c r="O228" s="13">
        <f t="shared" si="72"/>
        <v>605470.86974849529</v>
      </c>
      <c r="P228" s="15">
        <f t="shared" si="64"/>
        <v>0.41236113401436647</v>
      </c>
      <c r="Q228" s="7">
        <f t="shared" si="73"/>
        <v>1468302.4654971508</v>
      </c>
      <c r="R228" s="7">
        <f t="shared" si="74"/>
        <v>862831.5957486555</v>
      </c>
      <c r="S228" s="13">
        <f>IF('Calc (3)'!$AD$32="Sim",R228,Q228)</f>
        <v>862831.5957486555</v>
      </c>
      <c r="T228" s="9">
        <f t="shared" si="75"/>
        <v>224</v>
      </c>
      <c r="U228" s="17">
        <f t="shared" ca="1" si="76"/>
        <v>52322</v>
      </c>
      <c r="V228" s="22"/>
      <c r="W228" s="22"/>
      <c r="X228" s="22"/>
    </row>
    <row r="229" spans="2:24" x14ac:dyDescent="0.2">
      <c r="B229" s="17">
        <f t="shared" ca="1" si="65"/>
        <v>52322</v>
      </c>
      <c r="C229" s="9">
        <f t="shared" si="77"/>
        <v>225</v>
      </c>
      <c r="D229" s="9"/>
      <c r="E229" s="13">
        <f t="shared" si="66"/>
        <v>2496.3148345177792</v>
      </c>
      <c r="F229" s="14">
        <f t="shared" si="78"/>
        <v>403769.11114063236</v>
      </c>
      <c r="G229" s="15">
        <f t="shared" si="67"/>
        <v>0.46370548005362078</v>
      </c>
      <c r="H229" s="13">
        <f t="shared" si="68"/>
        <v>14620.885187037753</v>
      </c>
      <c r="I229" s="13">
        <f t="shared" si="69"/>
        <v>1081650.5543780741</v>
      </c>
      <c r="J229" s="15">
        <f t="shared" si="62"/>
        <v>0.53629451994637922</v>
      </c>
      <c r="K229" s="13">
        <f t="shared" si="70"/>
        <v>466975.63635284634</v>
      </c>
      <c r="L229" s="13">
        <f t="shared" si="79"/>
        <v>31759201.214388892</v>
      </c>
      <c r="M229" s="15">
        <f t="shared" si="71"/>
        <v>0.53629451994637922</v>
      </c>
      <c r="N229" s="13">
        <f t="shared" si="63"/>
        <v>5458.6341504419061</v>
      </c>
      <c r="O229" s="13">
        <f t="shared" si="72"/>
        <v>614674.91802522773</v>
      </c>
      <c r="P229" s="15">
        <f t="shared" si="64"/>
        <v>0.41380556100998173</v>
      </c>
      <c r="Q229" s="7">
        <f t="shared" si="73"/>
        <v>1485419.6655187064</v>
      </c>
      <c r="R229" s="7">
        <f t="shared" si="74"/>
        <v>870744.7474934787</v>
      </c>
      <c r="S229" s="13">
        <f>IF('Calc (3)'!$AD$32="Sim",R229,Q229)</f>
        <v>870744.7474934787</v>
      </c>
      <c r="T229" s="9">
        <f t="shared" si="75"/>
        <v>225</v>
      </c>
      <c r="U229" s="17">
        <f t="shared" ca="1" si="76"/>
        <v>52352</v>
      </c>
      <c r="V229" s="22"/>
      <c r="W229" s="22"/>
      <c r="X229" s="22"/>
    </row>
    <row r="230" spans="2:24" x14ac:dyDescent="0.2">
      <c r="B230" s="17">
        <f t="shared" ca="1" si="65"/>
        <v>52352</v>
      </c>
      <c r="C230" s="9">
        <f t="shared" si="77"/>
        <v>226</v>
      </c>
      <c r="D230" s="9"/>
      <c r="E230" s="13">
        <f t="shared" si="66"/>
        <v>2506.4851301565623</v>
      </c>
      <c r="F230" s="14">
        <f t="shared" si="78"/>
        <v>406275.59627078893</v>
      </c>
      <c r="G230" s="15">
        <f t="shared" si="67"/>
        <v>0.46235054881554061</v>
      </c>
      <c r="H230" s="13">
        <f t="shared" si="68"/>
        <v>14791.332776767835</v>
      </c>
      <c r="I230" s="13">
        <f t="shared" si="69"/>
        <v>1096441.887154842</v>
      </c>
      <c r="J230" s="15">
        <f t="shared" si="62"/>
        <v>0.53764945118445939</v>
      </c>
      <c r="K230" s="13">
        <f t="shared" si="70"/>
        <v>472442.07219871832</v>
      </c>
      <c r="L230" s="13">
        <f t="shared" si="79"/>
        <v>32231643.286587611</v>
      </c>
      <c r="M230" s="15">
        <f t="shared" si="71"/>
        <v>0.53764945118445939</v>
      </c>
      <c r="N230" s="13">
        <f t="shared" si="63"/>
        <v>5522.2003342933167</v>
      </c>
      <c r="O230" s="13">
        <f t="shared" si="72"/>
        <v>623999.81495612371</v>
      </c>
      <c r="P230" s="15">
        <f t="shared" si="64"/>
        <v>0.41524759100668657</v>
      </c>
      <c r="Q230" s="7">
        <f t="shared" si="73"/>
        <v>1502717.483425631</v>
      </c>
      <c r="R230" s="7">
        <f t="shared" si="74"/>
        <v>878717.66846950725</v>
      </c>
      <c r="S230" s="13">
        <f>IF('Calc (3)'!$AD$32="Sim",R230,Q230)</f>
        <v>878717.66846950725</v>
      </c>
      <c r="T230" s="9">
        <f t="shared" si="75"/>
        <v>226</v>
      </c>
      <c r="U230" s="17">
        <f t="shared" ca="1" si="76"/>
        <v>52383</v>
      </c>
      <c r="V230" s="22"/>
      <c r="W230" s="22"/>
      <c r="X230" s="22"/>
    </row>
    <row r="231" spans="2:24" x14ac:dyDescent="0.2">
      <c r="B231" s="17">
        <f t="shared" ca="1" si="65"/>
        <v>52383</v>
      </c>
      <c r="C231" s="9">
        <f t="shared" si="77"/>
        <v>227</v>
      </c>
      <c r="D231" s="9"/>
      <c r="E231" s="13">
        <f t="shared" si="66"/>
        <v>2516.6968608386942</v>
      </c>
      <c r="F231" s="14">
        <f t="shared" si="78"/>
        <v>408792.29313162761</v>
      </c>
      <c r="G231" s="15">
        <f t="shared" si="67"/>
        <v>0.46100020984314999</v>
      </c>
      <c r="H231" s="13">
        <f t="shared" si="68"/>
        <v>14963.578901491052</v>
      </c>
      <c r="I231" s="13">
        <f t="shared" si="69"/>
        <v>1111405.4660563332</v>
      </c>
      <c r="J231" s="15">
        <f t="shared" si="62"/>
        <v>0.53899979015684996</v>
      </c>
      <c r="K231" s="13">
        <f t="shared" si="70"/>
        <v>477958.481386923</v>
      </c>
      <c r="L231" s="13">
        <f t="shared" si="79"/>
        <v>32709601.767974533</v>
      </c>
      <c r="M231" s="15">
        <f t="shared" si="71"/>
        <v>0.53899979015685007</v>
      </c>
      <c r="N231" s="13">
        <f t="shared" si="63"/>
        <v>5586.437015986955</v>
      </c>
      <c r="O231" s="13">
        <f t="shared" si="72"/>
        <v>633446.98466941016</v>
      </c>
      <c r="P231" s="15">
        <f t="shared" si="64"/>
        <v>0.41668722430414351</v>
      </c>
      <c r="Q231" s="7">
        <f t="shared" si="73"/>
        <v>1520197.7591879608</v>
      </c>
      <c r="R231" s="7">
        <f t="shared" si="74"/>
        <v>886750.77451855061</v>
      </c>
      <c r="S231" s="13">
        <f>IF('Calc (3)'!$AD$32="Sim",R231,Q231)</f>
        <v>886750.77451855061</v>
      </c>
      <c r="T231" s="9">
        <f t="shared" si="75"/>
        <v>227</v>
      </c>
      <c r="U231" s="17">
        <f t="shared" ca="1" si="76"/>
        <v>52413</v>
      </c>
      <c r="V231" s="22"/>
      <c r="W231" s="22"/>
      <c r="X231" s="22"/>
    </row>
    <row r="232" spans="2:24" x14ac:dyDescent="0.2">
      <c r="B232" s="17">
        <f t="shared" ca="1" si="65"/>
        <v>52413</v>
      </c>
      <c r="C232" s="9">
        <f t="shared" si="77"/>
        <v>228</v>
      </c>
      <c r="D232" s="9">
        <v>19</v>
      </c>
      <c r="E232" s="13">
        <f t="shared" si="66"/>
        <v>2526.9501953756703</v>
      </c>
      <c r="F232" s="14">
        <f t="shared" si="78"/>
        <v>411319.24332700326</v>
      </c>
      <c r="G232" s="15">
        <f t="shared" si="67"/>
        <v>0.4596544433855026</v>
      </c>
      <c r="H232" s="13">
        <f t="shared" si="68"/>
        <v>15137.641883039099</v>
      </c>
      <c r="I232" s="13">
        <f t="shared" si="69"/>
        <v>1126543.1079393723</v>
      </c>
      <c r="J232" s="15">
        <f t="shared" si="62"/>
        <v>0.54034555661449746</v>
      </c>
      <c r="K232" s="13">
        <f t="shared" si="70"/>
        <v>483525.24092839722</v>
      </c>
      <c r="L232" s="13">
        <f t="shared" si="79"/>
        <v>33193127.00890293</v>
      </c>
      <c r="M232" s="15">
        <f t="shared" si="71"/>
        <v>0.54034555661449735</v>
      </c>
      <c r="N232" s="13">
        <f t="shared" si="63"/>
        <v>5651.351025011596</v>
      </c>
      <c r="O232" s="13">
        <f t="shared" si="72"/>
        <v>643017.86701097502</v>
      </c>
      <c r="P232" s="15">
        <f t="shared" si="64"/>
        <v>0.41812446119216878</v>
      </c>
      <c r="Q232" s="7">
        <f t="shared" si="73"/>
        <v>1537862.3512663755</v>
      </c>
      <c r="R232" s="7">
        <f t="shared" si="74"/>
        <v>894844.48425540049</v>
      </c>
      <c r="S232" s="13">
        <f>IF('Calc (3)'!$AD$32="Sim",R232,Q232)</f>
        <v>894844.48425540049</v>
      </c>
      <c r="T232" s="9">
        <f t="shared" si="75"/>
        <v>228</v>
      </c>
      <c r="U232" s="17">
        <f t="shared" ca="1" si="76"/>
        <v>52444</v>
      </c>
      <c r="V232" s="22"/>
      <c r="W232" s="22"/>
      <c r="X232" s="22"/>
    </row>
    <row r="233" spans="2:24" x14ac:dyDescent="0.2">
      <c r="B233" s="17">
        <f t="shared" ca="1" si="65"/>
        <v>52444</v>
      </c>
      <c r="C233" s="9">
        <f t="shared" si="77"/>
        <v>229</v>
      </c>
      <c r="D233" s="9"/>
      <c r="E233" s="13">
        <f t="shared" si="66"/>
        <v>2537.2453032667454</v>
      </c>
      <c r="F233" s="14">
        <f t="shared" si="78"/>
        <v>413856.48863027</v>
      </c>
      <c r="G233" s="15">
        <f t="shared" si="67"/>
        <v>0.45831322982673517</v>
      </c>
      <c r="H233" s="13">
        <f t="shared" si="68"/>
        <v>15313.540227367568</v>
      </c>
      <c r="I233" s="13">
        <f t="shared" si="69"/>
        <v>1141856.6481667398</v>
      </c>
      <c r="J233" s="15">
        <f t="shared" si="62"/>
        <v>0.54168677017326483</v>
      </c>
      <c r="K233" s="13">
        <f t="shared" si="70"/>
        <v>489142.73045561148</v>
      </c>
      <c r="L233" s="13">
        <f t="shared" si="79"/>
        <v>33682269.739358544</v>
      </c>
      <c r="M233" s="15">
        <f t="shared" si="71"/>
        <v>0.54168677017326483</v>
      </c>
      <c r="N233" s="13">
        <f t="shared" si="63"/>
        <v>5716.9492594847525</v>
      </c>
      <c r="O233" s="13">
        <f t="shared" si="72"/>
        <v>652713.91771112825</v>
      </c>
      <c r="P233" s="15">
        <f t="shared" si="64"/>
        <v>0.41955930195136915</v>
      </c>
      <c r="Q233" s="7">
        <f t="shared" si="73"/>
        <v>1555713.1367970097</v>
      </c>
      <c r="R233" s="7">
        <f t="shared" si="74"/>
        <v>902999.21908588149</v>
      </c>
      <c r="S233" s="13">
        <f>IF('Calc (3)'!$AD$32="Sim",R233,Q233)</f>
        <v>902999.21908588149</v>
      </c>
      <c r="T233" s="9">
        <f t="shared" si="75"/>
        <v>229</v>
      </c>
      <c r="U233" s="17">
        <f t="shared" ca="1" si="76"/>
        <v>52475</v>
      </c>
      <c r="V233" s="22"/>
      <c r="W233" s="22"/>
      <c r="X233" s="22"/>
    </row>
    <row r="234" spans="2:24" x14ac:dyDescent="0.2">
      <c r="B234" s="17">
        <f t="shared" ca="1" si="65"/>
        <v>52475</v>
      </c>
      <c r="C234" s="9">
        <f t="shared" si="77"/>
        <v>230</v>
      </c>
      <c r="D234" s="9"/>
      <c r="E234" s="13">
        <f t="shared" si="66"/>
        <v>2547.5823547017344</v>
      </c>
      <c r="F234" s="14">
        <f t="shared" si="78"/>
        <v>416404.07098497171</v>
      </c>
      <c r="G234" s="15">
        <f t="shared" si="67"/>
        <v>0.45697654968431661</v>
      </c>
      <c r="H234" s="13">
        <f t="shared" si="68"/>
        <v>15491.292626396244</v>
      </c>
      <c r="I234" s="13">
        <f t="shared" si="69"/>
        <v>1157347.9407931361</v>
      </c>
      <c r="J234" s="15">
        <f t="shared" si="62"/>
        <v>0.54302345031568344</v>
      </c>
      <c r="K234" s="13">
        <f t="shared" si="70"/>
        <v>494811.33224004554</v>
      </c>
      <c r="L234" s="13">
        <f t="shared" si="79"/>
        <v>34177081.071598589</v>
      </c>
      <c r="M234" s="15">
        <f t="shared" si="71"/>
        <v>0.54302345031568333</v>
      </c>
      <c r="N234" s="13">
        <f t="shared" si="63"/>
        <v>5783.2386868385975</v>
      </c>
      <c r="O234" s="13">
        <f t="shared" si="72"/>
        <v>662536.6085530906</v>
      </c>
      <c r="P234" s="15">
        <f t="shared" si="64"/>
        <v>0.42099174685376373</v>
      </c>
      <c r="Q234" s="7">
        <f t="shared" si="73"/>
        <v>1573752.0117781078</v>
      </c>
      <c r="R234" s="7">
        <f t="shared" si="74"/>
        <v>911215.40322501725</v>
      </c>
      <c r="S234" s="13">
        <f>IF('Calc (3)'!$AD$32="Sim",R234,Q234)</f>
        <v>911215.40322501725</v>
      </c>
      <c r="T234" s="9">
        <f t="shared" si="75"/>
        <v>230</v>
      </c>
      <c r="U234" s="17">
        <f t="shared" ca="1" si="76"/>
        <v>52505</v>
      </c>
      <c r="V234" s="22"/>
      <c r="W234" s="22"/>
      <c r="X234" s="22"/>
    </row>
    <row r="235" spans="2:24" x14ac:dyDescent="0.2">
      <c r="B235" s="17">
        <f t="shared" ca="1" si="65"/>
        <v>52505</v>
      </c>
      <c r="C235" s="9">
        <f t="shared" si="77"/>
        <v>231</v>
      </c>
      <c r="D235" s="9"/>
      <c r="E235" s="13">
        <f t="shared" si="66"/>
        <v>2557.9615205638274</v>
      </c>
      <c r="F235" s="14">
        <f t="shared" si="78"/>
        <v>418962.03250553552</v>
      </c>
      <c r="G235" s="15">
        <f t="shared" si="67"/>
        <v>0.45564438360733273</v>
      </c>
      <c r="H235" s="13">
        <f t="shared" si="68"/>
        <v>15670.917959867753</v>
      </c>
      <c r="I235" s="13">
        <f t="shared" si="69"/>
        <v>1173018.8587530039</v>
      </c>
      <c r="J235" s="15">
        <f t="shared" si="62"/>
        <v>0.54435561639266727</v>
      </c>
      <c r="K235" s="13">
        <f t="shared" si="70"/>
        <v>500531.4312097783</v>
      </c>
      <c r="L235" s="13">
        <f t="shared" si="79"/>
        <v>34677612.50280837</v>
      </c>
      <c r="M235" s="15">
        <f t="shared" si="71"/>
        <v>0.54435561639266727</v>
      </c>
      <c r="N235" s="13">
        <f t="shared" si="63"/>
        <v>5850.2263445127173</v>
      </c>
      <c r="O235" s="13">
        <f t="shared" si="72"/>
        <v>672487.42754322558</v>
      </c>
      <c r="P235" s="15">
        <f t="shared" si="64"/>
        <v>0.42242179616338932</v>
      </c>
      <c r="Q235" s="7">
        <f t="shared" si="73"/>
        <v>1591980.8912585394</v>
      </c>
      <c r="R235" s="7">
        <f t="shared" si="74"/>
        <v>919493.46371531382</v>
      </c>
      <c r="S235" s="13">
        <f>IF('Calc (3)'!$AD$32="Sim",R235,Q235)</f>
        <v>919493.46371531382</v>
      </c>
      <c r="T235" s="9">
        <f t="shared" si="75"/>
        <v>231</v>
      </c>
      <c r="U235" s="17">
        <f t="shared" ca="1" si="76"/>
        <v>52536</v>
      </c>
      <c r="V235" s="22"/>
      <c r="W235" s="22"/>
      <c r="X235" s="22"/>
    </row>
    <row r="236" spans="2:24" x14ac:dyDescent="0.2">
      <c r="B236" s="17">
        <f t="shared" ca="1" si="65"/>
        <v>52536</v>
      </c>
      <c r="C236" s="9">
        <f t="shared" si="77"/>
        <v>232</v>
      </c>
      <c r="D236" s="9"/>
      <c r="E236" s="13">
        <f t="shared" si="66"/>
        <v>2568.3829724324137</v>
      </c>
      <c r="F236" s="14">
        <f t="shared" si="78"/>
        <v>421530.41547796794</v>
      </c>
      <c r="G236" s="15">
        <f t="shared" si="67"/>
        <v>0.45431671237480586</v>
      </c>
      <c r="H236" s="13">
        <f t="shared" si="68"/>
        <v>15852.435297224736</v>
      </c>
      <c r="I236" s="13">
        <f t="shared" si="69"/>
        <v>1188871.2940502285</v>
      </c>
      <c r="J236" s="15">
        <f t="shared" si="62"/>
        <v>0.54568328762519414</v>
      </c>
      <c r="K236" s="13">
        <f t="shared" si="70"/>
        <v>506303.41496719164</v>
      </c>
      <c r="L236" s="13">
        <f t="shared" si="79"/>
        <v>35183915.917775564</v>
      </c>
      <c r="M236" s="15">
        <f t="shared" si="71"/>
        <v>0.54568328762519414</v>
      </c>
      <c r="N236" s="13">
        <f t="shared" si="63"/>
        <v>5917.9193406537916</v>
      </c>
      <c r="O236" s="13">
        <f t="shared" si="72"/>
        <v>682567.87908303679</v>
      </c>
      <c r="P236" s="15">
        <f t="shared" si="64"/>
        <v>0.42384945013689196</v>
      </c>
      <c r="Q236" s="7">
        <f t="shared" si="73"/>
        <v>1610401.7095281964</v>
      </c>
      <c r="R236" s="7">
        <f t="shared" si="74"/>
        <v>927833.83044515958</v>
      </c>
      <c r="S236" s="13">
        <f>IF('Calc (3)'!$AD$32="Sim",R236,Q236)</f>
        <v>927833.83044515958</v>
      </c>
      <c r="T236" s="9">
        <f t="shared" si="75"/>
        <v>232</v>
      </c>
      <c r="U236" s="17">
        <f t="shared" ca="1" si="76"/>
        <v>52566</v>
      </c>
      <c r="V236" s="22"/>
      <c r="W236" s="22"/>
      <c r="X236" s="22"/>
    </row>
    <row r="237" spans="2:24" x14ac:dyDescent="0.2">
      <c r="B237" s="17">
        <f t="shared" ca="1" si="65"/>
        <v>52566</v>
      </c>
      <c r="C237" s="9">
        <f t="shared" si="77"/>
        <v>233</v>
      </c>
      <c r="D237" s="9"/>
      <c r="E237" s="13">
        <f t="shared" si="66"/>
        <v>2578.8468825859181</v>
      </c>
      <c r="F237" s="14">
        <f t="shared" si="78"/>
        <v>424109.26236055384</v>
      </c>
      <c r="G237" s="15">
        <f t="shared" si="67"/>
        <v>0.4529935168940486</v>
      </c>
      <c r="H237" s="13">
        <f t="shared" si="68"/>
        <v>16035.863899505774</v>
      </c>
      <c r="I237" s="13">
        <f t="shared" si="69"/>
        <v>1204907.1579497342</v>
      </c>
      <c r="J237" s="15">
        <f t="shared" si="62"/>
        <v>0.54700648310595135</v>
      </c>
      <c r="K237" s="13">
        <f t="shared" si="70"/>
        <v>512127.67380678968</v>
      </c>
      <c r="L237" s="13">
        <f t="shared" si="79"/>
        <v>35696043.59158235</v>
      </c>
      <c r="M237" s="15">
        <f t="shared" si="71"/>
        <v>0.54700648310595135</v>
      </c>
      <c r="N237" s="13">
        <f t="shared" si="63"/>
        <v>5986.3248548222355</v>
      </c>
      <c r="O237" s="13">
        <f t="shared" si="72"/>
        <v>692779.48414294445</v>
      </c>
      <c r="P237" s="15">
        <f t="shared" si="64"/>
        <v>0.42527470902410353</v>
      </c>
      <c r="Q237" s="7">
        <f t="shared" si="73"/>
        <v>1629016.420310288</v>
      </c>
      <c r="R237" s="7">
        <f t="shared" si="74"/>
        <v>936236.93616734352</v>
      </c>
      <c r="S237" s="13">
        <f>IF('Calc (3)'!$AD$32="Sim",R237,Q237)</f>
        <v>936236.93616734352</v>
      </c>
      <c r="T237" s="9">
        <f t="shared" si="75"/>
        <v>233</v>
      </c>
      <c r="U237" s="17">
        <f t="shared" ca="1" si="76"/>
        <v>52597</v>
      </c>
      <c r="V237" s="22"/>
      <c r="W237" s="22"/>
      <c r="X237" s="22"/>
    </row>
    <row r="238" spans="2:24" x14ac:dyDescent="0.2">
      <c r="B238" s="17">
        <f t="shared" ca="1" si="65"/>
        <v>52597</v>
      </c>
      <c r="C238" s="9">
        <f t="shared" si="77"/>
        <v>234</v>
      </c>
      <c r="D238" s="9"/>
      <c r="E238" s="13">
        <f t="shared" si="66"/>
        <v>2589.3534240046488</v>
      </c>
      <c r="F238" s="14">
        <f t="shared" si="78"/>
        <v>426698.61578455847</v>
      </c>
      <c r="G238" s="15">
        <f t="shared" si="67"/>
        <v>0.45167477819905066</v>
      </c>
      <c r="H238" s="13">
        <f t="shared" si="68"/>
        <v>16221.223221260179</v>
      </c>
      <c r="I238" s="13">
        <f t="shared" si="69"/>
        <v>1221128.3811709944</v>
      </c>
      <c r="J238" s="15">
        <f t="shared" si="62"/>
        <v>0.54832522180094934</v>
      </c>
      <c r="K238" s="13">
        <f t="shared" si="70"/>
        <v>518004.60073313396</v>
      </c>
      <c r="L238" s="13">
        <f t="shared" si="79"/>
        <v>36214048.192315482</v>
      </c>
      <c r="M238" s="15">
        <f t="shared" si="71"/>
        <v>0.54832522180094934</v>
      </c>
      <c r="N238" s="13">
        <f t="shared" si="63"/>
        <v>6055.4501387058926</v>
      </c>
      <c r="O238" s="13">
        <f t="shared" si="72"/>
        <v>703123.78043786041</v>
      </c>
      <c r="P238" s="15">
        <f t="shared" si="64"/>
        <v>0.42669757306860406</v>
      </c>
      <c r="Q238" s="7">
        <f t="shared" si="73"/>
        <v>1647826.9969555528</v>
      </c>
      <c r="R238" s="7">
        <f t="shared" si="74"/>
        <v>944703.21651769243</v>
      </c>
      <c r="S238" s="13">
        <f>IF('Calc (3)'!$AD$32="Sim",R238,Q238)</f>
        <v>944703.21651769243</v>
      </c>
      <c r="T238" s="9">
        <f t="shared" si="75"/>
        <v>234</v>
      </c>
      <c r="U238" s="17">
        <f t="shared" ca="1" si="76"/>
        <v>52628</v>
      </c>
      <c r="V238" s="22"/>
      <c r="W238" s="22"/>
      <c r="X238" s="22"/>
    </row>
    <row r="239" spans="2:24" x14ac:dyDescent="0.2">
      <c r="B239" s="17">
        <f t="shared" ca="1" si="65"/>
        <v>52628</v>
      </c>
      <c r="C239" s="9">
        <f t="shared" si="77"/>
        <v>235</v>
      </c>
      <c r="D239" s="9"/>
      <c r="E239" s="13">
        <f t="shared" si="66"/>
        <v>2599.9027703736574</v>
      </c>
      <c r="F239" s="14">
        <f t="shared" si="78"/>
        <v>429298.51855493215</v>
      </c>
      <c r="G239" s="15">
        <f t="shared" si="67"/>
        <v>0.45036047744889784</v>
      </c>
      <c r="H239" s="13">
        <f t="shared" si="68"/>
        <v>16408.532912481922</v>
      </c>
      <c r="I239" s="13">
        <f t="shared" si="69"/>
        <v>1237536.9140834762</v>
      </c>
      <c r="J239" s="15">
        <f t="shared" si="62"/>
        <v>0.54963952255110216</v>
      </c>
      <c r="K239" s="13">
        <f t="shared" si="70"/>
        <v>523934.59147889499</v>
      </c>
      <c r="L239" s="13">
        <f t="shared" si="79"/>
        <v>36737982.783794373</v>
      </c>
      <c r="M239" s="15">
        <f t="shared" si="71"/>
        <v>0.54963952255110216</v>
      </c>
      <c r="N239" s="13">
        <f t="shared" si="63"/>
        <v>6125.3025168408494</v>
      </c>
      <c r="O239" s="13">
        <f t="shared" si="72"/>
        <v>713602.32260458125</v>
      </c>
      <c r="P239" s="15">
        <f t="shared" si="64"/>
        <v>0.42811804250827029</v>
      </c>
      <c r="Q239" s="7">
        <f t="shared" si="73"/>
        <v>1666835.4326384084</v>
      </c>
      <c r="R239" s="7">
        <f t="shared" si="74"/>
        <v>953233.11003382714</v>
      </c>
      <c r="S239" s="13">
        <f>IF('Calc (3)'!$AD$32="Sim",R239,Q239)</f>
        <v>953233.11003382714</v>
      </c>
      <c r="T239" s="9">
        <f t="shared" si="75"/>
        <v>235</v>
      </c>
      <c r="U239" s="17">
        <f t="shared" ca="1" si="76"/>
        <v>52657</v>
      </c>
      <c r="V239" s="22"/>
      <c r="W239" s="22"/>
      <c r="X239" s="22"/>
    </row>
    <row r="240" spans="2:24" x14ac:dyDescent="0.2">
      <c r="B240" s="17">
        <f t="shared" ca="1" si="65"/>
        <v>52657</v>
      </c>
      <c r="C240" s="9">
        <f t="shared" si="77"/>
        <v>236</v>
      </c>
      <c r="D240" s="9"/>
      <c r="E240" s="13">
        <f t="shared" si="66"/>
        <v>2610.4950960856099</v>
      </c>
      <c r="F240" s="14">
        <f t="shared" si="78"/>
        <v>431909.01365101774</v>
      </c>
      <c r="G240" s="15">
        <f t="shared" si="67"/>
        <v>0.4490505959262221</v>
      </c>
      <c r="H240" s="13">
        <f t="shared" si="68"/>
        <v>16597.812820562795</v>
      </c>
      <c r="I240" s="13">
        <f t="shared" si="69"/>
        <v>1254134.726904039</v>
      </c>
      <c r="J240" s="15">
        <f t="shared" si="62"/>
        <v>0.5509494040737779</v>
      </c>
      <c r="K240" s="13">
        <f t="shared" si="70"/>
        <v>529918.04452302214</v>
      </c>
      <c r="L240" s="13">
        <f t="shared" si="79"/>
        <v>37267900.828317396</v>
      </c>
      <c r="M240" s="15">
        <f t="shared" si="71"/>
        <v>0.55094940407377779</v>
      </c>
      <c r="N240" s="13">
        <f t="shared" si="63"/>
        <v>6195.8893873394345</v>
      </c>
      <c r="O240" s="13">
        <f t="shared" si="72"/>
        <v>724216.6823810169</v>
      </c>
      <c r="P240" s="15">
        <f t="shared" si="64"/>
        <v>0.42953611757581089</v>
      </c>
      <c r="Q240" s="7">
        <f t="shared" si="73"/>
        <v>1686043.7405550568</v>
      </c>
      <c r="R240" s="7">
        <f t="shared" si="74"/>
        <v>961827.05817403994</v>
      </c>
      <c r="S240" s="13">
        <f>IF('Calc (3)'!$AD$32="Sim",R240,Q240)</f>
        <v>961827.05817403994</v>
      </c>
      <c r="T240" s="9">
        <f t="shared" si="75"/>
        <v>236</v>
      </c>
      <c r="U240" s="17">
        <f t="shared" ca="1" si="76"/>
        <v>52688</v>
      </c>
      <c r="V240" s="22"/>
      <c r="W240" s="22"/>
      <c r="X240" s="22"/>
    </row>
    <row r="241" spans="2:24" x14ac:dyDescent="0.2">
      <c r="B241" s="17">
        <f t="shared" ca="1" si="65"/>
        <v>52688</v>
      </c>
      <c r="C241" s="9">
        <f t="shared" si="77"/>
        <v>237</v>
      </c>
      <c r="D241" s="9"/>
      <c r="E241" s="13">
        <f t="shared" si="66"/>
        <v>2621.1305762436696</v>
      </c>
      <c r="F241" s="14">
        <f t="shared" si="78"/>
        <v>434530.14422726142</v>
      </c>
      <c r="G241" s="15">
        <f t="shared" si="67"/>
        <v>0.44774511503568348</v>
      </c>
      <c r="H241" s="13">
        <f t="shared" si="68"/>
        <v>16789.082992265117</v>
      </c>
      <c r="I241" s="13">
        <f t="shared" si="69"/>
        <v>1270923.8098963043</v>
      </c>
      <c r="J241" s="15">
        <f t="shared" si="62"/>
        <v>0.55225488496431652</v>
      </c>
      <c r="K241" s="13">
        <f t="shared" si="70"/>
        <v>535955.36110903043</v>
      </c>
      <c r="L241" s="13">
        <f t="shared" si="79"/>
        <v>37803856.18942643</v>
      </c>
      <c r="M241" s="15">
        <f t="shared" si="71"/>
        <v>0.55225488496431652</v>
      </c>
      <c r="N241" s="13">
        <f t="shared" si="63"/>
        <v>6267.2182226254772</v>
      </c>
      <c r="O241" s="13">
        <f t="shared" si="72"/>
        <v>734968.44878727361</v>
      </c>
      <c r="P241" s="15">
        <f t="shared" si="64"/>
        <v>0.4309517984992885</v>
      </c>
      <c r="Q241" s="7">
        <f t="shared" si="73"/>
        <v>1705453.9541235655</v>
      </c>
      <c r="R241" s="7">
        <f t="shared" si="74"/>
        <v>970485.50533629186</v>
      </c>
      <c r="S241" s="13">
        <f>IF('Calc (3)'!$AD$32="Sim",R241,Q241)</f>
        <v>970485.50533629186</v>
      </c>
      <c r="T241" s="9">
        <f t="shared" si="75"/>
        <v>237</v>
      </c>
      <c r="U241" s="17">
        <f t="shared" ca="1" si="76"/>
        <v>52718</v>
      </c>
      <c r="V241" s="22"/>
      <c r="W241" s="22"/>
      <c r="X241" s="22"/>
    </row>
    <row r="242" spans="2:24" x14ac:dyDescent="0.2">
      <c r="B242" s="17">
        <f t="shared" ca="1" si="65"/>
        <v>52718</v>
      </c>
      <c r="C242" s="9">
        <f t="shared" si="77"/>
        <v>238</v>
      </c>
      <c r="D242" s="9"/>
      <c r="E242" s="13">
        <f t="shared" si="66"/>
        <v>2631.8093866643917</v>
      </c>
      <c r="F242" s="14">
        <f t="shared" si="78"/>
        <v>437161.95361392584</v>
      </c>
      <c r="G242" s="15">
        <f t="shared" si="67"/>
        <v>0.44644401630248021</v>
      </c>
      <c r="H242" s="13">
        <f t="shared" si="68"/>
        <v>16982.363675714056</v>
      </c>
      <c r="I242" s="13">
        <f t="shared" si="69"/>
        <v>1287906.1735720183</v>
      </c>
      <c r="J242" s="15">
        <f t="shared" si="62"/>
        <v>0.55355598369751979</v>
      </c>
      <c r="K242" s="13">
        <f t="shared" si="70"/>
        <v>542046.94526340743</v>
      </c>
      <c r="L242" s="13">
        <f t="shared" si="79"/>
        <v>38345903.134689838</v>
      </c>
      <c r="M242" s="15">
        <f t="shared" si="71"/>
        <v>0.55355598369751979</v>
      </c>
      <c r="N242" s="13">
        <f t="shared" si="63"/>
        <v>6339.2965701768999</v>
      </c>
      <c r="O242" s="13">
        <f t="shared" si="72"/>
        <v>745859.2283086105</v>
      </c>
      <c r="P242" s="15">
        <f t="shared" si="64"/>
        <v>0.43236508550262892</v>
      </c>
      <c r="Q242" s="7">
        <f t="shared" si="73"/>
        <v>1725068.1271859438</v>
      </c>
      <c r="R242" s="7">
        <f t="shared" si="74"/>
        <v>979208.89887733327</v>
      </c>
      <c r="S242" s="13">
        <f>IF('Calc (3)'!$AD$32="Sim",R242,Q242)</f>
        <v>979208.89887733327</v>
      </c>
      <c r="T242" s="9">
        <f t="shared" si="75"/>
        <v>238</v>
      </c>
      <c r="U242" s="17">
        <f t="shared" ca="1" si="76"/>
        <v>52749</v>
      </c>
      <c r="V242" s="22"/>
      <c r="W242" s="22"/>
      <c r="X242" s="22"/>
    </row>
    <row r="243" spans="2:24" x14ac:dyDescent="0.2">
      <c r="B243" s="17">
        <f t="shared" ca="1" si="65"/>
        <v>52749</v>
      </c>
      <c r="C243" s="9">
        <f t="shared" si="77"/>
        <v>239</v>
      </c>
      <c r="D243" s="9"/>
      <c r="E243" s="13">
        <f t="shared" si="66"/>
        <v>2642.5317038806302</v>
      </c>
      <c r="F243" s="14">
        <f t="shared" si="78"/>
        <v>439804.48531780648</v>
      </c>
      <c r="G243" s="15">
        <f t="shared" si="67"/>
        <v>0.44514728137088921</v>
      </c>
      <c r="H243" s="13">
        <f t="shared" si="68"/>
        <v>17177.675322409836</v>
      </c>
      <c r="I243" s="13">
        <f t="shared" si="69"/>
        <v>1305083.848894428</v>
      </c>
      <c r="J243" s="15">
        <f t="shared" si="62"/>
        <v>0.55485271862911079</v>
      </c>
      <c r="K243" s="13">
        <f t="shared" si="70"/>
        <v>548193.20381413901</v>
      </c>
      <c r="L243" s="13">
        <f t="shared" si="79"/>
        <v>38894096.338503979</v>
      </c>
      <c r="M243" s="15">
        <f t="shared" si="71"/>
        <v>0.55485271862911079</v>
      </c>
      <c r="N243" s="13">
        <f t="shared" si="63"/>
        <v>6412.1320532757172</v>
      </c>
      <c r="O243" s="13">
        <f t="shared" si="72"/>
        <v>756890.64508028876</v>
      </c>
      <c r="P243" s="15">
        <f t="shared" si="64"/>
        <v>0.43377597880611807</v>
      </c>
      <c r="Q243" s="7">
        <f t="shared" si="73"/>
        <v>1744888.3342122342</v>
      </c>
      <c r="R243" s="7">
        <f t="shared" si="74"/>
        <v>987997.68913194549</v>
      </c>
      <c r="S243" s="13">
        <f>IF('Calc (3)'!$AD$32="Sim",R243,Q243)</f>
        <v>987997.68913194549</v>
      </c>
      <c r="T243" s="9">
        <f t="shared" si="75"/>
        <v>239</v>
      </c>
      <c r="U243" s="17">
        <f t="shared" ca="1" si="76"/>
        <v>52779</v>
      </c>
      <c r="V243" s="22"/>
      <c r="W243" s="22"/>
      <c r="X243" s="22"/>
    </row>
    <row r="244" spans="2:24" x14ac:dyDescent="0.2">
      <c r="B244" s="17">
        <f t="shared" ca="1" si="65"/>
        <v>52779</v>
      </c>
      <c r="C244" s="9">
        <f t="shared" si="77"/>
        <v>240</v>
      </c>
      <c r="D244" s="9">
        <v>20</v>
      </c>
      <c r="E244" s="13">
        <f t="shared" si="66"/>
        <v>2653.297705144455</v>
      </c>
      <c r="F244" s="14">
        <f t="shared" si="78"/>
        <v>442457.78302295093</v>
      </c>
      <c r="G244" s="15">
        <f t="shared" si="67"/>
        <v>0.44385489200283479</v>
      </c>
      <c r="H244" s="13">
        <f t="shared" si="68"/>
        <v>17375.038589260028</v>
      </c>
      <c r="I244" s="13">
        <f t="shared" si="69"/>
        <v>1322458.8874836881</v>
      </c>
      <c r="J244" s="15">
        <f t="shared" si="62"/>
        <v>0.55614510799716521</v>
      </c>
      <c r="K244" s="13">
        <f t="shared" si="70"/>
        <v>554394.54640935617</v>
      </c>
      <c r="L244" s="13">
        <f t="shared" si="79"/>
        <v>39448490.884913333</v>
      </c>
      <c r="M244" s="15">
        <f t="shared" si="71"/>
        <v>0.55614510799716532</v>
      </c>
      <c r="N244" s="13">
        <f t="shared" si="63"/>
        <v>6485.7323717655054</v>
      </c>
      <c r="O244" s="13">
        <f t="shared" si="72"/>
        <v>768064.34107433166</v>
      </c>
      <c r="P244" s="15">
        <f t="shared" si="64"/>
        <v>0.43518447862688631</v>
      </c>
      <c r="Q244" s="7">
        <f t="shared" si="73"/>
        <v>1764916.6705066387</v>
      </c>
      <c r="R244" s="7">
        <f t="shared" si="74"/>
        <v>996852.32943230704</v>
      </c>
      <c r="S244" s="13">
        <f>IF('Calc (3)'!$AD$32="Sim",R244,Q244)</f>
        <v>996852.32943230704</v>
      </c>
      <c r="T244" s="9">
        <f t="shared" si="75"/>
        <v>240</v>
      </c>
      <c r="U244" s="17">
        <f t="shared" ca="1" si="76"/>
        <v>52810</v>
      </c>
      <c r="V244" s="22"/>
      <c r="W244" s="22"/>
      <c r="X244" s="22"/>
    </row>
    <row r="245" spans="2:24" x14ac:dyDescent="0.2">
      <c r="B245" s="17">
        <f t="shared" ca="1" si="65"/>
        <v>52810</v>
      </c>
      <c r="C245" s="9">
        <f t="shared" si="77"/>
        <v>241</v>
      </c>
      <c r="D245" s="9"/>
      <c r="E245" s="13">
        <f t="shared" si="66"/>
        <v>2664.1075684300836</v>
      </c>
      <c r="F245" s="14">
        <f t="shared" si="78"/>
        <v>445121.890591381</v>
      </c>
      <c r="G245" s="15">
        <f t="shared" si="67"/>
        <v>0.44256683007648434</v>
      </c>
      <c r="H245" s="13">
        <f t="shared" si="68"/>
        <v>17574.474340632085</v>
      </c>
      <c r="I245" s="13">
        <f t="shared" si="69"/>
        <v>1340033.3618243202</v>
      </c>
      <c r="J245" s="15">
        <f t="shared" si="62"/>
        <v>0.55743316992351566</v>
      </c>
      <c r="K245" s="13">
        <f t="shared" si="70"/>
        <v>560651.38553610258</v>
      </c>
      <c r="L245" s="13">
        <f t="shared" si="79"/>
        <v>40009142.270449437</v>
      </c>
      <c r="M245" s="15">
        <f t="shared" si="71"/>
        <v>0.55743316992351566</v>
      </c>
      <c r="N245" s="13">
        <f t="shared" si="63"/>
        <v>6560.1053028164379</v>
      </c>
      <c r="O245" s="13">
        <f t="shared" si="72"/>
        <v>779381.97628821724</v>
      </c>
      <c r="P245" s="15">
        <f t="shared" si="64"/>
        <v>0.43659058517938149</v>
      </c>
      <c r="Q245" s="7">
        <f t="shared" si="73"/>
        <v>1785155.2524157008</v>
      </c>
      <c r="R245" s="7">
        <f t="shared" si="74"/>
        <v>1005773.2761274836</v>
      </c>
      <c r="S245" s="13">
        <f>IF('Calc (3)'!$AD$32="Sim",R245,Q245)</f>
        <v>1005773.2761274836</v>
      </c>
      <c r="T245" s="9">
        <f t="shared" si="75"/>
        <v>241</v>
      </c>
      <c r="U245" s="17">
        <f t="shared" ca="1" si="76"/>
        <v>52841</v>
      </c>
      <c r="V245" s="22"/>
      <c r="W245" s="22"/>
      <c r="X245" s="22"/>
    </row>
    <row r="246" spans="2:24" x14ac:dyDescent="0.2">
      <c r="B246" s="17">
        <f t="shared" ca="1" si="65"/>
        <v>52841</v>
      </c>
      <c r="C246" s="9">
        <f t="shared" si="77"/>
        <v>242</v>
      </c>
      <c r="D246" s="9"/>
      <c r="E246" s="13">
        <f t="shared" si="66"/>
        <v>2674.9614724368221</v>
      </c>
      <c r="F246" s="14">
        <f t="shared" si="78"/>
        <v>447796.85206381785</v>
      </c>
      <c r="G246" s="15">
        <f t="shared" si="67"/>
        <v>0.44128307758487195</v>
      </c>
      <c r="H246" s="13">
        <f t="shared" si="68"/>
        <v>17776.003650426348</v>
      </c>
      <c r="I246" s="13">
        <f t="shared" si="69"/>
        <v>1357809.3654747466</v>
      </c>
      <c r="J246" s="15">
        <f t="shared" si="62"/>
        <v>0.55871692241512805</v>
      </c>
      <c r="K246" s="13">
        <f t="shared" si="70"/>
        <v>566964.13653922477</v>
      </c>
      <c r="L246" s="13">
        <f t="shared" si="79"/>
        <v>40576106.406988665</v>
      </c>
      <c r="M246" s="15">
        <f t="shared" si="71"/>
        <v>0.55871692241512794</v>
      </c>
      <c r="N246" s="13">
        <f t="shared" si="63"/>
        <v>6635.2587016979414</v>
      </c>
      <c r="O246" s="13">
        <f t="shared" si="72"/>
        <v>790845.22893552133</v>
      </c>
      <c r="P246" s="15">
        <f t="shared" si="64"/>
        <v>0.4379942986758299</v>
      </c>
      <c r="Q246" s="7">
        <f t="shared" si="73"/>
        <v>1805606.217538564</v>
      </c>
      <c r="R246" s="7">
        <f t="shared" si="74"/>
        <v>1014760.9886030427</v>
      </c>
      <c r="S246" s="13">
        <f>IF('Calc (3)'!$AD$32="Sim",R246,Q246)</f>
        <v>1014760.9886030427</v>
      </c>
      <c r="T246" s="9">
        <f t="shared" si="75"/>
        <v>242</v>
      </c>
      <c r="U246" s="17">
        <f t="shared" ca="1" si="76"/>
        <v>52871</v>
      </c>
      <c r="V246" s="22"/>
      <c r="W246" s="22"/>
      <c r="X246" s="22"/>
    </row>
    <row r="247" spans="2:24" x14ac:dyDescent="0.2">
      <c r="B247" s="17">
        <f t="shared" ca="1" si="65"/>
        <v>52871</v>
      </c>
      <c r="C247" s="9">
        <f t="shared" si="77"/>
        <v>243</v>
      </c>
      <c r="D247" s="9"/>
      <c r="E247" s="13">
        <f t="shared" si="66"/>
        <v>2685.8595965920199</v>
      </c>
      <c r="F247" s="14">
        <f t="shared" si="78"/>
        <v>450482.71166040987</v>
      </c>
      <c r="G247" s="15">
        <f t="shared" si="67"/>
        <v>0.44000361663454746</v>
      </c>
      <c r="H247" s="13">
        <f t="shared" si="68"/>
        <v>17979.647804169737</v>
      </c>
      <c r="I247" s="13">
        <f t="shared" si="69"/>
        <v>1375789.0132789162</v>
      </c>
      <c r="J247" s="15">
        <f t="shared" si="62"/>
        <v>0.55999638336545254</v>
      </c>
      <c r="K247" s="13">
        <f t="shared" si="70"/>
        <v>573333.21764038503</v>
      </c>
      <c r="L247" s="13">
        <f t="shared" si="79"/>
        <v>41149439.62462905</v>
      </c>
      <c r="M247" s="15">
        <f t="shared" si="71"/>
        <v>0.55999638336545265</v>
      </c>
      <c r="N247" s="13">
        <f t="shared" si="63"/>
        <v>6711.2005025590579</v>
      </c>
      <c r="O247" s="13">
        <f t="shared" si="72"/>
        <v>802455.79563853075</v>
      </c>
      <c r="P247" s="15">
        <f t="shared" si="64"/>
        <v>0.43939561932668636</v>
      </c>
      <c r="Q247" s="7">
        <f t="shared" si="73"/>
        <v>1826271.7249393256</v>
      </c>
      <c r="R247" s="7">
        <f t="shared" si="74"/>
        <v>1023815.9293007948</v>
      </c>
      <c r="S247" s="13">
        <f>IF('Calc (3)'!$AD$32="Sim",R247,Q247)</f>
        <v>1023815.9293007948</v>
      </c>
      <c r="T247" s="9">
        <f t="shared" si="75"/>
        <v>243</v>
      </c>
      <c r="U247" s="17">
        <f t="shared" ca="1" si="76"/>
        <v>52902</v>
      </c>
      <c r="V247" s="22"/>
      <c r="W247" s="22"/>
      <c r="X247" s="22"/>
    </row>
    <row r="248" spans="2:24" x14ac:dyDescent="0.2">
      <c r="B248" s="17">
        <f t="shared" ca="1" si="65"/>
        <v>52902</v>
      </c>
      <c r="C248" s="9">
        <f t="shared" si="77"/>
        <v>244</v>
      </c>
      <c r="D248" s="9"/>
      <c r="E248" s="13">
        <f t="shared" si="66"/>
        <v>2696.8021210540355</v>
      </c>
      <c r="F248" s="14">
        <f t="shared" si="78"/>
        <v>453179.5137814639</v>
      </c>
      <c r="G248" s="15">
        <f t="shared" si="67"/>
        <v>0.43872842944425205</v>
      </c>
      <c r="H248" s="13">
        <f t="shared" si="68"/>
        <v>18185.428301130294</v>
      </c>
      <c r="I248" s="13">
        <f t="shared" si="69"/>
        <v>1393974.4415800464</v>
      </c>
      <c r="J248" s="15">
        <f t="shared" si="62"/>
        <v>0.56127157055574795</v>
      </c>
      <c r="K248" s="13">
        <f t="shared" si="70"/>
        <v>579759.04995719646</v>
      </c>
      <c r="L248" s="13">
        <f t="shared" si="79"/>
        <v>41729198.674586244</v>
      </c>
      <c r="M248" s="15">
        <f t="shared" si="71"/>
        <v>0.56127157055574795</v>
      </c>
      <c r="N248" s="13">
        <f t="shared" si="63"/>
        <v>6787.9387192165887</v>
      </c>
      <c r="O248" s="13">
        <f t="shared" si="72"/>
        <v>814215.39162284962</v>
      </c>
      <c r="P248" s="15">
        <f t="shared" si="64"/>
        <v>0.44079454734107315</v>
      </c>
      <c r="Q248" s="7">
        <f t="shared" si="73"/>
        <v>1847153.9553615099</v>
      </c>
      <c r="R248" s="7">
        <f t="shared" si="74"/>
        <v>1032938.5637386603</v>
      </c>
      <c r="S248" s="13">
        <f>IF('Calc (3)'!$AD$32="Sim",R248,Q248)</f>
        <v>1032938.5637386603</v>
      </c>
      <c r="T248" s="9">
        <f t="shared" si="75"/>
        <v>244</v>
      </c>
      <c r="U248" s="17">
        <f t="shared" ca="1" si="76"/>
        <v>52932</v>
      </c>
      <c r="V248" s="22"/>
      <c r="W248" s="22"/>
      <c r="X248" s="22"/>
    </row>
    <row r="249" spans="2:24" x14ac:dyDescent="0.2">
      <c r="B249" s="17">
        <f t="shared" ca="1" si="65"/>
        <v>52932</v>
      </c>
      <c r="C249" s="9">
        <f t="shared" si="77"/>
        <v>245</v>
      </c>
      <c r="D249" s="9"/>
      <c r="E249" s="13">
        <f t="shared" si="66"/>
        <v>2707.7892267152151</v>
      </c>
      <c r="F249" s="14">
        <f t="shared" si="78"/>
        <v>455887.30300817912</v>
      </c>
      <c r="G249" s="15">
        <f t="shared" si="67"/>
        <v>0.43745749834361841</v>
      </c>
      <c r="H249" s="13">
        <f t="shared" si="68"/>
        <v>18393.366856452849</v>
      </c>
      <c r="I249" s="13">
        <f t="shared" si="69"/>
        <v>1412367.8084364992</v>
      </c>
      <c r="J249" s="15">
        <f t="shared" si="62"/>
        <v>0.56254250165638164</v>
      </c>
      <c r="K249" s="13">
        <f t="shared" si="70"/>
        <v>586242.05752248503</v>
      </c>
      <c r="L249" s="13">
        <f t="shared" si="79"/>
        <v>42315440.732108727</v>
      </c>
      <c r="M249" s="15">
        <f t="shared" si="71"/>
        <v>0.56254250165638164</v>
      </c>
      <c r="N249" s="13">
        <f t="shared" si="63"/>
        <v>6865.4814459510999</v>
      </c>
      <c r="O249" s="13">
        <f t="shared" si="72"/>
        <v>826125.75091401383</v>
      </c>
      <c r="P249" s="15">
        <f t="shared" si="64"/>
        <v>0.44219108292720799</v>
      </c>
      <c r="Q249" s="7">
        <f t="shared" si="73"/>
        <v>1868255.1114446779</v>
      </c>
      <c r="R249" s="7">
        <f t="shared" si="74"/>
        <v>1042129.3605306641</v>
      </c>
      <c r="S249" s="13">
        <f>IF('Calc (3)'!$AD$32="Sim",R249,Q249)</f>
        <v>1042129.3605306641</v>
      </c>
      <c r="T249" s="9">
        <f t="shared" si="75"/>
        <v>245</v>
      </c>
      <c r="U249" s="17">
        <f t="shared" ca="1" si="76"/>
        <v>52963</v>
      </c>
      <c r="V249" s="22"/>
      <c r="W249" s="22"/>
      <c r="X249" s="22"/>
    </row>
    <row r="250" spans="2:24" x14ac:dyDescent="0.2">
      <c r="B250" s="17">
        <f t="shared" ca="1" si="65"/>
        <v>52963</v>
      </c>
      <c r="C250" s="9">
        <f t="shared" si="77"/>
        <v>246</v>
      </c>
      <c r="D250" s="9"/>
      <c r="E250" s="13">
        <f t="shared" si="66"/>
        <v>2718.8210952048826</v>
      </c>
      <c r="F250" s="14">
        <f t="shared" si="78"/>
        <v>458606.12410338398</v>
      </c>
      <c r="G250" s="15">
        <f t="shared" si="67"/>
        <v>0.43619080577189528</v>
      </c>
      <c r="H250" s="13">
        <f t="shared" si="68"/>
        <v>18603.485403315946</v>
      </c>
      <c r="I250" s="13">
        <f t="shared" si="69"/>
        <v>1430971.2938398151</v>
      </c>
      <c r="J250" s="15">
        <f t="shared" si="62"/>
        <v>0.56380919422810472</v>
      </c>
      <c r="K250" s="13">
        <f t="shared" si="70"/>
        <v>592782.66730367451</v>
      </c>
      <c r="L250" s="13">
        <f t="shared" si="79"/>
        <v>42908223.399412401</v>
      </c>
      <c r="M250" s="15">
        <f t="shared" si="71"/>
        <v>0.56380919422810472</v>
      </c>
      <c r="N250" s="13">
        <f t="shared" si="63"/>
        <v>6943.8368583108595</v>
      </c>
      <c r="O250" s="13">
        <f t="shared" si="72"/>
        <v>838188.62653614022</v>
      </c>
      <c r="P250" s="15">
        <f t="shared" si="64"/>
        <v>0.44358522629282204</v>
      </c>
      <c r="Q250" s="7">
        <f t="shared" si="73"/>
        <v>1889577.4179431987</v>
      </c>
      <c r="R250" s="7">
        <f t="shared" si="74"/>
        <v>1051388.7914070585</v>
      </c>
      <c r="S250" s="13">
        <f>IF('Calc (3)'!$AD$32="Sim",R250,Q250)</f>
        <v>1051388.7914070585</v>
      </c>
      <c r="T250" s="9">
        <f t="shared" si="75"/>
        <v>246</v>
      </c>
      <c r="U250" s="17">
        <f t="shared" ca="1" si="76"/>
        <v>52994</v>
      </c>
      <c r="V250" s="22"/>
      <c r="W250" s="22"/>
      <c r="X250" s="22"/>
    </row>
    <row r="251" spans="2:24" x14ac:dyDescent="0.2">
      <c r="B251" s="17">
        <f t="shared" ca="1" si="65"/>
        <v>52994</v>
      </c>
      <c r="C251" s="9">
        <f t="shared" si="77"/>
        <v>247</v>
      </c>
      <c r="D251" s="9"/>
      <c r="E251" s="13">
        <f t="shared" si="66"/>
        <v>2729.8979088923415</v>
      </c>
      <c r="F251" s="14">
        <f t="shared" si="78"/>
        <v>461336.02201227634</v>
      </c>
      <c r="G251" s="15">
        <f t="shared" si="67"/>
        <v>0.43492833427669642</v>
      </c>
      <c r="H251" s="13">
        <f t="shared" si="68"/>
        <v>18815.806095110293</v>
      </c>
      <c r="I251" s="13">
        <f t="shared" si="69"/>
        <v>1449787.0999349253</v>
      </c>
      <c r="J251" s="15">
        <f t="shared" si="62"/>
        <v>0.56507166572330358</v>
      </c>
      <c r="K251" s="13">
        <f t="shared" si="70"/>
        <v>599381.30922229821</v>
      </c>
      <c r="L251" s="13">
        <f t="shared" si="79"/>
        <v>43507604.708634697</v>
      </c>
      <c r="M251" s="15">
        <f t="shared" si="71"/>
        <v>0.56507166572330358</v>
      </c>
      <c r="N251" s="13">
        <f t="shared" si="63"/>
        <v>7023.0132139237985</v>
      </c>
      <c r="O251" s="13">
        <f t="shared" si="72"/>
        <v>850405.79071262665</v>
      </c>
      <c r="P251" s="15">
        <f t="shared" si="64"/>
        <v>0.44497697764556737</v>
      </c>
      <c r="Q251" s="7">
        <f t="shared" si="73"/>
        <v>1911123.1219472012</v>
      </c>
      <c r="R251" s="7">
        <f t="shared" si="74"/>
        <v>1060717.3312345746</v>
      </c>
      <c r="S251" s="13">
        <f>IF('Calc (3)'!$AD$32="Sim",R251,Q251)</f>
        <v>1060717.3312345746</v>
      </c>
      <c r="T251" s="9">
        <f t="shared" si="75"/>
        <v>247</v>
      </c>
      <c r="U251" s="17">
        <f t="shared" ca="1" si="76"/>
        <v>53022</v>
      </c>
      <c r="V251" s="22"/>
      <c r="W251" s="22"/>
      <c r="X251" s="22"/>
    </row>
    <row r="252" spans="2:24" x14ac:dyDescent="0.2">
      <c r="B252" s="17">
        <f t="shared" ca="1" si="65"/>
        <v>53022</v>
      </c>
      <c r="C252" s="9">
        <f t="shared" si="77"/>
        <v>248</v>
      </c>
      <c r="D252" s="9"/>
      <c r="E252" s="13">
        <f t="shared" si="66"/>
        <v>2741.0198508898916</v>
      </c>
      <c r="F252" s="14">
        <f t="shared" si="78"/>
        <v>464077.04186316626</v>
      </c>
      <c r="G252" s="15">
        <f t="shared" si="67"/>
        <v>0.43367006651277157</v>
      </c>
      <c r="H252" s="13">
        <f t="shared" si="68"/>
        <v>19030.351307638939</v>
      </c>
      <c r="I252" s="13">
        <f t="shared" si="69"/>
        <v>1468817.4512425642</v>
      </c>
      <c r="J252" s="15">
        <f t="shared" si="62"/>
        <v>0.56632993348722849</v>
      </c>
      <c r="K252" s="13">
        <f t="shared" si="70"/>
        <v>606038.41617363878</v>
      </c>
      <c r="L252" s="13">
        <f t="shared" si="79"/>
        <v>44113643.124808334</v>
      </c>
      <c r="M252" s="15">
        <f t="shared" si="71"/>
        <v>0.56632993348722838</v>
      </c>
      <c r="N252" s="13">
        <f t="shared" si="63"/>
        <v>7103.0188533175597</v>
      </c>
      <c r="O252" s="13">
        <f t="shared" si="72"/>
        <v>862779.035068925</v>
      </c>
      <c r="P252" s="15">
        <f t="shared" si="64"/>
        <v>0.44636633719341384</v>
      </c>
      <c r="Q252" s="7">
        <f t="shared" si="73"/>
        <v>1932894.49310573</v>
      </c>
      <c r="R252" s="7">
        <f t="shared" si="74"/>
        <v>1070115.458036805</v>
      </c>
      <c r="S252" s="13">
        <f>IF('Calc (3)'!$AD$32="Sim",R252,Q252)</f>
        <v>1070115.458036805</v>
      </c>
      <c r="T252" s="9">
        <f t="shared" si="75"/>
        <v>248</v>
      </c>
      <c r="U252" s="17">
        <f t="shared" ca="1" si="76"/>
        <v>53053</v>
      </c>
      <c r="V252" s="22"/>
      <c r="W252" s="22"/>
      <c r="X252" s="22"/>
    </row>
    <row r="253" spans="2:24" x14ac:dyDescent="0.2">
      <c r="B253" s="17">
        <f t="shared" ca="1" si="65"/>
        <v>53053</v>
      </c>
      <c r="C253" s="9">
        <f t="shared" si="77"/>
        <v>249</v>
      </c>
      <c r="D253" s="9"/>
      <c r="E253" s="13">
        <f t="shared" si="66"/>
        <v>2752.1871050558543</v>
      </c>
      <c r="F253" s="14">
        <f t="shared" si="78"/>
        <v>466829.2289682221</v>
      </c>
      <c r="G253" s="15">
        <f t="shared" si="67"/>
        <v>0.43241598524080205</v>
      </c>
      <c r="H253" s="13">
        <f t="shared" si="68"/>
        <v>19247.143641339375</v>
      </c>
      <c r="I253" s="13">
        <f t="shared" si="69"/>
        <v>1488064.5948839036</v>
      </c>
      <c r="J253" s="15">
        <f t="shared" si="62"/>
        <v>0.56758401475919795</v>
      </c>
      <c r="K253" s="13">
        <f t="shared" si="70"/>
        <v>612754.42404649267</v>
      </c>
      <c r="L253" s="13">
        <f t="shared" si="79"/>
        <v>44726397.548854828</v>
      </c>
      <c r="M253" s="15">
        <f t="shared" si="71"/>
        <v>0.56758401475919784</v>
      </c>
      <c r="N253" s="13">
        <f t="shared" si="63"/>
        <v>7183.8622007477325</v>
      </c>
      <c r="O253" s="13">
        <f t="shared" si="72"/>
        <v>875310.17083741049</v>
      </c>
      <c r="P253" s="15">
        <f t="shared" si="64"/>
        <v>0.44775330514503781</v>
      </c>
      <c r="Q253" s="7">
        <f t="shared" si="73"/>
        <v>1954893.8238521253</v>
      </c>
      <c r="R253" s="7">
        <f t="shared" si="74"/>
        <v>1079583.6530147148</v>
      </c>
      <c r="S253" s="13">
        <f>IF('Calc (3)'!$AD$32="Sim",R253,Q253)</f>
        <v>1079583.6530147148</v>
      </c>
      <c r="T253" s="9">
        <f t="shared" si="75"/>
        <v>249</v>
      </c>
      <c r="U253" s="17">
        <f t="shared" ca="1" si="76"/>
        <v>53083</v>
      </c>
      <c r="V253" s="22"/>
      <c r="W253" s="22"/>
      <c r="X253" s="22"/>
    </row>
    <row r="254" spans="2:24" x14ac:dyDescent="0.2">
      <c r="B254" s="17">
        <f t="shared" ca="1" si="65"/>
        <v>53083</v>
      </c>
      <c r="C254" s="9">
        <f t="shared" si="77"/>
        <v>250</v>
      </c>
      <c r="D254" s="9"/>
      <c r="E254" s="13">
        <f t="shared" si="66"/>
        <v>2763.3998559976126</v>
      </c>
      <c r="F254" s="14">
        <f t="shared" si="78"/>
        <v>469592.62882421969</v>
      </c>
      <c r="G254" s="15">
        <f t="shared" si="67"/>
        <v>0.43116607332621681</v>
      </c>
      <c r="H254" s="13">
        <f t="shared" si="68"/>
        <v>19466.205923527814</v>
      </c>
      <c r="I254" s="13">
        <f t="shared" si="69"/>
        <v>1507530.8008074313</v>
      </c>
      <c r="J254" s="15">
        <f t="shared" si="62"/>
        <v>0.56883392667378319</v>
      </c>
      <c r="K254" s="13">
        <f t="shared" si="70"/>
        <v>619529.77174306626</v>
      </c>
      <c r="L254" s="13">
        <f t="shared" si="79"/>
        <v>45345927.320597894</v>
      </c>
      <c r="M254" s="15">
        <f t="shared" si="71"/>
        <v>0.56883392667378319</v>
      </c>
      <c r="N254" s="13">
        <f t="shared" si="63"/>
        <v>7265.5517650343381</v>
      </c>
      <c r="O254" s="13">
        <f t="shared" si="72"/>
        <v>888001.02906436473</v>
      </c>
      <c r="P254" s="15">
        <f t="shared" si="64"/>
        <v>0.44913788171019975</v>
      </c>
      <c r="Q254" s="7">
        <f t="shared" si="73"/>
        <v>1977123.4296316507</v>
      </c>
      <c r="R254" s="7">
        <f t="shared" si="74"/>
        <v>1089122.4005672859</v>
      </c>
      <c r="S254" s="13">
        <f>IF('Calc (3)'!$AD$32="Sim",R254,Q254)</f>
        <v>1089122.4005672859</v>
      </c>
      <c r="T254" s="9">
        <f t="shared" si="75"/>
        <v>250</v>
      </c>
      <c r="U254" s="17">
        <f t="shared" ca="1" si="76"/>
        <v>53114</v>
      </c>
      <c r="V254" s="22"/>
      <c r="W254" s="22"/>
      <c r="X254" s="22"/>
    </row>
    <row r="255" spans="2:24" x14ac:dyDescent="0.2">
      <c r="B255" s="17">
        <f t="shared" ca="1" si="65"/>
        <v>53114</v>
      </c>
      <c r="C255" s="9">
        <f t="shared" si="77"/>
        <v>251</v>
      </c>
      <c r="D255" s="9"/>
      <c r="E255" s="13">
        <f t="shared" si="66"/>
        <v>2774.6582890746627</v>
      </c>
      <c r="F255" s="14">
        <f t="shared" si="78"/>
        <v>472367.28711329435</v>
      </c>
      <c r="G255" s="15">
        <f t="shared" si="67"/>
        <v>0.42992031373803113</v>
      </c>
      <c r="H255" s="13">
        <f t="shared" si="68"/>
        <v>19687.561210665812</v>
      </c>
      <c r="I255" s="13">
        <f t="shared" si="69"/>
        <v>1527218.3620180972</v>
      </c>
      <c r="J255" s="15">
        <f t="shared" si="62"/>
        <v>0.57007968626196881</v>
      </c>
      <c r="K255" s="13">
        <f t="shared" si="70"/>
        <v>626364.90119899821</v>
      </c>
      <c r="L255" s="13">
        <f t="shared" si="79"/>
        <v>45972292.221796893</v>
      </c>
      <c r="M255" s="15">
        <f t="shared" si="71"/>
        <v>0.57007968626196881</v>
      </c>
      <c r="N255" s="13">
        <f t="shared" si="63"/>
        <v>7348.0961404066602</v>
      </c>
      <c r="O255" s="13">
        <f t="shared" si="72"/>
        <v>900853.46081909863</v>
      </c>
      <c r="P255" s="15">
        <f t="shared" si="64"/>
        <v>0.45052006710011361</v>
      </c>
      <c r="Q255" s="7">
        <f t="shared" si="73"/>
        <v>1999585.6491313912</v>
      </c>
      <c r="R255" s="7">
        <f t="shared" si="74"/>
        <v>1098732.1883122926</v>
      </c>
      <c r="S255" s="13">
        <f>IF('Calc (3)'!$AD$32="Sim",R255,Q255)</f>
        <v>1098732.1883122926</v>
      </c>
      <c r="T255" s="9">
        <f t="shared" si="75"/>
        <v>251</v>
      </c>
      <c r="U255" s="17">
        <f t="shared" ca="1" si="76"/>
        <v>53144</v>
      </c>
      <c r="V255" s="22"/>
      <c r="W255" s="22"/>
      <c r="X255" s="22"/>
    </row>
    <row r="256" spans="2:24" x14ac:dyDescent="0.2">
      <c r="B256" s="17">
        <f t="shared" ca="1" si="65"/>
        <v>53144</v>
      </c>
      <c r="C256" s="9">
        <f t="shared" si="77"/>
        <v>252</v>
      </c>
      <c r="D256" s="9">
        <v>21</v>
      </c>
      <c r="E256" s="13">
        <f t="shared" si="66"/>
        <v>2785.9625904016789</v>
      </c>
      <c r="F256" s="14">
        <f t="shared" si="78"/>
        <v>475153.24970369606</v>
      </c>
      <c r="G256" s="15">
        <f t="shared" si="67"/>
        <v>0.42867868954770599</v>
      </c>
      <c r="H256" s="13">
        <f t="shared" si="68"/>
        <v>19911.232790649537</v>
      </c>
      <c r="I256" s="13">
        <f t="shared" si="69"/>
        <v>1547129.5948087468</v>
      </c>
      <c r="J256" s="15">
        <f t="shared" si="62"/>
        <v>0.57132131045229406</v>
      </c>
      <c r="K256" s="13">
        <f t="shared" si="70"/>
        <v>633260.25740351481</v>
      </c>
      <c r="L256" s="13">
        <f t="shared" si="79"/>
        <v>46605552.479200408</v>
      </c>
      <c r="M256" s="15">
        <f t="shared" si="71"/>
        <v>0.57132131045229406</v>
      </c>
      <c r="N256" s="13">
        <f t="shared" si="63"/>
        <v>7431.5040073564996</v>
      </c>
      <c r="O256" s="13">
        <f t="shared" si="72"/>
        <v>913869.33740523178</v>
      </c>
      <c r="P256" s="15">
        <f t="shared" si="64"/>
        <v>0.45189986152780665</v>
      </c>
      <c r="Q256" s="7">
        <f t="shared" si="73"/>
        <v>2022282.8445124426</v>
      </c>
      <c r="R256" s="7">
        <f t="shared" si="74"/>
        <v>1108413.5071072108</v>
      </c>
      <c r="S256" s="13">
        <f>IF('Calc (3)'!$AD$32="Sim",R256,Q256)</f>
        <v>1108413.5071072108</v>
      </c>
      <c r="T256" s="9">
        <f t="shared" si="75"/>
        <v>252</v>
      </c>
      <c r="U256" s="17">
        <f t="shared" ca="1" si="76"/>
        <v>53175</v>
      </c>
      <c r="V256" s="22"/>
      <c r="W256" s="22"/>
      <c r="X256" s="22"/>
    </row>
    <row r="257" spans="2:24" x14ac:dyDescent="0.2">
      <c r="B257" s="17">
        <f t="shared" ca="1" si="65"/>
        <v>53175</v>
      </c>
      <c r="C257" s="9">
        <f t="shared" si="77"/>
        <v>253</v>
      </c>
      <c r="D257" s="9"/>
      <c r="E257" s="13">
        <f t="shared" si="66"/>
        <v>2797.312946851589</v>
      </c>
      <c r="F257" s="14">
        <f t="shared" si="78"/>
        <v>477950.56265054765</v>
      </c>
      <c r="G257" s="15">
        <f t="shared" si="67"/>
        <v>0.42744118392802799</v>
      </c>
      <c r="H257" s="13">
        <f t="shared" si="68"/>
        <v>20137.244185121828</v>
      </c>
      <c r="I257" s="13">
        <f t="shared" si="69"/>
        <v>1567266.8389938686</v>
      </c>
      <c r="J257" s="15">
        <f t="shared" si="62"/>
        <v>0.57255881607197201</v>
      </c>
      <c r="K257" s="13">
        <f t="shared" si="70"/>
        <v>640216.2884197142</v>
      </c>
      <c r="L257" s="13">
        <f t="shared" si="79"/>
        <v>47245768.767620124</v>
      </c>
      <c r="M257" s="15">
        <f t="shared" si="71"/>
        <v>0.57255881607197201</v>
      </c>
      <c r="N257" s="13">
        <f t="shared" si="63"/>
        <v>7515.7841334999312</v>
      </c>
      <c r="O257" s="13">
        <f t="shared" si="72"/>
        <v>927050.55057415413</v>
      </c>
      <c r="P257" s="15">
        <f t="shared" si="64"/>
        <v>0.45327726520847017</v>
      </c>
      <c r="Q257" s="7">
        <f t="shared" si="73"/>
        <v>2045217.4016444159</v>
      </c>
      <c r="R257" s="7">
        <f t="shared" si="74"/>
        <v>1118166.8510702618</v>
      </c>
      <c r="S257" s="13">
        <f>IF('Calc (3)'!$AD$32="Sim",R257,Q257)</f>
        <v>1118166.8510702618</v>
      </c>
      <c r="T257" s="9">
        <f t="shared" si="75"/>
        <v>253</v>
      </c>
      <c r="U257" s="17">
        <f t="shared" ca="1" si="76"/>
        <v>53206</v>
      </c>
      <c r="V257" s="22"/>
      <c r="W257" s="22"/>
      <c r="X257" s="22"/>
    </row>
    <row r="258" spans="2:24" x14ac:dyDescent="0.2">
      <c r="B258" s="17">
        <f t="shared" ca="1" si="65"/>
        <v>53206</v>
      </c>
      <c r="C258" s="9">
        <f t="shared" si="77"/>
        <v>254</v>
      </c>
      <c r="D258" s="9"/>
      <c r="E258" s="13">
        <f t="shared" si="66"/>
        <v>2808.7095460586647</v>
      </c>
      <c r="F258" s="14">
        <f t="shared" si="78"/>
        <v>480759.27219660633</v>
      </c>
      <c r="G258" s="15">
        <f t="shared" si="67"/>
        <v>0.42620778015200994</v>
      </c>
      <c r="H258" s="13">
        <f t="shared" si="68"/>
        <v>20365.619151807321</v>
      </c>
      <c r="I258" s="13">
        <f t="shared" si="69"/>
        <v>1587632.4581456759</v>
      </c>
      <c r="J258" s="15">
        <f t="shared" si="62"/>
        <v>0.57379221984799011</v>
      </c>
      <c r="K258" s="13">
        <f t="shared" si="70"/>
        <v>647233.44540498289</v>
      </c>
      <c r="L258" s="13">
        <f t="shared" si="79"/>
        <v>47893002.213025108</v>
      </c>
      <c r="M258" s="15">
        <f t="shared" si="71"/>
        <v>0.57379221984799011</v>
      </c>
      <c r="N258" s="13">
        <f t="shared" si="63"/>
        <v>7600.9453744476632</v>
      </c>
      <c r="O258" s="13">
        <f t="shared" si="72"/>
        <v>940399.01274069282</v>
      </c>
      <c r="P258" s="15">
        <f t="shared" si="64"/>
        <v>0.45465227835980254</v>
      </c>
      <c r="Q258" s="7">
        <f t="shared" si="73"/>
        <v>2068391.730342282</v>
      </c>
      <c r="R258" s="7">
        <f t="shared" si="74"/>
        <v>1127992.7176015892</v>
      </c>
      <c r="S258" s="13">
        <f>IF('Calc (3)'!$AD$32="Sim",R258,Q258)</f>
        <v>1127992.7176015892</v>
      </c>
      <c r="T258" s="9">
        <f t="shared" si="75"/>
        <v>254</v>
      </c>
      <c r="U258" s="17">
        <f t="shared" ca="1" si="76"/>
        <v>53236</v>
      </c>
      <c r="V258" s="22"/>
      <c r="W258" s="22"/>
      <c r="X258" s="22"/>
    </row>
    <row r="259" spans="2:24" x14ac:dyDescent="0.2">
      <c r="B259" s="17">
        <f t="shared" ca="1" si="65"/>
        <v>53236</v>
      </c>
      <c r="C259" s="9">
        <f t="shared" si="77"/>
        <v>255</v>
      </c>
      <c r="D259" s="9"/>
      <c r="E259" s="13">
        <f t="shared" si="66"/>
        <v>2820.1525764216226</v>
      </c>
      <c r="F259" s="14">
        <f t="shared" si="78"/>
        <v>483579.42477302795</v>
      </c>
      <c r="G259" s="15">
        <f t="shared" si="67"/>
        <v>0.42497846159181046</v>
      </c>
      <c r="H259" s="13">
        <f t="shared" si="68"/>
        <v>20596.381686870867</v>
      </c>
      <c r="I259" s="13">
        <f t="shared" si="69"/>
        <v>1608228.8398325469</v>
      </c>
      <c r="J259" s="15">
        <f t="shared" si="62"/>
        <v>0.57502153840818959</v>
      </c>
      <c r="K259" s="13">
        <f t="shared" si="70"/>
        <v>654312.18263154547</v>
      </c>
      <c r="L259" s="13">
        <f t="shared" si="79"/>
        <v>48547314.395656653</v>
      </c>
      <c r="M259" s="15">
        <f t="shared" si="71"/>
        <v>0.57502153840818959</v>
      </c>
      <c r="N259" s="13">
        <f t="shared" si="63"/>
        <v>7686.9966746840619</v>
      </c>
      <c r="O259" s="13">
        <f t="shared" si="72"/>
        <v>953916.65720100119</v>
      </c>
      <c r="P259" s="15">
        <f t="shared" si="64"/>
        <v>0.45602490120234274</v>
      </c>
      <c r="Q259" s="7">
        <f t="shared" si="73"/>
        <v>2091808.2646055745</v>
      </c>
      <c r="R259" s="7">
        <f t="shared" si="74"/>
        <v>1137891.6074045734</v>
      </c>
      <c r="S259" s="13">
        <f>IF('Calc (3)'!$AD$32="Sim",R259,Q259)</f>
        <v>1137891.6074045734</v>
      </c>
      <c r="T259" s="9">
        <f t="shared" si="75"/>
        <v>255</v>
      </c>
      <c r="U259" s="17">
        <f t="shared" ca="1" si="76"/>
        <v>53267</v>
      </c>
      <c r="V259" s="22"/>
      <c r="W259" s="22"/>
      <c r="X259" s="22"/>
    </row>
    <row r="260" spans="2:24" x14ac:dyDescent="0.2">
      <c r="B260" s="17">
        <f t="shared" ca="1" si="65"/>
        <v>53267</v>
      </c>
      <c r="C260" s="9">
        <f t="shared" si="77"/>
        <v>256</v>
      </c>
      <c r="D260" s="9"/>
      <c r="E260" s="13">
        <f t="shared" si="66"/>
        <v>2831.642227106739</v>
      </c>
      <c r="F260" s="14">
        <f t="shared" si="78"/>
        <v>486411.06700013467</v>
      </c>
      <c r="G260" s="15">
        <f t="shared" si="67"/>
        <v>0.42375321171767361</v>
      </c>
      <c r="H260" s="13">
        <f t="shared" si="68"/>
        <v>20829.556027299433</v>
      </c>
      <c r="I260" s="13">
        <f t="shared" si="69"/>
        <v>1629058.3958598464</v>
      </c>
      <c r="J260" s="15">
        <f t="shared" si="62"/>
        <v>0.57624678828232634</v>
      </c>
      <c r="K260" s="13">
        <f t="shared" si="70"/>
        <v>661452.95750714629</v>
      </c>
      <c r="L260" s="13">
        <f t="shared" si="79"/>
        <v>49208767.353163801</v>
      </c>
      <c r="M260" s="15">
        <f t="shared" si="71"/>
        <v>0.57624678828232645</v>
      </c>
      <c r="N260" s="13">
        <f t="shared" si="63"/>
        <v>7773.9470684549542</v>
      </c>
      <c r="O260" s="13">
        <f t="shared" si="72"/>
        <v>967605.43835269986</v>
      </c>
      <c r="P260" s="15">
        <f t="shared" si="64"/>
        <v>0.45739513395979658</v>
      </c>
      <c r="Q260" s="7">
        <f t="shared" si="73"/>
        <v>2115469.4628599808</v>
      </c>
      <c r="R260" s="7">
        <f t="shared" si="74"/>
        <v>1147864.0245072809</v>
      </c>
      <c r="S260" s="13">
        <f>IF('Calc (3)'!$AD$32="Sim",R260,Q260)</f>
        <v>1147864.0245072809</v>
      </c>
      <c r="T260" s="9">
        <f t="shared" si="75"/>
        <v>256</v>
      </c>
      <c r="U260" s="17">
        <f t="shared" ca="1" si="76"/>
        <v>53297</v>
      </c>
      <c r="V260" s="22"/>
      <c r="W260" s="22"/>
      <c r="X260" s="22"/>
    </row>
    <row r="261" spans="2:24" x14ac:dyDescent="0.2">
      <c r="B261" s="17">
        <f t="shared" ca="1" si="65"/>
        <v>53297</v>
      </c>
      <c r="C261" s="9">
        <f t="shared" si="77"/>
        <v>257</v>
      </c>
      <c r="D261" s="9"/>
      <c r="E261" s="13">
        <f t="shared" si="66"/>
        <v>2843.1786880509776</v>
      </c>
      <c r="F261" s="14">
        <f t="shared" si="78"/>
        <v>489254.24568818568</v>
      </c>
      <c r="G261" s="15">
        <f t="shared" si="67"/>
        <v>0.42253201409688629</v>
      </c>
      <c r="H261" s="13">
        <f t="shared" si="68"/>
        <v>21065.166653307799</v>
      </c>
      <c r="I261" s="13">
        <f t="shared" si="69"/>
        <v>1650123.5625131542</v>
      </c>
      <c r="J261" s="15">
        <f t="shared" ref="J261:J324" si="80">1-G261</f>
        <v>0.57746798590311377</v>
      </c>
      <c r="K261" s="13">
        <f t="shared" si="70"/>
        <v>668656.23059586703</v>
      </c>
      <c r="L261" s="13">
        <f t="shared" si="79"/>
        <v>49877423.583759665</v>
      </c>
      <c r="M261" s="15">
        <f t="shared" si="71"/>
        <v>0.57746798590311366</v>
      </c>
      <c r="N261" s="13">
        <f t="shared" ref="N261:N324" si="81">Q261*Inflação_3</f>
        <v>7861.8056806642699</v>
      </c>
      <c r="O261" s="13">
        <f t="shared" si="72"/>
        <v>981467.33191728685</v>
      </c>
      <c r="P261" s="15">
        <f t="shared" ref="P261:P324" si="82">O261/Q261</f>
        <v>0.45876297685935413</v>
      </c>
      <c r="Q261" s="7">
        <f t="shared" si="73"/>
        <v>2139377.8082013396</v>
      </c>
      <c r="R261" s="7">
        <f t="shared" si="74"/>
        <v>1157910.4762840527</v>
      </c>
      <c r="S261" s="13">
        <f>IF('Calc (3)'!$AD$32="Sim",R261,Q261)</f>
        <v>1157910.4762840527</v>
      </c>
      <c r="T261" s="9">
        <f t="shared" si="75"/>
        <v>257</v>
      </c>
      <c r="U261" s="17">
        <f t="shared" ca="1" si="76"/>
        <v>53328</v>
      </c>
      <c r="V261" s="22"/>
      <c r="W261" s="22"/>
      <c r="X261" s="22"/>
    </row>
    <row r="262" spans="2:24" x14ac:dyDescent="0.2">
      <c r="B262" s="17">
        <f t="shared" ref="B262:B325" ca="1" si="83">DATE(YEAR(B261),MONTH(B261)+1,1)</f>
        <v>53328</v>
      </c>
      <c r="C262" s="9">
        <f t="shared" si="77"/>
        <v>258</v>
      </c>
      <c r="D262" s="9"/>
      <c r="E262" s="13">
        <f t="shared" ref="E262:E325" si="84">IF($AE$33,IF($AE$34,$E261*(1+Inflação_3)*(1+Crescimento_Salário_3),$E261*(1+Inflação_3)),IF($AE$34,$E261*(1+Crescimento_Salário_3),$E261))</f>
        <v>2854.7621499651282</v>
      </c>
      <c r="F262" s="14">
        <f t="shared" si="78"/>
        <v>492109.00783815078</v>
      </c>
      <c r="G262" s="15">
        <f t="shared" ref="G262:G325" si="85">IF(F262&lt;=0,0,F262/S262)</f>
        <v>0.42131485239275468</v>
      </c>
      <c r="H262" s="13">
        <f t="shared" ref="H262:H325" si="86">Q261*Taxa_3</f>
        <v>21303.238290768204</v>
      </c>
      <c r="I262" s="13">
        <f t="shared" ref="I262:I325" si="87">I261+H262</f>
        <v>1671426.8008039223</v>
      </c>
      <c r="J262" s="15">
        <f t="shared" si="80"/>
        <v>0.57868514760724532</v>
      </c>
      <c r="K262" s="13">
        <f t="shared" ref="K262:K325" si="88">R262-F262</f>
        <v>675922.46563907899</v>
      </c>
      <c r="L262" s="13">
        <f t="shared" si="79"/>
        <v>50553346.049398743</v>
      </c>
      <c r="M262" s="15">
        <f t="shared" ref="M262:M325" si="89">K262/R262</f>
        <v>0.57868514760724543</v>
      </c>
      <c r="N262" s="13">
        <f t="shared" si="81"/>
        <v>7950.5817277796332</v>
      </c>
      <c r="O262" s="13">
        <f t="shared" ref="O262:O325" si="90">Q262-R262</f>
        <v>995504.33516484289</v>
      </c>
      <c r="P262" s="15">
        <f t="shared" si="82"/>
        <v>0.4601284301319995</v>
      </c>
      <c r="Q262" s="7">
        <f t="shared" ref="Q262:Q325" si="91">Q261+E262+H262</f>
        <v>2163535.8086420726</v>
      </c>
      <c r="R262" s="7">
        <f t="shared" ref="R262:R325" si="92">(R261+E262)*(1+((1+Taxa_3)/(1+Inflação_3)-1))</f>
        <v>1168031.4734772297</v>
      </c>
      <c r="S262" s="13">
        <f>IF('Calc (3)'!$AD$32="Sim",R262,Q262)</f>
        <v>1168031.4734772297</v>
      </c>
      <c r="T262" s="9">
        <f t="shared" ref="T262:T325" si="93">C262</f>
        <v>258</v>
      </c>
      <c r="U262" s="17">
        <f t="shared" ref="U262:U325" ca="1" si="94">DATE(YEAR(U261),MONTH(U261)+1,1)</f>
        <v>53359</v>
      </c>
      <c r="V262" s="22"/>
      <c r="W262" s="22"/>
      <c r="X262" s="22"/>
    </row>
    <row r="263" spans="2:24" x14ac:dyDescent="0.2">
      <c r="B263" s="17">
        <f t="shared" ca="1" si="83"/>
        <v>53359</v>
      </c>
      <c r="C263" s="9">
        <f t="shared" ref="C263:C326" si="95">C262+1</f>
        <v>259</v>
      </c>
      <c r="D263" s="9"/>
      <c r="E263" s="13">
        <f t="shared" si="84"/>
        <v>2866.3928043369601</v>
      </c>
      <c r="F263" s="14">
        <f t="shared" ref="F263:F326" si="96">F262+E263</f>
        <v>494975.40064248774</v>
      </c>
      <c r="G263" s="15">
        <f t="shared" si="85"/>
        <v>0.42010171036359828</v>
      </c>
      <c r="H263" s="13">
        <f t="shared" si="86"/>
        <v>21543.795913664228</v>
      </c>
      <c r="I263" s="13">
        <f t="shared" si="87"/>
        <v>1692970.5967175865</v>
      </c>
      <c r="J263" s="15">
        <f t="shared" si="80"/>
        <v>0.57989828963640178</v>
      </c>
      <c r="K263" s="13">
        <f t="shared" si="88"/>
        <v>683252.12957653054</v>
      </c>
      <c r="L263" s="13">
        <f t="shared" ref="L263:L326" si="97">L262+K263</f>
        <v>51236598.178975277</v>
      </c>
      <c r="M263" s="15">
        <f t="shared" si="89"/>
        <v>0.57989828963640178</v>
      </c>
      <c r="N263" s="13">
        <f t="shared" si="81"/>
        <v>8040.2845187469802</v>
      </c>
      <c r="O263" s="13">
        <f t="shared" si="90"/>
        <v>1009718.4671410553</v>
      </c>
      <c r="P263" s="15">
        <f t="shared" si="82"/>
        <v>0.46149149401281336</v>
      </c>
      <c r="Q263" s="7">
        <f t="shared" si="91"/>
        <v>2187945.9973600735</v>
      </c>
      <c r="R263" s="7">
        <f t="shared" si="92"/>
        <v>1178227.5302190182</v>
      </c>
      <c r="S263" s="13">
        <f>IF('Calc (3)'!$AD$32="Sim",R263,Q263)</f>
        <v>1178227.5302190182</v>
      </c>
      <c r="T263" s="9">
        <f t="shared" si="93"/>
        <v>259</v>
      </c>
      <c r="U263" s="17">
        <f t="shared" ca="1" si="94"/>
        <v>53387</v>
      </c>
      <c r="V263" s="22"/>
      <c r="W263" s="22"/>
      <c r="X263" s="22"/>
    </row>
    <row r="264" spans="2:24" x14ac:dyDescent="0.2">
      <c r="B264" s="17">
        <f t="shared" ca="1" si="83"/>
        <v>53387</v>
      </c>
      <c r="C264" s="9">
        <f t="shared" si="95"/>
        <v>260</v>
      </c>
      <c r="D264" s="9"/>
      <c r="E264" s="13">
        <f t="shared" si="84"/>
        <v>2878.0708434343878</v>
      </c>
      <c r="F264" s="14">
        <f t="shared" si="96"/>
        <v>497853.47148592211</v>
      </c>
      <c r="G264" s="15">
        <f t="shared" si="85"/>
        <v>0.41889257186176154</v>
      </c>
      <c r="H264" s="13">
        <f t="shared" si="86"/>
        <v>21786.86474656915</v>
      </c>
      <c r="I264" s="13">
        <f t="shared" si="87"/>
        <v>1714757.4614641557</v>
      </c>
      <c r="J264" s="15">
        <f t="shared" si="80"/>
        <v>0.58110742813823846</v>
      </c>
      <c r="K264" s="13">
        <f t="shared" si="88"/>
        <v>690645.6925675727</v>
      </c>
      <c r="L264" s="13">
        <f t="shared" si="97"/>
        <v>51927243.871542849</v>
      </c>
      <c r="M264" s="15">
        <f t="shared" si="89"/>
        <v>0.58110742813823846</v>
      </c>
      <c r="N264" s="13">
        <f t="shared" si="81"/>
        <v>8130.9234559142951</v>
      </c>
      <c r="O264" s="13">
        <f t="shared" si="90"/>
        <v>1024111.7688965823</v>
      </c>
      <c r="P264" s="15">
        <f t="shared" si="82"/>
        <v>0.46285216874126744</v>
      </c>
      <c r="Q264" s="7">
        <f t="shared" si="91"/>
        <v>2212610.9329500771</v>
      </c>
      <c r="R264" s="7">
        <f t="shared" si="92"/>
        <v>1188499.1640534948</v>
      </c>
      <c r="S264" s="13">
        <f>IF('Calc (3)'!$AD$32="Sim",R264,Q264)</f>
        <v>1188499.1640534948</v>
      </c>
      <c r="T264" s="9">
        <f t="shared" si="93"/>
        <v>260</v>
      </c>
      <c r="U264" s="17">
        <f t="shared" ca="1" si="94"/>
        <v>53418</v>
      </c>
      <c r="V264" s="22"/>
      <c r="W264" s="22"/>
      <c r="X264" s="22"/>
    </row>
    <row r="265" spans="2:24" x14ac:dyDescent="0.2">
      <c r="B265" s="17">
        <f t="shared" ca="1" si="83"/>
        <v>53418</v>
      </c>
      <c r="C265" s="9">
        <f t="shared" si="95"/>
        <v>261</v>
      </c>
      <c r="D265" s="9"/>
      <c r="E265" s="13">
        <f t="shared" si="84"/>
        <v>2889.7964603086489</v>
      </c>
      <c r="F265" s="14">
        <f t="shared" si="96"/>
        <v>500743.26794623077</v>
      </c>
      <c r="G265" s="15">
        <f t="shared" si="85"/>
        <v>0.41768742083264282</v>
      </c>
      <c r="H265" s="13">
        <f t="shared" si="86"/>
        <v>22032.470267149016</v>
      </c>
      <c r="I265" s="13">
        <f t="shared" si="87"/>
        <v>1736789.9317313046</v>
      </c>
      <c r="J265" s="15">
        <f t="shared" si="80"/>
        <v>0.58231257916735712</v>
      </c>
      <c r="K265" s="13">
        <f t="shared" si="88"/>
        <v>698103.62801252119</v>
      </c>
      <c r="L265" s="13">
        <f t="shared" si="97"/>
        <v>52625347.499555372</v>
      </c>
      <c r="M265" s="15">
        <f t="shared" si="89"/>
        <v>0.58231257916735724</v>
      </c>
      <c r="N265" s="13">
        <f t="shared" si="81"/>
        <v>8222.5080359645526</v>
      </c>
      <c r="O265" s="13">
        <f t="shared" si="90"/>
        <v>1038686.303718783</v>
      </c>
      <c r="P265" s="15">
        <f t="shared" si="82"/>
        <v>0.46421045456151205</v>
      </c>
      <c r="Q265" s="7">
        <f t="shared" si="91"/>
        <v>2237533.1996775349</v>
      </c>
      <c r="R265" s="7">
        <f t="shared" si="92"/>
        <v>1198846.8959587519</v>
      </c>
      <c r="S265" s="13">
        <f>IF('Calc (3)'!$AD$32="Sim",R265,Q265)</f>
        <v>1198846.8959587519</v>
      </c>
      <c r="T265" s="9">
        <f t="shared" si="93"/>
        <v>261</v>
      </c>
      <c r="U265" s="17">
        <f t="shared" ca="1" si="94"/>
        <v>53448</v>
      </c>
      <c r="V265" s="22"/>
      <c r="W265" s="22"/>
      <c r="X265" s="22"/>
    </row>
    <row r="266" spans="2:24" x14ac:dyDescent="0.2">
      <c r="B266" s="17">
        <f t="shared" ca="1" si="83"/>
        <v>53448</v>
      </c>
      <c r="C266" s="9">
        <f t="shared" si="95"/>
        <v>262</v>
      </c>
      <c r="D266" s="9"/>
      <c r="E266" s="13">
        <f t="shared" si="84"/>
        <v>2901.5698487974951</v>
      </c>
      <c r="F266" s="14">
        <f t="shared" si="96"/>
        <v>503644.83779502829</v>
      </c>
      <c r="G266" s="15">
        <f t="shared" si="85"/>
        <v>0.41648624131373918</v>
      </c>
      <c r="H266" s="13">
        <f t="shared" si="86"/>
        <v>22280.63820869062</v>
      </c>
      <c r="I266" s="13">
        <f t="shared" si="87"/>
        <v>1759070.5699399952</v>
      </c>
      <c r="J266" s="15">
        <f t="shared" si="80"/>
        <v>0.58351375868626087</v>
      </c>
      <c r="K266" s="13">
        <f t="shared" si="88"/>
        <v>705626.41257415875</v>
      </c>
      <c r="L266" s="13">
        <f t="shared" si="97"/>
        <v>53330973.912129529</v>
      </c>
      <c r="M266" s="15">
        <f t="shared" si="89"/>
        <v>0.58351375868626087</v>
      </c>
      <c r="N266" s="13">
        <f t="shared" si="81"/>
        <v>8315.0478508579654</v>
      </c>
      <c r="O266" s="13">
        <f t="shared" si="90"/>
        <v>1053444.1573658357</v>
      </c>
      <c r="P266" s="15">
        <f t="shared" si="82"/>
        <v>0.46556635172265565</v>
      </c>
      <c r="Q266" s="7">
        <f t="shared" si="91"/>
        <v>2262715.4077350227</v>
      </c>
      <c r="R266" s="7">
        <f t="shared" si="92"/>
        <v>1209271.250369187</v>
      </c>
      <c r="S266" s="13">
        <f>IF('Calc (3)'!$AD$32="Sim",R266,Q266)</f>
        <v>1209271.250369187</v>
      </c>
      <c r="T266" s="9">
        <f t="shared" si="93"/>
        <v>262</v>
      </c>
      <c r="U266" s="17">
        <f t="shared" ca="1" si="94"/>
        <v>53479</v>
      </c>
      <c r="V266" s="22"/>
      <c r="W266" s="22"/>
      <c r="X266" s="22"/>
    </row>
    <row r="267" spans="2:24" x14ac:dyDescent="0.2">
      <c r="B267" s="17">
        <f t="shared" ca="1" si="83"/>
        <v>53479</v>
      </c>
      <c r="C267" s="9">
        <f t="shared" si="95"/>
        <v>263</v>
      </c>
      <c r="D267" s="9"/>
      <c r="E267" s="13">
        <f t="shared" si="84"/>
        <v>2913.3912035283979</v>
      </c>
      <c r="F267" s="14">
        <f t="shared" si="96"/>
        <v>506558.22899855667</v>
      </c>
      <c r="G267" s="15">
        <f t="shared" si="85"/>
        <v>0.41528901743370855</v>
      </c>
      <c r="H267" s="13">
        <f t="shared" si="86"/>
        <v>22531.394562654761</v>
      </c>
      <c r="I267" s="13">
        <f t="shared" si="87"/>
        <v>1781601.9645026498</v>
      </c>
      <c r="J267" s="15">
        <f t="shared" si="80"/>
        <v>0.5847109825662915</v>
      </c>
      <c r="K267" s="13">
        <f t="shared" si="88"/>
        <v>713214.52619937528</v>
      </c>
      <c r="L267" s="13">
        <f t="shared" si="97"/>
        <v>54044188.438328907</v>
      </c>
      <c r="M267" s="15">
        <f t="shared" si="89"/>
        <v>0.58471098256629139</v>
      </c>
      <c r="N267" s="13">
        <f t="shared" si="81"/>
        <v>8408.5525887836357</v>
      </c>
      <c r="O267" s="13">
        <f t="shared" si="90"/>
        <v>1068387.4383032736</v>
      </c>
      <c r="P267" s="15">
        <f t="shared" si="82"/>
        <v>0.46691986047903894</v>
      </c>
      <c r="Q267" s="7">
        <f t="shared" si="91"/>
        <v>2288160.1935012056</v>
      </c>
      <c r="R267" s="7">
        <f t="shared" si="92"/>
        <v>1219772.755197932</v>
      </c>
      <c r="S267" s="13">
        <f>IF('Calc (3)'!$AD$32="Sim",R267,Q267)</f>
        <v>1219772.755197932</v>
      </c>
      <c r="T267" s="9">
        <f t="shared" si="93"/>
        <v>263</v>
      </c>
      <c r="U267" s="17">
        <f t="shared" ca="1" si="94"/>
        <v>53509</v>
      </c>
      <c r="V267" s="22"/>
      <c r="W267" s="22"/>
      <c r="X267" s="22"/>
    </row>
    <row r="268" spans="2:24" x14ac:dyDescent="0.2">
      <c r="B268" s="17">
        <f t="shared" ca="1" si="83"/>
        <v>53509</v>
      </c>
      <c r="C268" s="9">
        <f t="shared" si="95"/>
        <v>264</v>
      </c>
      <c r="D268" s="9">
        <v>22</v>
      </c>
      <c r="E268" s="13">
        <f t="shared" si="84"/>
        <v>2925.260719921765</v>
      </c>
      <c r="F268" s="14">
        <f t="shared" si="96"/>
        <v>509483.48971847846</v>
      </c>
      <c r="G268" s="15">
        <f t="shared" si="85"/>
        <v>0.41409573341144751</v>
      </c>
      <c r="H268" s="13">
        <f t="shared" si="86"/>
        <v>22784.765581254916</v>
      </c>
      <c r="I268" s="13">
        <f t="shared" si="87"/>
        <v>1804386.7300839047</v>
      </c>
      <c r="J268" s="15">
        <f t="shared" si="80"/>
        <v>0.58590426658855255</v>
      </c>
      <c r="K268" s="13">
        <f t="shared" si="88"/>
        <v>720868.45214094967</v>
      </c>
      <c r="L268" s="13">
        <f t="shared" si="97"/>
        <v>54765056.890469857</v>
      </c>
      <c r="M268" s="15">
        <f t="shared" si="89"/>
        <v>0.58590426658855255</v>
      </c>
      <c r="N268" s="13">
        <f t="shared" si="81"/>
        <v>8503.0320351206792</v>
      </c>
      <c r="O268" s="13">
        <f t="shared" si="90"/>
        <v>1083518.2779429543</v>
      </c>
      <c r="P268" s="15">
        <f t="shared" si="82"/>
        <v>0.4682709810905008</v>
      </c>
      <c r="Q268" s="7">
        <f t="shared" si="91"/>
        <v>2313870.2198023824</v>
      </c>
      <c r="R268" s="7">
        <f t="shared" si="92"/>
        <v>1230351.9418594281</v>
      </c>
      <c r="S268" s="13">
        <f>IF('Calc (3)'!$AD$32="Sim",R268,Q268)</f>
        <v>1230351.9418594281</v>
      </c>
      <c r="T268" s="9">
        <f t="shared" si="93"/>
        <v>264</v>
      </c>
      <c r="U268" s="17">
        <f t="shared" ca="1" si="94"/>
        <v>53540</v>
      </c>
      <c r="V268" s="22"/>
      <c r="W268" s="22"/>
      <c r="X268" s="22"/>
    </row>
    <row r="269" spans="2:24" x14ac:dyDescent="0.2">
      <c r="B269" s="17">
        <f t="shared" ca="1" si="83"/>
        <v>53540</v>
      </c>
      <c r="C269" s="9">
        <f t="shared" si="95"/>
        <v>265</v>
      </c>
      <c r="D269" s="9"/>
      <c r="E269" s="13">
        <f t="shared" si="84"/>
        <v>2937.1785941941707</v>
      </c>
      <c r="F269" s="14">
        <f t="shared" si="96"/>
        <v>512420.66831267264</v>
      </c>
      <c r="G269" s="15">
        <f t="shared" si="85"/>
        <v>0.41290637355518395</v>
      </c>
      <c r="H269" s="13">
        <f t="shared" si="86"/>
        <v>23040.77778006162</v>
      </c>
      <c r="I269" s="13">
        <f t="shared" si="87"/>
        <v>1827427.5078639663</v>
      </c>
      <c r="J269" s="15">
        <f t="shared" si="80"/>
        <v>0.58709362644481611</v>
      </c>
      <c r="K269" s="13">
        <f t="shared" si="88"/>
        <v>728588.67697947228</v>
      </c>
      <c r="L269" s="13">
        <f t="shared" si="97"/>
        <v>55493645.567449331</v>
      </c>
      <c r="M269" s="15">
        <f t="shared" si="89"/>
        <v>0.58709362644481611</v>
      </c>
      <c r="N269" s="13">
        <f t="shared" si="81"/>
        <v>8598.4960734089327</v>
      </c>
      <c r="O269" s="13">
        <f t="shared" si="90"/>
        <v>1098838.8308844934</v>
      </c>
      <c r="P269" s="15">
        <f t="shared" si="82"/>
        <v>0.46961971382263762</v>
      </c>
      <c r="Q269" s="7">
        <f t="shared" si="91"/>
        <v>2339848.1761766383</v>
      </c>
      <c r="R269" s="7">
        <f t="shared" si="92"/>
        <v>1241009.3452921449</v>
      </c>
      <c r="S269" s="13">
        <f>IF('Calc (3)'!$AD$32="Sim",R269,Q269)</f>
        <v>1241009.3452921449</v>
      </c>
      <c r="T269" s="9">
        <f t="shared" si="93"/>
        <v>265</v>
      </c>
      <c r="U269" s="17">
        <f t="shared" ca="1" si="94"/>
        <v>53571</v>
      </c>
      <c r="V269" s="22"/>
      <c r="W269" s="22"/>
      <c r="X269" s="22"/>
    </row>
    <row r="270" spans="2:24" x14ac:dyDescent="0.2">
      <c r="B270" s="17">
        <f t="shared" ca="1" si="83"/>
        <v>53571</v>
      </c>
      <c r="C270" s="9">
        <f t="shared" si="95"/>
        <v>266</v>
      </c>
      <c r="D270" s="9"/>
      <c r="E270" s="13">
        <f t="shared" si="84"/>
        <v>2949.1450233616001</v>
      </c>
      <c r="F270" s="14">
        <f t="shared" si="96"/>
        <v>515369.81333603425</v>
      </c>
      <c r="G270" s="15">
        <f t="shared" si="85"/>
        <v>0.41172092226158613</v>
      </c>
      <c r="H270" s="13">
        <f t="shared" si="86"/>
        <v>23299.457940632805</v>
      </c>
      <c r="I270" s="13">
        <f t="shared" si="87"/>
        <v>1850726.965804599</v>
      </c>
      <c r="J270" s="15">
        <f t="shared" si="80"/>
        <v>0.58827907773841392</v>
      </c>
      <c r="K270" s="13">
        <f t="shared" si="88"/>
        <v>736375.69064541021</v>
      </c>
      <c r="L270" s="13">
        <f t="shared" si="97"/>
        <v>56230021.258094743</v>
      </c>
      <c r="M270" s="15">
        <f t="shared" si="89"/>
        <v>0.58827907773841381</v>
      </c>
      <c r="N270" s="13">
        <f t="shared" si="81"/>
        <v>8694.9546863293544</v>
      </c>
      <c r="O270" s="13">
        <f t="shared" si="90"/>
        <v>1114351.2751591885</v>
      </c>
      <c r="P270" s="15">
        <f t="shared" si="82"/>
        <v>0.47096605894705679</v>
      </c>
      <c r="Q270" s="7">
        <f t="shared" si="91"/>
        <v>2366096.7791406331</v>
      </c>
      <c r="R270" s="7">
        <f t="shared" si="92"/>
        <v>1251745.5039814445</v>
      </c>
      <c r="S270" s="13">
        <f>IF('Calc (3)'!$AD$32="Sim",R270,Q270)</f>
        <v>1251745.5039814445</v>
      </c>
      <c r="T270" s="9">
        <f t="shared" si="93"/>
        <v>266</v>
      </c>
      <c r="U270" s="17">
        <f t="shared" ca="1" si="94"/>
        <v>53601</v>
      </c>
      <c r="V270" s="22"/>
      <c r="W270" s="22"/>
      <c r="X270" s="22"/>
    </row>
    <row r="271" spans="2:24" x14ac:dyDescent="0.2">
      <c r="B271" s="17">
        <f t="shared" ca="1" si="83"/>
        <v>53601</v>
      </c>
      <c r="C271" s="9">
        <f t="shared" si="95"/>
        <v>267</v>
      </c>
      <c r="D271" s="9"/>
      <c r="E271" s="13">
        <f t="shared" si="84"/>
        <v>2961.1602052427056</v>
      </c>
      <c r="F271" s="14">
        <f t="shared" si="96"/>
        <v>518330.97354127694</v>
      </c>
      <c r="G271" s="15">
        <f t="shared" si="85"/>
        <v>0.41053936401488572</v>
      </c>
      <c r="H271" s="13">
        <f t="shared" si="86"/>
        <v>23560.833113170407</v>
      </c>
      <c r="I271" s="13">
        <f t="shared" si="87"/>
        <v>1874287.7989177695</v>
      </c>
      <c r="J271" s="15">
        <f t="shared" si="80"/>
        <v>0.58946063598511422</v>
      </c>
      <c r="K271" s="13">
        <f t="shared" si="88"/>
        <v>744229.98644131515</v>
      </c>
      <c r="L271" s="13">
        <f t="shared" si="97"/>
        <v>56974251.244536057</v>
      </c>
      <c r="M271" s="15">
        <f t="shared" si="89"/>
        <v>0.58946063598511422</v>
      </c>
      <c r="N271" s="13">
        <f t="shared" si="81"/>
        <v>8792.4179566941821</v>
      </c>
      <c r="O271" s="13">
        <f t="shared" si="90"/>
        <v>1130057.8124764538</v>
      </c>
      <c r="P271" s="15">
        <f t="shared" si="82"/>
        <v>0.47231001674162315</v>
      </c>
      <c r="Q271" s="7">
        <f t="shared" si="91"/>
        <v>2392618.772459046</v>
      </c>
      <c r="R271" s="7">
        <f t="shared" si="92"/>
        <v>1262560.9599825921</v>
      </c>
      <c r="S271" s="13">
        <f>IF('Calc (3)'!$AD$32="Sim",R271,Q271)</f>
        <v>1262560.9599825921</v>
      </c>
      <c r="T271" s="9">
        <f t="shared" si="93"/>
        <v>267</v>
      </c>
      <c r="U271" s="17">
        <f t="shared" ca="1" si="94"/>
        <v>53632</v>
      </c>
      <c r="V271" s="22"/>
      <c r="W271" s="22"/>
      <c r="X271" s="22"/>
    </row>
    <row r="272" spans="2:24" x14ac:dyDescent="0.2">
      <c r="B272" s="17">
        <f t="shared" ca="1" si="83"/>
        <v>53632</v>
      </c>
      <c r="C272" s="9">
        <f t="shared" si="95"/>
        <v>268</v>
      </c>
      <c r="D272" s="9"/>
      <c r="E272" s="13">
        <f t="shared" si="84"/>
        <v>2973.2243384620779</v>
      </c>
      <c r="F272" s="14">
        <f t="shared" si="96"/>
        <v>521304.19787973899</v>
      </c>
      <c r="G272" s="15">
        <f t="shared" si="85"/>
        <v>0.40936168338601592</v>
      </c>
      <c r="H272" s="13">
        <f t="shared" si="86"/>
        <v>23824.930619203406</v>
      </c>
      <c r="I272" s="13">
        <f t="shared" si="87"/>
        <v>1898112.7295369729</v>
      </c>
      <c r="J272" s="15">
        <f t="shared" si="80"/>
        <v>0.59063831661398414</v>
      </c>
      <c r="K272" s="13">
        <f t="shared" si="88"/>
        <v>752152.06106417545</v>
      </c>
      <c r="L272" s="13">
        <f t="shared" si="97"/>
        <v>57726403.305600233</v>
      </c>
      <c r="M272" s="15">
        <f t="shared" si="89"/>
        <v>0.59063831661398414</v>
      </c>
      <c r="N272" s="13">
        <f t="shared" si="81"/>
        <v>8890.8960684469748</v>
      </c>
      <c r="O272" s="13">
        <f t="shared" si="90"/>
        <v>1145960.6684727971</v>
      </c>
      <c r="P272" s="15">
        <f t="shared" si="82"/>
        <v>0.47365158749070002</v>
      </c>
      <c r="Q272" s="7">
        <f t="shared" si="91"/>
        <v>2419416.9274167116</v>
      </c>
      <c r="R272" s="7">
        <f t="shared" si="92"/>
        <v>1273456.2589439144</v>
      </c>
      <c r="S272" s="13">
        <f>IF('Calc (3)'!$AD$32="Sim",R272,Q272)</f>
        <v>1273456.2589439144</v>
      </c>
      <c r="T272" s="9">
        <f t="shared" si="93"/>
        <v>268</v>
      </c>
      <c r="U272" s="17">
        <f t="shared" ca="1" si="94"/>
        <v>53662</v>
      </c>
      <c r="V272" s="22"/>
      <c r="W272" s="22"/>
      <c r="X272" s="22"/>
    </row>
    <row r="273" spans="2:24" x14ac:dyDescent="0.2">
      <c r="B273" s="17">
        <f t="shared" ca="1" si="83"/>
        <v>53662</v>
      </c>
      <c r="C273" s="9">
        <f t="shared" si="95"/>
        <v>269</v>
      </c>
      <c r="D273" s="9"/>
      <c r="E273" s="13">
        <f t="shared" si="84"/>
        <v>2985.3376224535282</v>
      </c>
      <c r="F273" s="14">
        <f t="shared" si="96"/>
        <v>524289.53550219256</v>
      </c>
      <c r="G273" s="15">
        <f t="shared" si="85"/>
        <v>0.40818786503176374</v>
      </c>
      <c r="H273" s="13">
        <f t="shared" si="86"/>
        <v>24091.778054297654</v>
      </c>
      <c r="I273" s="13">
        <f t="shared" si="87"/>
        <v>1922204.5075912706</v>
      </c>
      <c r="J273" s="15">
        <f t="shared" si="80"/>
        <v>0.59181213496823626</v>
      </c>
      <c r="K273" s="13">
        <f t="shared" si="88"/>
        <v>760142.41462791292</v>
      </c>
      <c r="L273" s="13">
        <f t="shared" si="97"/>
        <v>58486545.720228143</v>
      </c>
      <c r="M273" s="15">
        <f t="shared" si="89"/>
        <v>0.59181213496823626</v>
      </c>
      <c r="N273" s="13">
        <f t="shared" si="81"/>
        <v>8990.3993076726147</v>
      </c>
      <c r="O273" s="13">
        <f t="shared" si="90"/>
        <v>1162062.092963357</v>
      </c>
      <c r="P273" s="15">
        <f t="shared" si="82"/>
        <v>0.47499077148538277</v>
      </c>
      <c r="Q273" s="7">
        <f t="shared" si="91"/>
        <v>2446494.0430934625</v>
      </c>
      <c r="R273" s="7">
        <f t="shared" si="92"/>
        <v>1284431.9501301055</v>
      </c>
      <c r="S273" s="13">
        <f>IF('Calc (3)'!$AD$32="Sim",R273,Q273)</f>
        <v>1284431.9501301055</v>
      </c>
      <c r="T273" s="9">
        <f t="shared" si="93"/>
        <v>269</v>
      </c>
      <c r="U273" s="17">
        <f t="shared" ca="1" si="94"/>
        <v>53693</v>
      </c>
      <c r="V273" s="22"/>
      <c r="W273" s="22"/>
      <c r="X273" s="22"/>
    </row>
    <row r="274" spans="2:24" x14ac:dyDescent="0.2">
      <c r="B274" s="17">
        <f t="shared" ca="1" si="83"/>
        <v>53693</v>
      </c>
      <c r="C274" s="9">
        <f t="shared" si="95"/>
        <v>270</v>
      </c>
      <c r="D274" s="9"/>
      <c r="E274" s="13">
        <f t="shared" si="84"/>
        <v>2997.5002574633863</v>
      </c>
      <c r="F274" s="14">
        <f t="shared" si="96"/>
        <v>527287.03575965599</v>
      </c>
      <c r="G274" s="15">
        <f t="shared" si="85"/>
        <v>0.4070178936939356</v>
      </c>
      <c r="H274" s="13">
        <f t="shared" si="86"/>
        <v>24361.403290792688</v>
      </c>
      <c r="I274" s="13">
        <f t="shared" si="87"/>
        <v>1946565.9108820632</v>
      </c>
      <c r="J274" s="15">
        <f t="shared" si="80"/>
        <v>0.5929821063060644</v>
      </c>
      <c r="K274" s="13">
        <f t="shared" si="88"/>
        <v>768201.55068602716</v>
      </c>
      <c r="L274" s="13">
        <f t="shared" si="97"/>
        <v>59254747.270914167</v>
      </c>
      <c r="M274" s="15">
        <f t="shared" si="89"/>
        <v>0.5929821063060644</v>
      </c>
      <c r="N274" s="13">
        <f t="shared" si="81"/>
        <v>9090.9380636173919</v>
      </c>
      <c r="O274" s="13">
        <f t="shared" si="90"/>
        <v>1178364.3601960354</v>
      </c>
      <c r="P274" s="15">
        <f t="shared" si="82"/>
        <v>0.47632756902372769</v>
      </c>
      <c r="Q274" s="7">
        <f t="shared" si="91"/>
        <v>2473852.9466417185</v>
      </c>
      <c r="R274" s="7">
        <f t="shared" si="92"/>
        <v>1295488.5864456831</v>
      </c>
      <c r="S274" s="13">
        <f>IF('Calc (3)'!$AD$32="Sim",R274,Q274)</f>
        <v>1295488.5864456831</v>
      </c>
      <c r="T274" s="9">
        <f t="shared" si="93"/>
        <v>270</v>
      </c>
      <c r="U274" s="17">
        <f t="shared" ca="1" si="94"/>
        <v>53724</v>
      </c>
      <c r="V274" s="22"/>
      <c r="W274" s="22"/>
      <c r="X274" s="22"/>
    </row>
    <row r="275" spans="2:24" x14ac:dyDescent="0.2">
      <c r="B275" s="17">
        <f t="shared" ca="1" si="83"/>
        <v>53724</v>
      </c>
      <c r="C275" s="9">
        <f t="shared" si="95"/>
        <v>271</v>
      </c>
      <c r="D275" s="9"/>
      <c r="E275" s="13">
        <f t="shared" si="84"/>
        <v>3009.7124445538102</v>
      </c>
      <c r="F275" s="14">
        <f t="shared" si="96"/>
        <v>530296.74820420984</v>
      </c>
      <c r="G275" s="15">
        <f t="shared" si="85"/>
        <v>0.4058517541985377</v>
      </c>
      <c r="H275" s="13">
        <f t="shared" si="86"/>
        <v>24633.834480565874</v>
      </c>
      <c r="I275" s="13">
        <f t="shared" si="87"/>
        <v>1971199.7453626292</v>
      </c>
      <c r="J275" s="15">
        <f t="shared" si="80"/>
        <v>0.5941482458014623</v>
      </c>
      <c r="K275" s="13">
        <f t="shared" si="88"/>
        <v>776329.9762543845</v>
      </c>
      <c r="L275" s="13">
        <f t="shared" si="97"/>
        <v>60031077.247168548</v>
      </c>
      <c r="M275" s="15">
        <f t="shared" si="89"/>
        <v>0.5941482458014623</v>
      </c>
      <c r="N275" s="13">
        <f t="shared" si="81"/>
        <v>9192.5228297192389</v>
      </c>
      <c r="O275" s="13">
        <f t="shared" si="90"/>
        <v>1194869.7691082438</v>
      </c>
      <c r="P275" s="15">
        <f t="shared" si="82"/>
        <v>0.47766198041097424</v>
      </c>
      <c r="Q275" s="7">
        <f t="shared" si="91"/>
        <v>2501496.4935668381</v>
      </c>
      <c r="R275" s="7">
        <f t="shared" si="92"/>
        <v>1306626.7244585943</v>
      </c>
      <c r="S275" s="13">
        <f>IF('Calc (3)'!$AD$32="Sim",R275,Q275)</f>
        <v>1306626.7244585943</v>
      </c>
      <c r="T275" s="9">
        <f t="shared" si="93"/>
        <v>271</v>
      </c>
      <c r="U275" s="17">
        <f t="shared" ca="1" si="94"/>
        <v>53752</v>
      </c>
      <c r="V275" s="22"/>
      <c r="W275" s="22"/>
      <c r="X275" s="22"/>
    </row>
    <row r="276" spans="2:24" x14ac:dyDescent="0.2">
      <c r="B276" s="17">
        <f t="shared" ca="1" si="83"/>
        <v>53752</v>
      </c>
      <c r="C276" s="9">
        <f t="shared" si="95"/>
        <v>272</v>
      </c>
      <c r="D276" s="9"/>
      <c r="E276" s="13">
        <f t="shared" si="84"/>
        <v>3021.9743856061091</v>
      </c>
      <c r="F276" s="14">
        <f t="shared" si="96"/>
        <v>533318.72258981597</v>
      </c>
      <c r="G276" s="15">
        <f t="shared" si="85"/>
        <v>0.40468943145496861</v>
      </c>
      <c r="H276" s="13">
        <f t="shared" si="86"/>
        <v>24909.100057824042</v>
      </c>
      <c r="I276" s="13">
        <f t="shared" si="87"/>
        <v>1996108.8454204532</v>
      </c>
      <c r="J276" s="15">
        <f t="shared" si="80"/>
        <v>0.59531056854503139</v>
      </c>
      <c r="K276" s="13">
        <f t="shared" si="88"/>
        <v>784528.20183415548</v>
      </c>
      <c r="L276" s="13">
        <f t="shared" si="97"/>
        <v>60815605.449002706</v>
      </c>
      <c r="M276" s="15">
        <f t="shared" si="89"/>
        <v>0.59531056854503139</v>
      </c>
      <c r="N276" s="13">
        <f t="shared" si="81"/>
        <v>9295.1642046482575</v>
      </c>
      <c r="O276" s="13">
        <f t="shared" si="90"/>
        <v>1211580.6435862968</v>
      </c>
      <c r="P276" s="15">
        <f t="shared" si="82"/>
        <v>0.47899400595976205</v>
      </c>
      <c r="Q276" s="7">
        <f t="shared" si="91"/>
        <v>2529427.5680102683</v>
      </c>
      <c r="R276" s="7">
        <f t="shared" si="92"/>
        <v>1317846.9244239714</v>
      </c>
      <c r="S276" s="13">
        <f>IF('Calc (3)'!$AD$32="Sim",R276,Q276)</f>
        <v>1317846.9244239714</v>
      </c>
      <c r="T276" s="9">
        <f t="shared" si="93"/>
        <v>272</v>
      </c>
      <c r="U276" s="17">
        <f t="shared" ca="1" si="94"/>
        <v>53783</v>
      </c>
      <c r="V276" s="22"/>
      <c r="W276" s="22"/>
      <c r="X276" s="22"/>
    </row>
    <row r="277" spans="2:24" x14ac:dyDescent="0.2">
      <c r="B277" s="17">
        <f t="shared" ca="1" si="83"/>
        <v>53783</v>
      </c>
      <c r="C277" s="9">
        <f t="shared" si="95"/>
        <v>273</v>
      </c>
      <c r="D277" s="9"/>
      <c r="E277" s="13">
        <f t="shared" si="84"/>
        <v>3034.2862833240829</v>
      </c>
      <c r="F277" s="14">
        <f t="shared" si="96"/>
        <v>536353.00887314009</v>
      </c>
      <c r="G277" s="15">
        <f t="shared" si="85"/>
        <v>0.40353091045522571</v>
      </c>
      <c r="H277" s="13">
        <f t="shared" si="86"/>
        <v>25187.228741923012</v>
      </c>
      <c r="I277" s="13">
        <f t="shared" si="87"/>
        <v>2021296.0741623763</v>
      </c>
      <c r="J277" s="15">
        <f t="shared" si="80"/>
        <v>0.59646908954477429</v>
      </c>
      <c r="K277" s="13">
        <f t="shared" si="88"/>
        <v>792796.74143490184</v>
      </c>
      <c r="L277" s="13">
        <f t="shared" si="97"/>
        <v>61608402.190437607</v>
      </c>
      <c r="M277" s="15">
        <f t="shared" si="89"/>
        <v>0.59646908954477429</v>
      </c>
      <c r="N277" s="13">
        <f t="shared" si="81"/>
        <v>9398.872893357604</v>
      </c>
      <c r="O277" s="13">
        <f t="shared" si="90"/>
        <v>1228499.3327274732</v>
      </c>
      <c r="P277" s="15">
        <f t="shared" si="82"/>
        <v>0.48032364599034183</v>
      </c>
      <c r="Q277" s="7">
        <f t="shared" si="91"/>
        <v>2557649.0830355152</v>
      </c>
      <c r="R277" s="7">
        <f t="shared" si="92"/>
        <v>1329149.7503080419</v>
      </c>
      <c r="S277" s="13">
        <f>IF('Calc (3)'!$AD$32="Sim",R277,Q277)</f>
        <v>1329149.7503080419</v>
      </c>
      <c r="T277" s="9">
        <f t="shared" si="93"/>
        <v>273</v>
      </c>
      <c r="U277" s="17">
        <f t="shared" ca="1" si="94"/>
        <v>53813</v>
      </c>
      <c r="V277" s="22"/>
      <c r="W277" s="22"/>
      <c r="X277" s="22"/>
    </row>
    <row r="278" spans="2:24" x14ac:dyDescent="0.2">
      <c r="B278" s="17">
        <f t="shared" ca="1" si="83"/>
        <v>53813</v>
      </c>
      <c r="C278" s="9">
        <f t="shared" si="95"/>
        <v>274</v>
      </c>
      <c r="D278" s="9"/>
      <c r="E278" s="13">
        <f t="shared" si="84"/>
        <v>3046.6483412373714</v>
      </c>
      <c r="F278" s="14">
        <f t="shared" si="96"/>
        <v>539399.65721437742</v>
      </c>
      <c r="G278" s="15">
        <f t="shared" si="85"/>
        <v>0.40237617627312372</v>
      </c>
      <c r="H278" s="13">
        <f t="shared" si="86"/>
        <v>25468.249540215202</v>
      </c>
      <c r="I278" s="13">
        <f t="shared" si="87"/>
        <v>2046764.3237025915</v>
      </c>
      <c r="J278" s="15">
        <f t="shared" si="80"/>
        <v>0.59762382372687628</v>
      </c>
      <c r="K278" s="13">
        <f t="shared" si="88"/>
        <v>801136.11259781278</v>
      </c>
      <c r="L278" s="13">
        <f t="shared" si="97"/>
        <v>62409538.303035423</v>
      </c>
      <c r="M278" s="15">
        <f t="shared" si="89"/>
        <v>0.59762382372687628</v>
      </c>
      <c r="N278" s="13">
        <f t="shared" si="81"/>
        <v>9503.6597081448635</v>
      </c>
      <c r="O278" s="13">
        <f t="shared" si="90"/>
        <v>1245628.2111047779</v>
      </c>
      <c r="P278" s="15">
        <f t="shared" si="82"/>
        <v>0.48165090083078155</v>
      </c>
      <c r="Q278" s="7">
        <f t="shared" si="91"/>
        <v>2586163.9809169681</v>
      </c>
      <c r="R278" s="7">
        <f t="shared" si="92"/>
        <v>1340535.7698121902</v>
      </c>
      <c r="S278" s="13">
        <f>IF('Calc (3)'!$AD$32="Sim",R278,Q278)</f>
        <v>1340535.7698121902</v>
      </c>
      <c r="T278" s="9">
        <f t="shared" si="93"/>
        <v>274</v>
      </c>
      <c r="U278" s="17">
        <f t="shared" ca="1" si="94"/>
        <v>53844</v>
      </c>
      <c r="V278" s="22"/>
      <c r="W278" s="22"/>
      <c r="X278" s="22"/>
    </row>
    <row r="279" spans="2:24" x14ac:dyDescent="0.2">
      <c r="B279" s="17">
        <f t="shared" ca="1" si="83"/>
        <v>53844</v>
      </c>
      <c r="C279" s="9">
        <f t="shared" si="95"/>
        <v>275</v>
      </c>
      <c r="D279" s="9"/>
      <c r="E279" s="13">
        <f t="shared" si="84"/>
        <v>3059.0607637048192</v>
      </c>
      <c r="F279" s="14">
        <f t="shared" si="96"/>
        <v>542458.71797808225</v>
      </c>
      <c r="G279" s="15">
        <f t="shared" si="85"/>
        <v>0.40122521406352613</v>
      </c>
      <c r="H279" s="13">
        <f t="shared" si="86"/>
        <v>25752.191750925627</v>
      </c>
      <c r="I279" s="13">
        <f t="shared" si="87"/>
        <v>2072516.5154535172</v>
      </c>
      <c r="J279" s="15">
        <f t="shared" si="80"/>
        <v>0.59877478593647382</v>
      </c>
      <c r="K279" s="13">
        <f t="shared" si="88"/>
        <v>809546.83641909121</v>
      </c>
      <c r="L279" s="13">
        <f t="shared" si="97"/>
        <v>63219085.139454514</v>
      </c>
      <c r="M279" s="15">
        <f t="shared" si="89"/>
        <v>0.59877478593647382</v>
      </c>
      <c r="N279" s="13">
        <f t="shared" si="81"/>
        <v>9609.5355697239866</v>
      </c>
      <c r="O279" s="13">
        <f t="shared" si="90"/>
        <v>1262969.6790344247</v>
      </c>
      <c r="P279" s="15">
        <f t="shared" si="82"/>
        <v>0.48297577081716597</v>
      </c>
      <c r="Q279" s="7">
        <f t="shared" si="91"/>
        <v>2614975.2334315982</v>
      </c>
      <c r="R279" s="7">
        <f t="shared" si="92"/>
        <v>1352005.5543971735</v>
      </c>
      <c r="S279" s="13">
        <f>IF('Calc (3)'!$AD$32="Sim",R279,Q279)</f>
        <v>1352005.5543971735</v>
      </c>
      <c r="T279" s="9">
        <f t="shared" si="93"/>
        <v>275</v>
      </c>
      <c r="U279" s="17">
        <f t="shared" ca="1" si="94"/>
        <v>53874</v>
      </c>
      <c r="V279" s="22"/>
      <c r="W279" s="22"/>
      <c r="X279" s="22"/>
    </row>
    <row r="280" spans="2:24" x14ac:dyDescent="0.2">
      <c r="B280" s="17">
        <f t="shared" ca="1" si="83"/>
        <v>53874</v>
      </c>
      <c r="C280" s="9">
        <f t="shared" si="95"/>
        <v>276</v>
      </c>
      <c r="D280" s="9">
        <v>23</v>
      </c>
      <c r="E280" s="13">
        <f t="shared" si="84"/>
        <v>3071.5237559178545</v>
      </c>
      <c r="F280" s="14">
        <f t="shared" si="96"/>
        <v>545530.24173400016</v>
      </c>
      <c r="G280" s="15">
        <f t="shared" si="85"/>
        <v>0.40007800906158886</v>
      </c>
      <c r="H280" s="13">
        <f t="shared" si="86"/>
        <v>26039.084966056562</v>
      </c>
      <c r="I280" s="13">
        <f t="shared" si="87"/>
        <v>2098555.600419574</v>
      </c>
      <c r="J280" s="15">
        <f t="shared" si="80"/>
        <v>0.59992199093841114</v>
      </c>
      <c r="K280" s="13">
        <f t="shared" si="88"/>
        <v>818029.43757349229</v>
      </c>
      <c r="L280" s="13">
        <f t="shared" si="97"/>
        <v>64037114.577028006</v>
      </c>
      <c r="M280" s="15">
        <f t="shared" si="89"/>
        <v>0.59992199093841114</v>
      </c>
      <c r="N280" s="13">
        <f t="shared" si="81"/>
        <v>9716.5115083079363</v>
      </c>
      <c r="O280" s="13">
        <f t="shared" si="90"/>
        <v>1280526.16284608</v>
      </c>
      <c r="P280" s="15">
        <f t="shared" si="82"/>
        <v>0.48429825629379286</v>
      </c>
      <c r="Q280" s="7">
        <f t="shared" si="91"/>
        <v>2644085.8421535725</v>
      </c>
      <c r="R280" s="7">
        <f t="shared" si="92"/>
        <v>1363559.6793074924</v>
      </c>
      <c r="S280" s="13">
        <f>IF('Calc (3)'!$AD$32="Sim",R280,Q280)</f>
        <v>1363559.6793074924</v>
      </c>
      <c r="T280" s="9">
        <f t="shared" si="93"/>
        <v>276</v>
      </c>
      <c r="U280" s="17">
        <f t="shared" ca="1" si="94"/>
        <v>53905</v>
      </c>
      <c r="V280" s="22"/>
      <c r="W280" s="22"/>
      <c r="X280" s="22"/>
    </row>
    <row r="281" spans="2:24" x14ac:dyDescent="0.2">
      <c r="B281" s="17">
        <f t="shared" ca="1" si="83"/>
        <v>53905</v>
      </c>
      <c r="C281" s="9">
        <f t="shared" si="95"/>
        <v>277</v>
      </c>
      <c r="D281" s="9"/>
      <c r="E281" s="13">
        <f t="shared" si="84"/>
        <v>3084.0375239038804</v>
      </c>
      <c r="F281" s="14">
        <f t="shared" si="96"/>
        <v>548614.27925790404</v>
      </c>
      <c r="G281" s="15">
        <f t="shared" si="85"/>
        <v>0.39893454658201527</v>
      </c>
      <c r="H281" s="13">
        <f t="shared" si="86"/>
        <v>26328.959074321207</v>
      </c>
      <c r="I281" s="13">
        <f t="shared" si="87"/>
        <v>2124884.5594938952</v>
      </c>
      <c r="J281" s="15">
        <f t="shared" si="80"/>
        <v>0.60106545341798467</v>
      </c>
      <c r="K281" s="13">
        <f t="shared" si="88"/>
        <v>826584.44433801482</v>
      </c>
      <c r="L281" s="13">
        <f t="shared" si="97"/>
        <v>64863699.021366023</v>
      </c>
      <c r="M281" s="15">
        <f t="shared" si="89"/>
        <v>0.60106545341798467</v>
      </c>
      <c r="N281" s="13">
        <f t="shared" si="81"/>
        <v>9824.5986647021109</v>
      </c>
      <c r="O281" s="13">
        <f t="shared" si="90"/>
        <v>1298300.1151558787</v>
      </c>
      <c r="P281" s="15">
        <f t="shared" si="82"/>
        <v>0.48561835761336208</v>
      </c>
      <c r="Q281" s="7">
        <f t="shared" si="91"/>
        <v>2673498.8387517976</v>
      </c>
      <c r="R281" s="7">
        <f t="shared" si="92"/>
        <v>1375198.7235959189</v>
      </c>
      <c r="S281" s="13">
        <f>IF('Calc (3)'!$AD$32="Sim",R281,Q281)</f>
        <v>1375198.7235959189</v>
      </c>
      <c r="T281" s="9">
        <f t="shared" si="93"/>
        <v>277</v>
      </c>
      <c r="U281" s="17">
        <f t="shared" ca="1" si="94"/>
        <v>53936</v>
      </c>
      <c r="V281" s="22"/>
      <c r="W281" s="22"/>
      <c r="X281" s="22"/>
    </row>
    <row r="282" spans="2:24" x14ac:dyDescent="0.2">
      <c r="B282" s="17">
        <f t="shared" ca="1" si="83"/>
        <v>53936</v>
      </c>
      <c r="C282" s="9">
        <f t="shared" si="95"/>
        <v>278</v>
      </c>
      <c r="D282" s="9"/>
      <c r="E282" s="13">
        <f t="shared" si="84"/>
        <v>3096.6022745296809</v>
      </c>
      <c r="F282" s="14">
        <f t="shared" si="96"/>
        <v>551710.88153243368</v>
      </c>
      <c r="G282" s="15">
        <f t="shared" si="85"/>
        <v>0.39779481201832378</v>
      </c>
      <c r="H282" s="13">
        <f t="shared" si="86"/>
        <v>26621.844264106523</v>
      </c>
      <c r="I282" s="13">
        <f t="shared" si="87"/>
        <v>2151506.4037580015</v>
      </c>
      <c r="J282" s="15">
        <f t="shared" si="80"/>
        <v>0.60220518798167622</v>
      </c>
      <c r="K282" s="13">
        <f t="shared" si="88"/>
        <v>835212.38861574512</v>
      </c>
      <c r="L282" s="13">
        <f t="shared" si="97"/>
        <v>65698911.409981765</v>
      </c>
      <c r="M282" s="15">
        <f t="shared" si="89"/>
        <v>0.60220518798167622</v>
      </c>
      <c r="N282" s="13">
        <f t="shared" si="81"/>
        <v>9933.8082914086717</v>
      </c>
      <c r="O282" s="13">
        <f t="shared" si="90"/>
        <v>1316294.0151422548</v>
      </c>
      <c r="P282" s="15">
        <f t="shared" si="82"/>
        <v>0.48693607513716092</v>
      </c>
      <c r="Q282" s="7">
        <f t="shared" si="91"/>
        <v>2703217.2852904336</v>
      </c>
      <c r="R282" s="7">
        <f t="shared" si="92"/>
        <v>1386923.2701481788</v>
      </c>
      <c r="S282" s="13">
        <f>IF('Calc (3)'!$AD$32="Sim",R282,Q282)</f>
        <v>1386923.2701481788</v>
      </c>
      <c r="T282" s="9">
        <f t="shared" si="93"/>
        <v>278</v>
      </c>
      <c r="U282" s="17">
        <f t="shared" ca="1" si="94"/>
        <v>53966</v>
      </c>
      <c r="V282" s="22"/>
      <c r="W282" s="22"/>
      <c r="X282" s="22"/>
    </row>
    <row r="283" spans="2:24" x14ac:dyDescent="0.2">
      <c r="B283" s="17">
        <f t="shared" ca="1" si="83"/>
        <v>53966</v>
      </c>
      <c r="C283" s="9">
        <f t="shared" si="95"/>
        <v>279</v>
      </c>
      <c r="D283" s="9"/>
      <c r="E283" s="13">
        <f t="shared" si="84"/>
        <v>3109.2182155048417</v>
      </c>
      <c r="F283" s="14">
        <f t="shared" si="96"/>
        <v>554820.09974793857</v>
      </c>
      <c r="G283" s="15">
        <f t="shared" si="85"/>
        <v>0.39665879084212624</v>
      </c>
      <c r="H283" s="13">
        <f t="shared" si="86"/>
        <v>26917.771026465667</v>
      </c>
      <c r="I283" s="13">
        <f t="shared" si="87"/>
        <v>2178424.1747844671</v>
      </c>
      <c r="J283" s="15">
        <f t="shared" si="80"/>
        <v>0.60334120915787381</v>
      </c>
      <c r="K283" s="13">
        <f t="shared" si="88"/>
        <v>843913.80595985637</v>
      </c>
      <c r="L283" s="13">
        <f t="shared" si="97"/>
        <v>66542825.215941623</v>
      </c>
      <c r="M283" s="15">
        <f t="shared" si="89"/>
        <v>0.6033412091578737</v>
      </c>
      <c r="N283" s="13">
        <f t="shared" si="81"/>
        <v>10044.15175374188</v>
      </c>
      <c r="O283" s="13">
        <f t="shared" si="90"/>
        <v>1334510.3688246089</v>
      </c>
      <c r="P283" s="15">
        <f t="shared" si="82"/>
        <v>0.48825140923524418</v>
      </c>
      <c r="Q283" s="7">
        <f t="shared" si="91"/>
        <v>2733244.2745324038</v>
      </c>
      <c r="R283" s="7">
        <f t="shared" si="92"/>
        <v>1398733.9057077949</v>
      </c>
      <c r="S283" s="13">
        <f>IF('Calc (3)'!$AD$32="Sim",R283,Q283)</f>
        <v>1398733.9057077949</v>
      </c>
      <c r="T283" s="9">
        <f t="shared" si="93"/>
        <v>279</v>
      </c>
      <c r="U283" s="17">
        <f t="shared" ca="1" si="94"/>
        <v>53997</v>
      </c>
      <c r="V283" s="22"/>
      <c r="W283" s="22"/>
      <c r="X283" s="22"/>
    </row>
    <row r="284" spans="2:24" x14ac:dyDescent="0.2">
      <c r="B284" s="17">
        <f t="shared" ca="1" si="83"/>
        <v>53997</v>
      </c>
      <c r="C284" s="9">
        <f t="shared" si="95"/>
        <v>280</v>
      </c>
      <c r="D284" s="9"/>
      <c r="E284" s="13">
        <f t="shared" si="84"/>
        <v>3121.8855553851827</v>
      </c>
      <c r="F284" s="14">
        <f t="shared" si="96"/>
        <v>557941.98530332372</v>
      </c>
      <c r="G284" s="15">
        <f t="shared" si="85"/>
        <v>0.39552646860241752</v>
      </c>
      <c r="H284" s="13">
        <f t="shared" si="86"/>
        <v>27216.770158140225</v>
      </c>
      <c r="I284" s="13">
        <f t="shared" si="87"/>
        <v>2205640.9449426075</v>
      </c>
      <c r="J284" s="15">
        <f t="shared" si="80"/>
        <v>0.60447353139758242</v>
      </c>
      <c r="K284" s="13">
        <f t="shared" si="88"/>
        <v>852689.23559776344</v>
      </c>
      <c r="L284" s="13">
        <f t="shared" si="97"/>
        <v>67395514.451539382</v>
      </c>
      <c r="M284" s="15">
        <f t="shared" si="89"/>
        <v>0.60447353139758253</v>
      </c>
      <c r="N284" s="13">
        <f t="shared" si="81"/>
        <v>10155.640530954561</v>
      </c>
      <c r="O284" s="13">
        <f t="shared" si="90"/>
        <v>1352951.7093448422</v>
      </c>
      <c r="P284" s="15">
        <f t="shared" si="82"/>
        <v>0.48956436028660949</v>
      </c>
      <c r="Q284" s="7">
        <f t="shared" si="91"/>
        <v>2763582.9302459294</v>
      </c>
      <c r="R284" s="7">
        <f t="shared" si="92"/>
        <v>1410631.2209010872</v>
      </c>
      <c r="S284" s="13">
        <f>IF('Calc (3)'!$AD$32="Sim",R284,Q284)</f>
        <v>1410631.2209010872</v>
      </c>
      <c r="T284" s="9">
        <f t="shared" si="93"/>
        <v>280</v>
      </c>
      <c r="U284" s="17">
        <f t="shared" ca="1" si="94"/>
        <v>54027</v>
      </c>
      <c r="V284" s="22"/>
      <c r="W284" s="22"/>
      <c r="X284" s="22"/>
    </row>
    <row r="285" spans="2:24" x14ac:dyDescent="0.2">
      <c r="B285" s="17">
        <f t="shared" ca="1" si="83"/>
        <v>54027</v>
      </c>
      <c r="C285" s="9">
        <f t="shared" si="95"/>
        <v>281</v>
      </c>
      <c r="D285" s="9"/>
      <c r="E285" s="13">
        <f t="shared" si="84"/>
        <v>3134.6045035762058</v>
      </c>
      <c r="F285" s="14">
        <f t="shared" si="96"/>
        <v>561076.58980689989</v>
      </c>
      <c r="G285" s="15">
        <f t="shared" si="85"/>
        <v>0.39439783092487646</v>
      </c>
      <c r="H285" s="13">
        <f t="shared" si="86"/>
        <v>27518.872764612617</v>
      </c>
      <c r="I285" s="13">
        <f t="shared" si="87"/>
        <v>2233159.8177072201</v>
      </c>
      <c r="J285" s="15">
        <f t="shared" si="80"/>
        <v>0.60560216907512354</v>
      </c>
      <c r="K285" s="13">
        <f t="shared" si="88"/>
        <v>861539.22045543347</v>
      </c>
      <c r="L285" s="13">
        <f t="shared" si="97"/>
        <v>68257053.67199482</v>
      </c>
      <c r="M285" s="15">
        <f t="shared" si="89"/>
        <v>0.60560216907512354</v>
      </c>
      <c r="N285" s="13">
        <f t="shared" si="81"/>
        <v>10268.286217375779</v>
      </c>
      <c r="O285" s="13">
        <f t="shared" si="90"/>
        <v>1371620.5972517848</v>
      </c>
      <c r="P285" s="15">
        <f t="shared" si="82"/>
        <v>0.49087492867936749</v>
      </c>
      <c r="Q285" s="7">
        <f t="shared" si="91"/>
        <v>2794236.4075141181</v>
      </c>
      <c r="R285" s="7">
        <f t="shared" si="92"/>
        <v>1422615.8102623334</v>
      </c>
      <c r="S285" s="13">
        <f>IF('Calc (3)'!$AD$32="Sim",R285,Q285)</f>
        <v>1422615.8102623334</v>
      </c>
      <c r="T285" s="9">
        <f t="shared" si="93"/>
        <v>281</v>
      </c>
      <c r="U285" s="17">
        <f t="shared" ca="1" si="94"/>
        <v>54058</v>
      </c>
      <c r="V285" s="22"/>
      <c r="W285" s="22"/>
      <c r="X285" s="22"/>
    </row>
    <row r="286" spans="2:24" x14ac:dyDescent="0.2">
      <c r="B286" s="17">
        <f t="shared" ca="1" si="83"/>
        <v>54058</v>
      </c>
      <c r="C286" s="9">
        <f t="shared" si="95"/>
        <v>282</v>
      </c>
      <c r="D286" s="9"/>
      <c r="E286" s="13">
        <f t="shared" si="84"/>
        <v>3147.3752703365567</v>
      </c>
      <c r="F286" s="14">
        <f t="shared" si="96"/>
        <v>564223.96507723641</v>
      </c>
      <c r="G286" s="15">
        <f t="shared" si="85"/>
        <v>0.39327286351117724</v>
      </c>
      <c r="H286" s="13">
        <f t="shared" si="86"/>
        <v>27824.110263188843</v>
      </c>
      <c r="I286" s="13">
        <f t="shared" si="87"/>
        <v>2260983.9279704089</v>
      </c>
      <c r="J286" s="15">
        <f t="shared" si="80"/>
        <v>0.6067271364888227</v>
      </c>
      <c r="K286" s="13">
        <f t="shared" si="88"/>
        <v>870464.30718185508</v>
      </c>
      <c r="L286" s="13">
        <f t="shared" si="97"/>
        <v>69127517.97917667</v>
      </c>
      <c r="M286" s="15">
        <f t="shared" si="89"/>
        <v>0.6067271364888227</v>
      </c>
      <c r="N286" s="13">
        <f t="shared" si="81"/>
        <v>10382.100523559871</v>
      </c>
      <c r="O286" s="13">
        <f t="shared" si="90"/>
        <v>1390519.6207885519</v>
      </c>
      <c r="P286" s="15">
        <f t="shared" si="82"/>
        <v>0.49218311481090804</v>
      </c>
      <c r="Q286" s="7">
        <f t="shared" si="91"/>
        <v>2825207.8930476434</v>
      </c>
      <c r="R286" s="7">
        <f t="shared" si="92"/>
        <v>1434688.2722590915</v>
      </c>
      <c r="S286" s="13">
        <f>IF('Calc (3)'!$AD$32="Sim",R286,Q286)</f>
        <v>1434688.2722590915</v>
      </c>
      <c r="T286" s="9">
        <f t="shared" si="93"/>
        <v>282</v>
      </c>
      <c r="U286" s="17">
        <f t="shared" ca="1" si="94"/>
        <v>54089</v>
      </c>
      <c r="V286" s="22"/>
      <c r="W286" s="22"/>
      <c r="X286" s="22"/>
    </row>
    <row r="287" spans="2:24" x14ac:dyDescent="0.2">
      <c r="B287" s="17">
        <f t="shared" ca="1" si="83"/>
        <v>54089</v>
      </c>
      <c r="C287" s="9">
        <f t="shared" si="95"/>
        <v>283</v>
      </c>
      <c r="D287" s="9"/>
      <c r="E287" s="13">
        <f t="shared" si="84"/>
        <v>3160.1980667815014</v>
      </c>
      <c r="F287" s="14">
        <f t="shared" si="96"/>
        <v>567384.16314401792</v>
      </c>
      <c r="G287" s="15">
        <f t="shared" si="85"/>
        <v>0.39215155213831143</v>
      </c>
      <c r="H287" s="13">
        <f t="shared" si="86"/>
        <v>28132.514386112081</v>
      </c>
      <c r="I287" s="13">
        <f t="shared" si="87"/>
        <v>2289116.4423565208</v>
      </c>
      <c r="J287" s="15">
        <f t="shared" si="80"/>
        <v>0.60784844786168857</v>
      </c>
      <c r="K287" s="13">
        <f t="shared" si="88"/>
        <v>879465.04617366486</v>
      </c>
      <c r="L287" s="13">
        <f t="shared" si="97"/>
        <v>70006983.025350332</v>
      </c>
      <c r="M287" s="15">
        <f t="shared" si="89"/>
        <v>0.60784844786168857</v>
      </c>
      <c r="N287" s="13">
        <f t="shared" si="81"/>
        <v>10497.09527744693</v>
      </c>
      <c r="O287" s="13">
        <f t="shared" si="90"/>
        <v>1409651.3961828537</v>
      </c>
      <c r="P287" s="15">
        <f t="shared" si="82"/>
        <v>0.49348891908806175</v>
      </c>
      <c r="Q287" s="7">
        <f t="shared" si="91"/>
        <v>2856500.6055005365</v>
      </c>
      <c r="R287" s="7">
        <f t="shared" si="92"/>
        <v>1446849.2093176828</v>
      </c>
      <c r="S287" s="13">
        <f>IF('Calc (3)'!$AD$32="Sim",R287,Q287)</f>
        <v>1446849.2093176828</v>
      </c>
      <c r="T287" s="9">
        <f t="shared" si="93"/>
        <v>283</v>
      </c>
      <c r="U287" s="17">
        <f t="shared" ca="1" si="94"/>
        <v>54118</v>
      </c>
      <c r="V287" s="22"/>
      <c r="W287" s="22"/>
      <c r="X287" s="22"/>
    </row>
    <row r="288" spans="2:24" x14ac:dyDescent="0.2">
      <c r="B288" s="17">
        <f t="shared" ca="1" si="83"/>
        <v>54118</v>
      </c>
      <c r="C288" s="9">
        <f t="shared" si="95"/>
        <v>284</v>
      </c>
      <c r="D288" s="9"/>
      <c r="E288" s="13">
        <f t="shared" si="84"/>
        <v>3173.0731048864154</v>
      </c>
      <c r="F288" s="14">
        <f t="shared" si="96"/>
        <v>570557.23624890437</v>
      </c>
      <c r="G288" s="15">
        <f t="shared" si="85"/>
        <v>0.39103388265791977</v>
      </c>
      <c r="H288" s="13">
        <f t="shared" si="86"/>
        <v>28444.117183707207</v>
      </c>
      <c r="I288" s="13">
        <f t="shared" si="87"/>
        <v>2317560.559540228</v>
      </c>
      <c r="J288" s="15">
        <f t="shared" si="80"/>
        <v>0.60896611734208017</v>
      </c>
      <c r="K288" s="13">
        <f t="shared" si="88"/>
        <v>888541.99159993487</v>
      </c>
      <c r="L288" s="13">
        <f t="shared" si="97"/>
        <v>70895525.016950265</v>
      </c>
      <c r="M288" s="15">
        <f t="shared" si="89"/>
        <v>0.60896611734208017</v>
      </c>
      <c r="N288" s="13">
        <f t="shared" si="81"/>
        <v>10613.282425534853</v>
      </c>
      <c r="O288" s="13">
        <f t="shared" si="90"/>
        <v>1429018.5679402908</v>
      </c>
      <c r="P288" s="15">
        <f t="shared" si="82"/>
        <v>0.49479234192725691</v>
      </c>
      <c r="Q288" s="7">
        <f t="shared" si="91"/>
        <v>2888117.79578913</v>
      </c>
      <c r="R288" s="7">
        <f t="shared" si="92"/>
        <v>1459099.2278488392</v>
      </c>
      <c r="S288" s="13">
        <f>IF('Calc (3)'!$AD$32="Sim",R288,Q288)</f>
        <v>1459099.2278488392</v>
      </c>
      <c r="T288" s="9">
        <f t="shared" si="93"/>
        <v>284</v>
      </c>
      <c r="U288" s="17">
        <f t="shared" ca="1" si="94"/>
        <v>54149</v>
      </c>
      <c r="V288" s="22"/>
      <c r="W288" s="22"/>
      <c r="X288" s="22"/>
    </row>
    <row r="289" spans="2:24" x14ac:dyDescent="0.2">
      <c r="B289" s="17">
        <f t="shared" ca="1" si="83"/>
        <v>54149</v>
      </c>
      <c r="C289" s="9">
        <f t="shared" si="95"/>
        <v>285</v>
      </c>
      <c r="D289" s="9"/>
      <c r="E289" s="13">
        <f t="shared" si="84"/>
        <v>3186.0005974902879</v>
      </c>
      <c r="F289" s="14">
        <f t="shared" si="96"/>
        <v>573743.2368463946</v>
      </c>
      <c r="G289" s="15">
        <f t="shared" si="85"/>
        <v>0.38991984099563498</v>
      </c>
      <c r="H289" s="13">
        <f t="shared" si="86"/>
        <v>28758.951027556766</v>
      </c>
      <c r="I289" s="13">
        <f t="shared" si="87"/>
        <v>2346319.5105677848</v>
      </c>
      <c r="J289" s="15">
        <f t="shared" si="80"/>
        <v>0.61008015900436496</v>
      </c>
      <c r="K289" s="13">
        <f t="shared" si="88"/>
        <v>897695.70142711955</v>
      </c>
      <c r="L289" s="13">
        <f t="shared" si="97"/>
        <v>71793220.718377382</v>
      </c>
      <c r="M289" s="15">
        <f t="shared" si="89"/>
        <v>0.61008015900436496</v>
      </c>
      <c r="N289" s="13">
        <f t="shared" si="81"/>
        <v>10730.674034063079</v>
      </c>
      <c r="O289" s="13">
        <f t="shared" si="90"/>
        <v>1448623.8091406631</v>
      </c>
      <c r="P289" s="15">
        <f t="shared" si="82"/>
        <v>0.49609338375467193</v>
      </c>
      <c r="Q289" s="7">
        <f t="shared" si="91"/>
        <v>2920062.7474141773</v>
      </c>
      <c r="R289" s="7">
        <f t="shared" si="92"/>
        <v>1471438.9382735142</v>
      </c>
      <c r="S289" s="13">
        <f>IF('Calc (3)'!$AD$32="Sim",R289,Q289)</f>
        <v>1471438.9382735142</v>
      </c>
      <c r="T289" s="9">
        <f t="shared" si="93"/>
        <v>285</v>
      </c>
      <c r="U289" s="17">
        <f t="shared" ca="1" si="94"/>
        <v>54179</v>
      </c>
      <c r="V289" s="22"/>
      <c r="W289" s="22"/>
      <c r="X289" s="22"/>
    </row>
    <row r="290" spans="2:24" x14ac:dyDescent="0.2">
      <c r="B290" s="17">
        <f t="shared" ca="1" si="83"/>
        <v>54179</v>
      </c>
      <c r="C290" s="9">
        <f t="shared" si="95"/>
        <v>286</v>
      </c>
      <c r="D290" s="9"/>
      <c r="E290" s="13">
        <f t="shared" si="84"/>
        <v>3198.9807582992407</v>
      </c>
      <c r="F290" s="14">
        <f t="shared" si="96"/>
        <v>576942.21760469384</v>
      </c>
      <c r="G290" s="15">
        <f t="shared" si="85"/>
        <v>0.38880941315043366</v>
      </c>
      <c r="H290" s="13">
        <f t="shared" si="86"/>
        <v>29077.048613708506</v>
      </c>
      <c r="I290" s="13">
        <f t="shared" si="87"/>
        <v>2375396.5591814932</v>
      </c>
      <c r="J290" s="15">
        <f t="shared" si="80"/>
        <v>0.6111905868495664</v>
      </c>
      <c r="K290" s="13">
        <f t="shared" si="88"/>
        <v>906926.73744416458</v>
      </c>
      <c r="L290" s="13">
        <f t="shared" si="97"/>
        <v>72700147.455821544</v>
      </c>
      <c r="M290" s="15">
        <f t="shared" si="89"/>
        <v>0.6111905868495664</v>
      </c>
      <c r="N290" s="13">
        <f t="shared" si="81"/>
        <v>10849.282290208108</v>
      </c>
      <c r="O290" s="13">
        <f t="shared" si="90"/>
        <v>1468469.8217373264</v>
      </c>
      <c r="P290" s="15">
        <f t="shared" si="82"/>
        <v>0.4973920450063839</v>
      </c>
      <c r="Q290" s="7">
        <f t="shared" si="91"/>
        <v>2952338.7767861849</v>
      </c>
      <c r="R290" s="7">
        <f t="shared" si="92"/>
        <v>1483868.9550488584</v>
      </c>
      <c r="S290" s="13">
        <f>IF('Calc (3)'!$AD$32="Sim",R290,Q290)</f>
        <v>1483868.9550488584</v>
      </c>
      <c r="T290" s="9">
        <f t="shared" si="93"/>
        <v>286</v>
      </c>
      <c r="U290" s="17">
        <f t="shared" ca="1" si="94"/>
        <v>54210</v>
      </c>
      <c r="V290" s="22"/>
      <c r="W290" s="22"/>
      <c r="X290" s="22"/>
    </row>
    <row r="291" spans="2:24" x14ac:dyDescent="0.2">
      <c r="B291" s="17">
        <f t="shared" ca="1" si="83"/>
        <v>54210</v>
      </c>
      <c r="C291" s="9">
        <f t="shared" si="95"/>
        <v>287</v>
      </c>
      <c r="D291" s="9"/>
      <c r="E291" s="13">
        <f t="shared" si="84"/>
        <v>3212.0138018900611</v>
      </c>
      <c r="F291" s="14">
        <f t="shared" si="96"/>
        <v>580154.23140658392</v>
      </c>
      <c r="G291" s="15">
        <f t="shared" si="85"/>
        <v>0.38770258519399819</v>
      </c>
      <c r="H291" s="13">
        <f t="shared" si="86"/>
        <v>29398.44296591495</v>
      </c>
      <c r="I291" s="13">
        <f t="shared" si="87"/>
        <v>2404795.0021474082</v>
      </c>
      <c r="J291" s="15">
        <f t="shared" si="80"/>
        <v>0.61229741480600186</v>
      </c>
      <c r="K291" s="13">
        <f t="shared" si="88"/>
        <v>916235.66528777778</v>
      </c>
      <c r="L291" s="13">
        <f t="shared" si="97"/>
        <v>73616383.121109322</v>
      </c>
      <c r="M291" s="15">
        <f t="shared" si="89"/>
        <v>0.61229741480600186</v>
      </c>
      <c r="N291" s="13">
        <f t="shared" si="81"/>
        <v>10969.119503290976</v>
      </c>
      <c r="O291" s="13">
        <f t="shared" si="90"/>
        <v>1488559.3368596281</v>
      </c>
      <c r="P291" s="15">
        <f t="shared" si="82"/>
        <v>0.49868832612851338</v>
      </c>
      <c r="Q291" s="7">
        <f t="shared" si="91"/>
        <v>2984949.2335539898</v>
      </c>
      <c r="R291" s="7">
        <f t="shared" si="92"/>
        <v>1496389.8966943617</v>
      </c>
      <c r="S291" s="13">
        <f>IF('Calc (3)'!$AD$32="Sim",R291,Q291)</f>
        <v>1496389.8966943617</v>
      </c>
      <c r="T291" s="9">
        <f t="shared" si="93"/>
        <v>287</v>
      </c>
      <c r="U291" s="17">
        <f t="shared" ca="1" si="94"/>
        <v>54240</v>
      </c>
      <c r="V291" s="22"/>
      <c r="W291" s="22"/>
      <c r="X291" s="22"/>
    </row>
    <row r="292" spans="2:24" x14ac:dyDescent="0.2">
      <c r="B292" s="17">
        <f t="shared" ca="1" si="83"/>
        <v>54240</v>
      </c>
      <c r="C292" s="9">
        <f t="shared" si="95"/>
        <v>288</v>
      </c>
      <c r="D292" s="9">
        <v>24</v>
      </c>
      <c r="E292" s="13">
        <f t="shared" si="84"/>
        <v>3225.0999437137484</v>
      </c>
      <c r="F292" s="14">
        <f t="shared" si="96"/>
        <v>583379.33135029767</v>
      </c>
      <c r="G292" s="15">
        <f t="shared" si="85"/>
        <v>0.38659934327008783</v>
      </c>
      <c r="H292" s="13">
        <f t="shared" si="86"/>
        <v>29723.16743890526</v>
      </c>
      <c r="I292" s="13">
        <f t="shared" si="87"/>
        <v>2434518.1695863134</v>
      </c>
      <c r="J292" s="15">
        <f t="shared" si="80"/>
        <v>0.61340065672991217</v>
      </c>
      <c r="K292" s="13">
        <f t="shared" si="88"/>
        <v>925623.05446786573</v>
      </c>
      <c r="L292" s="13">
        <f t="shared" si="97"/>
        <v>74542006.175577193</v>
      </c>
      <c r="M292" s="15">
        <f t="shared" si="89"/>
        <v>0.61340065672991217</v>
      </c>
      <c r="N292" s="13">
        <f t="shared" si="81"/>
        <v>11090.198105996731</v>
      </c>
      <c r="O292" s="13">
        <f t="shared" si="90"/>
        <v>1508895.1151184454</v>
      </c>
      <c r="P292" s="15">
        <f t="shared" si="82"/>
        <v>0.49998222757736394</v>
      </c>
      <c r="Q292" s="7">
        <f t="shared" si="91"/>
        <v>3017897.5009366088</v>
      </c>
      <c r="R292" s="7">
        <f t="shared" si="92"/>
        <v>1509002.3858181634</v>
      </c>
      <c r="S292" s="13">
        <f>IF('Calc (3)'!$AD$32="Sim",R292,Q292)</f>
        <v>1509002.3858181634</v>
      </c>
      <c r="T292" s="9">
        <f t="shared" si="93"/>
        <v>288</v>
      </c>
      <c r="U292" s="17">
        <f t="shared" ca="1" si="94"/>
        <v>54271</v>
      </c>
      <c r="V292" s="22"/>
      <c r="W292" s="22"/>
      <c r="X292" s="22"/>
    </row>
    <row r="293" spans="2:24" x14ac:dyDescent="0.2">
      <c r="B293" s="17">
        <f t="shared" ca="1" si="83"/>
        <v>54271</v>
      </c>
      <c r="C293" s="9">
        <f t="shared" si="95"/>
        <v>289</v>
      </c>
      <c r="D293" s="9"/>
      <c r="E293" s="13">
        <f t="shared" si="84"/>
        <v>3238.2394000990757</v>
      </c>
      <c r="F293" s="14">
        <f t="shared" si="96"/>
        <v>586617.5707503967</v>
      </c>
      <c r="G293" s="15">
        <f t="shared" si="85"/>
        <v>0.3854996735939194</v>
      </c>
      <c r="H293" s="13">
        <f t="shared" si="86"/>
        <v>30051.255721689682</v>
      </c>
      <c r="I293" s="13">
        <f t="shared" si="87"/>
        <v>2464569.4253080031</v>
      </c>
      <c r="J293" s="15">
        <f t="shared" si="80"/>
        <v>0.61450032640608065</v>
      </c>
      <c r="K293" s="13">
        <f t="shared" si="88"/>
        <v>935089.47839313233</v>
      </c>
      <c r="L293" s="13">
        <f t="shared" si="97"/>
        <v>75477095.653970331</v>
      </c>
      <c r="M293" s="15">
        <f t="shared" si="89"/>
        <v>0.61450032640608065</v>
      </c>
      <c r="N293" s="13">
        <f t="shared" si="81"/>
        <v>11212.530655606077</v>
      </c>
      <c r="O293" s="13">
        <f t="shared" si="90"/>
        <v>1529479.9469148684</v>
      </c>
      <c r="P293" s="15">
        <f t="shared" si="82"/>
        <v>0.50127374981955886</v>
      </c>
      <c r="Q293" s="7">
        <f t="shared" si="91"/>
        <v>3051186.9960583975</v>
      </c>
      <c r="R293" s="7">
        <f t="shared" si="92"/>
        <v>1521707.049143529</v>
      </c>
      <c r="S293" s="13">
        <f>IF('Calc (3)'!$AD$32="Sim",R293,Q293)</f>
        <v>1521707.049143529</v>
      </c>
      <c r="T293" s="9">
        <f t="shared" si="93"/>
        <v>289</v>
      </c>
      <c r="U293" s="17">
        <f t="shared" ca="1" si="94"/>
        <v>54302</v>
      </c>
      <c r="V293" s="22"/>
      <c r="W293" s="22"/>
      <c r="X293" s="22"/>
    </row>
    <row r="294" spans="2:24" x14ac:dyDescent="0.2">
      <c r="B294" s="17">
        <f t="shared" ca="1" si="83"/>
        <v>54302</v>
      </c>
      <c r="C294" s="9">
        <f t="shared" si="95"/>
        <v>290</v>
      </c>
      <c r="D294" s="9"/>
      <c r="E294" s="13">
        <f t="shared" si="84"/>
        <v>3251.4323882561666</v>
      </c>
      <c r="F294" s="14">
        <f t="shared" si="96"/>
        <v>589869.00313865289</v>
      </c>
      <c r="G294" s="15">
        <f t="shared" si="85"/>
        <v>0.38440356245155677</v>
      </c>
      <c r="H294" s="13">
        <f t="shared" si="86"/>
        <v>30382.741840896957</v>
      </c>
      <c r="I294" s="13">
        <f t="shared" si="87"/>
        <v>2494952.1671489002</v>
      </c>
      <c r="J294" s="15">
        <f t="shared" si="80"/>
        <v>0.61559643754844329</v>
      </c>
      <c r="K294" s="13">
        <f t="shared" si="88"/>
        <v>944635.51439684525</v>
      </c>
      <c r="L294" s="13">
        <f t="shared" si="97"/>
        <v>76421731.168367177</v>
      </c>
      <c r="M294" s="15">
        <f t="shared" si="89"/>
        <v>0.61559643754844318</v>
      </c>
      <c r="N294" s="13">
        <f t="shared" si="81"/>
        <v>11336.129835239301</v>
      </c>
      <c r="O294" s="13">
        <f t="shared" si="90"/>
        <v>1550316.6527520528</v>
      </c>
      <c r="P294" s="15">
        <f t="shared" si="82"/>
        <v>0.50256289333217341</v>
      </c>
      <c r="Q294" s="7">
        <f t="shared" si="91"/>
        <v>3084821.1702875509</v>
      </c>
      <c r="R294" s="7">
        <f t="shared" si="92"/>
        <v>1534504.5175354981</v>
      </c>
      <c r="S294" s="13">
        <f>IF('Calc (3)'!$AD$32="Sim",R294,Q294)</f>
        <v>1534504.5175354981</v>
      </c>
      <c r="T294" s="9">
        <f t="shared" si="93"/>
        <v>290</v>
      </c>
      <c r="U294" s="17">
        <f t="shared" ca="1" si="94"/>
        <v>54332</v>
      </c>
      <c r="V294" s="22"/>
      <c r="W294" s="22"/>
      <c r="X294" s="22"/>
    </row>
    <row r="295" spans="2:24" x14ac:dyDescent="0.2">
      <c r="B295" s="17">
        <f t="shared" ca="1" si="83"/>
        <v>54332</v>
      </c>
      <c r="C295" s="9">
        <f t="shared" si="95"/>
        <v>291</v>
      </c>
      <c r="D295" s="9"/>
      <c r="E295" s="13">
        <f t="shared" si="84"/>
        <v>3264.6791262800857</v>
      </c>
      <c r="F295" s="14">
        <f t="shared" si="96"/>
        <v>593133.68226493301</v>
      </c>
      <c r="G295" s="15">
        <f t="shared" si="85"/>
        <v>0.38331099619930958</v>
      </c>
      <c r="H295" s="13">
        <f t="shared" si="86"/>
        <v>30717.660164145003</v>
      </c>
      <c r="I295" s="13">
        <f t="shared" si="87"/>
        <v>2525669.827313045</v>
      </c>
      <c r="J295" s="15">
        <f t="shared" si="80"/>
        <v>0.61668900380069047</v>
      </c>
      <c r="K295" s="13">
        <f t="shared" si="88"/>
        <v>954261.74376276776</v>
      </c>
      <c r="L295" s="13">
        <f t="shared" si="97"/>
        <v>77375992.912129939</v>
      </c>
      <c r="M295" s="15">
        <f t="shared" si="89"/>
        <v>0.61668900380069047</v>
      </c>
      <c r="N295" s="13">
        <f t="shared" si="81"/>
        <v>11461.008455112589</v>
      </c>
      <c r="O295" s="13">
        <f t="shared" si="90"/>
        <v>1571408.0835502748</v>
      </c>
      <c r="P295" s="15">
        <f t="shared" si="82"/>
        <v>0.50384965860286324</v>
      </c>
      <c r="Q295" s="7">
        <f t="shared" si="91"/>
        <v>3118803.5095779756</v>
      </c>
      <c r="R295" s="7">
        <f t="shared" si="92"/>
        <v>1547395.4260277008</v>
      </c>
      <c r="S295" s="13">
        <f>IF('Calc (3)'!$AD$32="Sim",R295,Q295)</f>
        <v>1547395.4260277008</v>
      </c>
      <c r="T295" s="9">
        <f t="shared" si="93"/>
        <v>291</v>
      </c>
      <c r="U295" s="17">
        <f t="shared" ca="1" si="94"/>
        <v>54363</v>
      </c>
      <c r="V295" s="22"/>
      <c r="W295" s="22"/>
      <c r="X295" s="22"/>
    </row>
    <row r="296" spans="2:24" x14ac:dyDescent="0.2">
      <c r="B296" s="17">
        <f t="shared" ca="1" si="83"/>
        <v>54363</v>
      </c>
      <c r="C296" s="9">
        <f t="shared" si="95"/>
        <v>292</v>
      </c>
      <c r="D296" s="9"/>
      <c r="E296" s="13">
        <f t="shared" si="84"/>
        <v>3277.9798331544439</v>
      </c>
      <c r="F296" s="14">
        <f t="shared" si="96"/>
        <v>596411.66209808749</v>
      </c>
      <c r="G296" s="15">
        <f t="shared" si="85"/>
        <v>0.38222196126313995</v>
      </c>
      <c r="H296" s="13">
        <f t="shared" si="86"/>
        <v>31056.045403445158</v>
      </c>
      <c r="I296" s="13">
        <f t="shared" si="87"/>
        <v>2556725.8727164902</v>
      </c>
      <c r="J296" s="15">
        <f t="shared" si="80"/>
        <v>0.6177780387368601</v>
      </c>
      <c r="K296" s="13">
        <f t="shared" si="88"/>
        <v>963968.75175125978</v>
      </c>
      <c r="L296" s="13">
        <f t="shared" si="97"/>
        <v>78339961.663881198</v>
      </c>
      <c r="M296" s="15">
        <f t="shared" si="89"/>
        <v>0.6177780387368601</v>
      </c>
      <c r="N296" s="13">
        <f t="shared" si="81"/>
        <v>11587.179453806881</v>
      </c>
      <c r="O296" s="13">
        <f t="shared" si="90"/>
        <v>1592757.120965228</v>
      </c>
      <c r="P296" s="15">
        <f t="shared" si="82"/>
        <v>0.5051340461299898</v>
      </c>
      <c r="Q296" s="7">
        <f t="shared" si="91"/>
        <v>3153137.5348145752</v>
      </c>
      <c r="R296" s="7">
        <f t="shared" si="92"/>
        <v>1560380.4138493473</v>
      </c>
      <c r="S296" s="13">
        <f>IF('Calc (3)'!$AD$32="Sim",R296,Q296)</f>
        <v>1560380.4138493473</v>
      </c>
      <c r="T296" s="9">
        <f t="shared" si="93"/>
        <v>292</v>
      </c>
      <c r="U296" s="17">
        <f t="shared" ca="1" si="94"/>
        <v>54393</v>
      </c>
      <c r="V296" s="22"/>
      <c r="W296" s="22"/>
      <c r="X296" s="22"/>
    </row>
    <row r="297" spans="2:24" x14ac:dyDescent="0.2">
      <c r="B297" s="17">
        <f t="shared" ca="1" si="83"/>
        <v>54393</v>
      </c>
      <c r="C297" s="9">
        <f t="shared" si="95"/>
        <v>293</v>
      </c>
      <c r="D297" s="9"/>
      <c r="E297" s="13">
        <f t="shared" si="84"/>
        <v>3291.3347287550182</v>
      </c>
      <c r="F297" s="14">
        <f t="shared" si="96"/>
        <v>599702.99682684254</v>
      </c>
      <c r="G297" s="15">
        <f t="shared" si="85"/>
        <v>0.38113644413807873</v>
      </c>
      <c r="H297" s="13">
        <f t="shared" si="86"/>
        <v>31397.932618640432</v>
      </c>
      <c r="I297" s="13">
        <f t="shared" si="87"/>
        <v>2588123.8053351305</v>
      </c>
      <c r="J297" s="15">
        <f t="shared" si="80"/>
        <v>0.61886355586192132</v>
      </c>
      <c r="K297" s="13">
        <f t="shared" si="88"/>
        <v>973757.127625547</v>
      </c>
      <c r="L297" s="13">
        <f t="shared" si="97"/>
        <v>79313718.791506737</v>
      </c>
      <c r="M297" s="15">
        <f t="shared" si="89"/>
        <v>0.61886355586192132</v>
      </c>
      <c r="N297" s="13">
        <f t="shared" si="81"/>
        <v>11714.655899549356</v>
      </c>
      <c r="O297" s="13">
        <f t="shared" si="90"/>
        <v>1614366.6777095811</v>
      </c>
      <c r="P297" s="15">
        <f t="shared" si="82"/>
        <v>0.50641605642274057</v>
      </c>
      <c r="Q297" s="7">
        <f t="shared" si="91"/>
        <v>3187826.8021619706</v>
      </c>
      <c r="R297" s="7">
        <f t="shared" si="92"/>
        <v>1573460.1244523895</v>
      </c>
      <c r="S297" s="13">
        <f>IF('Calc (3)'!$AD$32="Sim",R297,Q297)</f>
        <v>1573460.1244523895</v>
      </c>
      <c r="T297" s="9">
        <f t="shared" si="93"/>
        <v>293</v>
      </c>
      <c r="U297" s="17">
        <f t="shared" ca="1" si="94"/>
        <v>54424</v>
      </c>
      <c r="V297" s="22"/>
      <c r="W297" s="22"/>
      <c r="X297" s="22"/>
    </row>
    <row r="298" spans="2:24" x14ac:dyDescent="0.2">
      <c r="B298" s="17">
        <f t="shared" ca="1" si="83"/>
        <v>54424</v>
      </c>
      <c r="C298" s="9">
        <f t="shared" si="95"/>
        <v>294</v>
      </c>
      <c r="D298" s="9"/>
      <c r="E298" s="13">
        <f t="shared" si="84"/>
        <v>3304.744033853387</v>
      </c>
      <c r="F298" s="14">
        <f t="shared" si="96"/>
        <v>603007.74086069595</v>
      </c>
      <c r="G298" s="15">
        <f t="shared" si="85"/>
        <v>0.38005443138764938</v>
      </c>
      <c r="H298" s="13">
        <f t="shared" si="86"/>
        <v>31743.357220877955</v>
      </c>
      <c r="I298" s="13">
        <f t="shared" si="87"/>
        <v>2619867.1625560084</v>
      </c>
      <c r="J298" s="15">
        <f t="shared" si="80"/>
        <v>0.61994556861235062</v>
      </c>
      <c r="K298" s="13">
        <f t="shared" si="88"/>
        <v>983627.46467815968</v>
      </c>
      <c r="L298" s="13">
        <f t="shared" si="97"/>
        <v>80297346.256184891</v>
      </c>
      <c r="M298" s="15">
        <f t="shared" si="89"/>
        <v>0.61994556861235062</v>
      </c>
      <c r="N298" s="13">
        <f t="shared" si="81"/>
        <v>11843.450991507707</v>
      </c>
      <c r="O298" s="13">
        <f t="shared" si="90"/>
        <v>1636239.6978778464</v>
      </c>
      <c r="P298" s="15">
        <f t="shared" si="82"/>
        <v>0.50769569000124748</v>
      </c>
      <c r="Q298" s="7">
        <f t="shared" si="91"/>
        <v>3222874.9034167021</v>
      </c>
      <c r="R298" s="7">
        <f t="shared" si="92"/>
        <v>1586635.2055388556</v>
      </c>
      <c r="S298" s="13">
        <f>IF('Calc (3)'!$AD$32="Sim",R298,Q298)</f>
        <v>1586635.2055388556</v>
      </c>
      <c r="T298" s="9">
        <f t="shared" si="93"/>
        <v>294</v>
      </c>
      <c r="U298" s="17">
        <f t="shared" ca="1" si="94"/>
        <v>54455</v>
      </c>
      <c r="V298" s="22"/>
      <c r="W298" s="22"/>
      <c r="X298" s="22"/>
    </row>
    <row r="299" spans="2:24" x14ac:dyDescent="0.2">
      <c r="B299" s="17">
        <f t="shared" ca="1" si="83"/>
        <v>54455</v>
      </c>
      <c r="C299" s="9">
        <f t="shared" si="95"/>
        <v>295</v>
      </c>
      <c r="D299" s="9"/>
      <c r="E299" s="13">
        <f t="shared" si="84"/>
        <v>3318.2079701205789</v>
      </c>
      <c r="F299" s="14">
        <f t="shared" si="96"/>
        <v>606325.94883081655</v>
      </c>
      <c r="G299" s="15">
        <f t="shared" si="85"/>
        <v>0.37897590964330019</v>
      </c>
      <c r="H299" s="13">
        <f t="shared" si="86"/>
        <v>32092.354976116076</v>
      </c>
      <c r="I299" s="13">
        <f t="shared" si="87"/>
        <v>2651959.5175321246</v>
      </c>
      <c r="J299" s="15">
        <f t="shared" si="80"/>
        <v>0.62102409035669981</v>
      </c>
      <c r="K299" s="13">
        <f t="shared" si="88"/>
        <v>993580.36025754421</v>
      </c>
      <c r="L299" s="13">
        <f t="shared" si="97"/>
        <v>81290926.616442442</v>
      </c>
      <c r="M299" s="15">
        <f t="shared" si="89"/>
        <v>0.62102409035669981</v>
      </c>
      <c r="N299" s="13">
        <f t="shared" si="81"/>
        <v>11973.578061097298</v>
      </c>
      <c r="O299" s="13">
        <f t="shared" si="90"/>
        <v>1658379.157274578</v>
      </c>
      <c r="P299" s="15">
        <f t="shared" si="82"/>
        <v>0.50897294739670051</v>
      </c>
      <c r="Q299" s="7">
        <f t="shared" si="91"/>
        <v>3258285.4663629388</v>
      </c>
      <c r="R299" s="7">
        <f t="shared" si="92"/>
        <v>1599906.3090883608</v>
      </c>
      <c r="S299" s="13">
        <f>IF('Calc (3)'!$AD$32="Sim",R299,Q299)</f>
        <v>1599906.3090883608</v>
      </c>
      <c r="T299" s="9">
        <f t="shared" si="93"/>
        <v>295</v>
      </c>
      <c r="U299" s="17">
        <f t="shared" ca="1" si="94"/>
        <v>54483</v>
      </c>
      <c r="V299" s="22"/>
      <c r="W299" s="22"/>
      <c r="X299" s="22"/>
    </row>
    <row r="300" spans="2:24" x14ac:dyDescent="0.2">
      <c r="B300" s="17">
        <f t="shared" ca="1" si="83"/>
        <v>54483</v>
      </c>
      <c r="C300" s="9">
        <f t="shared" si="95"/>
        <v>296</v>
      </c>
      <c r="D300" s="9"/>
      <c r="E300" s="13">
        <f t="shared" si="84"/>
        <v>3331.7267601307385</v>
      </c>
      <c r="F300" s="14">
        <f t="shared" si="96"/>
        <v>609657.67559094727</v>
      </c>
      <c r="G300" s="15">
        <f t="shared" si="85"/>
        <v>0.37790086560384473</v>
      </c>
      <c r="H300" s="13">
        <f t="shared" si="86"/>
        <v>32444.962008666418</v>
      </c>
      <c r="I300" s="13">
        <f t="shared" si="87"/>
        <v>2684404.4795407909</v>
      </c>
      <c r="J300" s="15">
        <f t="shared" si="80"/>
        <v>0.62209913439615527</v>
      </c>
      <c r="K300" s="13">
        <f t="shared" si="88"/>
        <v>1003616.4157948457</v>
      </c>
      <c r="L300" s="13">
        <f t="shared" si="97"/>
        <v>82294543.032237291</v>
      </c>
      <c r="M300" s="15">
        <f t="shared" si="89"/>
        <v>0.62209913439615527</v>
      </c>
      <c r="N300" s="13">
        <f t="shared" si="81"/>
        <v>12105.050573301376</v>
      </c>
      <c r="O300" s="13">
        <f t="shared" si="90"/>
        <v>1680788.0637459429</v>
      </c>
      <c r="P300" s="15">
        <f t="shared" si="82"/>
        <v>0.51024782915145839</v>
      </c>
      <c r="Q300" s="7">
        <f t="shared" si="91"/>
        <v>3294062.1551317358</v>
      </c>
      <c r="R300" s="7">
        <f t="shared" si="92"/>
        <v>1613274.0913857929</v>
      </c>
      <c r="S300" s="13">
        <f>IF('Calc (3)'!$AD$32="Sim",R300,Q300)</f>
        <v>1613274.0913857929</v>
      </c>
      <c r="T300" s="9">
        <f t="shared" si="93"/>
        <v>296</v>
      </c>
      <c r="U300" s="17">
        <f t="shared" ca="1" si="94"/>
        <v>54514</v>
      </c>
      <c r="V300" s="22"/>
      <c r="W300" s="22"/>
      <c r="X300" s="22"/>
    </row>
    <row r="301" spans="2:24" x14ac:dyDescent="0.2">
      <c r="B301" s="17">
        <f t="shared" ca="1" si="83"/>
        <v>54514</v>
      </c>
      <c r="C301" s="9">
        <f t="shared" si="95"/>
        <v>297</v>
      </c>
      <c r="D301" s="9"/>
      <c r="E301" s="13">
        <f t="shared" si="84"/>
        <v>3345.3006273648048</v>
      </c>
      <c r="F301" s="14">
        <f t="shared" si="96"/>
        <v>613002.97621831205</v>
      </c>
      <c r="G301" s="15">
        <f t="shared" si="85"/>
        <v>0.37682928603491012</v>
      </c>
      <c r="H301" s="13">
        <f t="shared" si="86"/>
        <v>32801.21480477124</v>
      </c>
      <c r="I301" s="13">
        <f t="shared" si="87"/>
        <v>2717205.6943455623</v>
      </c>
      <c r="J301" s="15">
        <f t="shared" si="80"/>
        <v>0.62317071396508994</v>
      </c>
      <c r="K301" s="13">
        <f t="shared" si="88"/>
        <v>1013736.2368308627</v>
      </c>
      <c r="L301" s="13">
        <f t="shared" si="97"/>
        <v>83308279.269068152</v>
      </c>
      <c r="M301" s="15">
        <f t="shared" si="89"/>
        <v>0.62317071396508994</v>
      </c>
      <c r="N301" s="13">
        <f t="shared" si="81"/>
        <v>12237.882128004427</v>
      </c>
      <c r="O301" s="13">
        <f t="shared" si="90"/>
        <v>1703469.4575146972</v>
      </c>
      <c r="P301" s="15">
        <f t="shared" si="82"/>
        <v>0.51152033581915612</v>
      </c>
      <c r="Q301" s="7">
        <f t="shared" si="91"/>
        <v>3330208.670563872</v>
      </c>
      <c r="R301" s="7">
        <f t="shared" si="92"/>
        <v>1626739.2130491748</v>
      </c>
      <c r="S301" s="13">
        <f>IF('Calc (3)'!$AD$32="Sim",R301,Q301)</f>
        <v>1626739.2130491748</v>
      </c>
      <c r="T301" s="9">
        <f t="shared" si="93"/>
        <v>297</v>
      </c>
      <c r="U301" s="17">
        <f t="shared" ca="1" si="94"/>
        <v>54544</v>
      </c>
      <c r="V301" s="22"/>
      <c r="W301" s="22"/>
      <c r="X301" s="22"/>
    </row>
    <row r="302" spans="2:24" x14ac:dyDescent="0.2">
      <c r="B302" s="17">
        <f t="shared" ca="1" si="83"/>
        <v>54544</v>
      </c>
      <c r="C302" s="9">
        <f t="shared" si="95"/>
        <v>298</v>
      </c>
      <c r="D302" s="9"/>
      <c r="E302" s="13">
        <f t="shared" si="84"/>
        <v>3358.9297962142055</v>
      </c>
      <c r="F302" s="14">
        <f t="shared" si="96"/>
        <v>616361.90601452626</v>
      </c>
      <c r="G302" s="15">
        <f t="shared" si="85"/>
        <v>0.3757611577683927</v>
      </c>
      <c r="H302" s="13">
        <f t="shared" si="86"/>
        <v>33161.150216216462</v>
      </c>
      <c r="I302" s="13">
        <f t="shared" si="87"/>
        <v>2750366.8445617789</v>
      </c>
      <c r="J302" s="15">
        <f t="shared" si="80"/>
        <v>0.6242388422316073</v>
      </c>
      <c r="K302" s="13">
        <f t="shared" si="88"/>
        <v>1023940.4330431798</v>
      </c>
      <c r="L302" s="13">
        <f t="shared" si="97"/>
        <v>84332219.702111334</v>
      </c>
      <c r="M302" s="15">
        <f t="shared" si="89"/>
        <v>0.6242388422316073</v>
      </c>
      <c r="N302" s="13">
        <f t="shared" si="81"/>
        <v>12372.086461338813</v>
      </c>
      <c r="O302" s="13">
        <f t="shared" si="90"/>
        <v>1726426.4115185968</v>
      </c>
      <c r="P302" s="15">
        <f t="shared" si="82"/>
        <v>0.51279046796480832</v>
      </c>
      <c r="Q302" s="7">
        <f t="shared" si="91"/>
        <v>3366728.7505763029</v>
      </c>
      <c r="R302" s="7">
        <f t="shared" si="92"/>
        <v>1640302.3390577061</v>
      </c>
      <c r="S302" s="13">
        <f>IF('Calc (3)'!$AD$32="Sim",R302,Q302)</f>
        <v>1640302.3390577061</v>
      </c>
      <c r="T302" s="9">
        <f t="shared" si="93"/>
        <v>298</v>
      </c>
      <c r="U302" s="17">
        <f t="shared" ca="1" si="94"/>
        <v>54575</v>
      </c>
      <c r="V302" s="22"/>
      <c r="W302" s="22"/>
      <c r="X302" s="22"/>
    </row>
    <row r="303" spans="2:24" x14ac:dyDescent="0.2">
      <c r="B303" s="17">
        <f t="shared" ca="1" si="83"/>
        <v>54575</v>
      </c>
      <c r="C303" s="9">
        <f t="shared" si="95"/>
        <v>299</v>
      </c>
      <c r="D303" s="9"/>
      <c r="E303" s="13">
        <f t="shared" si="84"/>
        <v>3372.6144919845669</v>
      </c>
      <c r="F303" s="14">
        <f t="shared" si="96"/>
        <v>619734.52050651086</v>
      </c>
      <c r="G303" s="15">
        <f t="shared" si="85"/>
        <v>0.37469646770192172</v>
      </c>
      <c r="H303" s="13">
        <f t="shared" si="86"/>
        <v>33524.805463980687</v>
      </c>
      <c r="I303" s="13">
        <f t="shared" si="87"/>
        <v>2783891.6500257598</v>
      </c>
      <c r="J303" s="15">
        <f t="shared" si="80"/>
        <v>0.62530353229807822</v>
      </c>
      <c r="K303" s="13">
        <f t="shared" si="88"/>
        <v>1034229.6182734725</v>
      </c>
      <c r="L303" s="13">
        <f t="shared" si="97"/>
        <v>85366449.3203848</v>
      </c>
      <c r="M303" s="15">
        <f t="shared" si="89"/>
        <v>0.62530353229807822</v>
      </c>
      <c r="N303" s="13">
        <f t="shared" si="81"/>
        <v>12507.677447044862</v>
      </c>
      <c r="O303" s="13">
        <f t="shared" si="90"/>
        <v>1749662.0317522851</v>
      </c>
      <c r="P303" s="15">
        <f t="shared" si="82"/>
        <v>0.51405822616491048</v>
      </c>
      <c r="Q303" s="7">
        <f t="shared" si="91"/>
        <v>3403626.1705322685</v>
      </c>
      <c r="R303" s="7">
        <f t="shared" si="92"/>
        <v>1653964.1387799834</v>
      </c>
      <c r="S303" s="13">
        <f>IF('Calc (3)'!$AD$32="Sim",R303,Q303)</f>
        <v>1653964.1387799834</v>
      </c>
      <c r="T303" s="9">
        <f t="shared" si="93"/>
        <v>299</v>
      </c>
      <c r="U303" s="17">
        <f t="shared" ca="1" si="94"/>
        <v>54605</v>
      </c>
      <c r="V303" s="22"/>
      <c r="W303" s="22"/>
      <c r="X303" s="22"/>
    </row>
    <row r="304" spans="2:24" x14ac:dyDescent="0.2">
      <c r="B304" s="17">
        <f t="shared" ca="1" si="83"/>
        <v>54605</v>
      </c>
      <c r="C304" s="9">
        <f t="shared" si="95"/>
        <v>300</v>
      </c>
      <c r="D304" s="9">
        <v>25</v>
      </c>
      <c r="E304" s="13">
        <f t="shared" si="84"/>
        <v>3386.3549408994386</v>
      </c>
      <c r="F304" s="14">
        <f t="shared" si="96"/>
        <v>623120.87544741028</v>
      </c>
      <c r="G304" s="15">
        <f t="shared" si="85"/>
        <v>0.37363520279833029</v>
      </c>
      <c r="H304" s="13">
        <f t="shared" si="86"/>
        <v>33892.218141920603</v>
      </c>
      <c r="I304" s="13">
        <f t="shared" si="87"/>
        <v>2817783.8681676802</v>
      </c>
      <c r="J304" s="15">
        <f t="shared" si="80"/>
        <v>0.62636479720166971</v>
      </c>
      <c r="K304" s="13">
        <f t="shared" si="88"/>
        <v>1044604.4105549903</v>
      </c>
      <c r="L304" s="13">
        <f t="shared" si="97"/>
        <v>86411053.730939791</v>
      </c>
      <c r="M304" s="15">
        <f t="shared" si="89"/>
        <v>0.62636479720166971</v>
      </c>
      <c r="N304" s="13">
        <f t="shared" si="81"/>
        <v>12644.669097844482</v>
      </c>
      <c r="O304" s="13">
        <f t="shared" si="90"/>
        <v>1773179.457612688</v>
      </c>
      <c r="P304" s="15">
        <f t="shared" si="82"/>
        <v>0.51532361100753621</v>
      </c>
      <c r="Q304" s="7">
        <f t="shared" si="91"/>
        <v>3440904.7436150885</v>
      </c>
      <c r="R304" s="7">
        <f t="shared" si="92"/>
        <v>1667725.2860024006</v>
      </c>
      <c r="S304" s="13">
        <f>IF('Calc (3)'!$AD$32="Sim",R304,Q304)</f>
        <v>1667725.2860024006</v>
      </c>
      <c r="T304" s="9">
        <f t="shared" si="93"/>
        <v>300</v>
      </c>
      <c r="U304" s="17">
        <f t="shared" ca="1" si="94"/>
        <v>54636</v>
      </c>
      <c r="V304" s="22"/>
      <c r="W304" s="22"/>
      <c r="X304" s="22"/>
    </row>
    <row r="305" spans="2:24" x14ac:dyDescent="0.2">
      <c r="B305" s="17">
        <f t="shared" ca="1" si="83"/>
        <v>54636</v>
      </c>
      <c r="C305" s="9">
        <f t="shared" si="95"/>
        <v>301</v>
      </c>
      <c r="D305" s="9"/>
      <c r="E305" s="13">
        <f t="shared" si="84"/>
        <v>3400.1513701040321</v>
      </c>
      <c r="F305" s="14">
        <f t="shared" si="96"/>
        <v>626521.02681751433</v>
      </c>
      <c r="G305" s="15">
        <f t="shared" si="85"/>
        <v>0.37257735008513337</v>
      </c>
      <c r="H305" s="13">
        <f t="shared" si="86"/>
        <v>34263.426220493129</v>
      </c>
      <c r="I305" s="13">
        <f t="shared" si="87"/>
        <v>2852047.2943881731</v>
      </c>
      <c r="J305" s="15">
        <f t="shared" si="80"/>
        <v>0.62742264991486663</v>
      </c>
      <c r="K305" s="13">
        <f t="shared" si="88"/>
        <v>1055065.4321402167</v>
      </c>
      <c r="L305" s="13">
        <f t="shared" si="97"/>
        <v>87466119.163080007</v>
      </c>
      <c r="M305" s="15">
        <f t="shared" si="89"/>
        <v>0.62742264991486663</v>
      </c>
      <c r="N305" s="13">
        <f t="shared" si="81"/>
        <v>12783.075566828489</v>
      </c>
      <c r="O305" s="13">
        <f t="shared" si="90"/>
        <v>1796981.8622479544</v>
      </c>
      <c r="P305" s="15">
        <f t="shared" si="82"/>
        <v>0.51658662309243175</v>
      </c>
      <c r="Q305" s="7">
        <f t="shared" si="91"/>
        <v>3478568.3212056854</v>
      </c>
      <c r="R305" s="7">
        <f t="shared" si="92"/>
        <v>1681586.458957731</v>
      </c>
      <c r="S305" s="13">
        <f>IF('Calc (3)'!$AD$32="Sim",R305,Q305)</f>
        <v>1681586.458957731</v>
      </c>
      <c r="T305" s="9">
        <f t="shared" si="93"/>
        <v>301</v>
      </c>
      <c r="U305" s="17">
        <f t="shared" ca="1" si="94"/>
        <v>54667</v>
      </c>
      <c r="V305" s="22"/>
      <c r="W305" s="22"/>
      <c r="X305" s="22"/>
    </row>
    <row r="306" spans="2:24" x14ac:dyDescent="0.2">
      <c r="B306" s="17">
        <f t="shared" ca="1" si="83"/>
        <v>54667</v>
      </c>
      <c r="C306" s="9">
        <f t="shared" si="95"/>
        <v>302</v>
      </c>
      <c r="D306" s="9"/>
      <c r="E306" s="13">
        <f t="shared" si="84"/>
        <v>3414.0040076689775</v>
      </c>
      <c r="F306" s="14">
        <f t="shared" si="96"/>
        <v>629935.03082518326</v>
      </c>
      <c r="G306" s="15">
        <f t="shared" si="85"/>
        <v>0.37152289665401322</v>
      </c>
      <c r="H306" s="13">
        <f t="shared" si="86"/>
        <v>34638.468050514683</v>
      </c>
      <c r="I306" s="13">
        <f t="shared" si="87"/>
        <v>2886685.762438688</v>
      </c>
      <c r="J306" s="15">
        <f t="shared" si="80"/>
        <v>0.62847710334598683</v>
      </c>
      <c r="K306" s="13">
        <f t="shared" si="88"/>
        <v>1065613.3095287103</v>
      </c>
      <c r="L306" s="13">
        <f t="shared" si="97"/>
        <v>88531732.472608715</v>
      </c>
      <c r="M306" s="15">
        <f t="shared" si="89"/>
        <v>0.62847710334598672</v>
      </c>
      <c r="N306" s="13">
        <f t="shared" si="81"/>
        <v>12922.911148857766</v>
      </c>
      <c r="O306" s="13">
        <f t="shared" si="90"/>
        <v>1821072.4529099758</v>
      </c>
      <c r="P306" s="15">
        <f t="shared" si="82"/>
        <v>0.51784726303110717</v>
      </c>
      <c r="Q306" s="7">
        <f t="shared" si="91"/>
        <v>3516620.7932638694</v>
      </c>
      <c r="R306" s="7">
        <f t="shared" si="92"/>
        <v>1695548.3403538936</v>
      </c>
      <c r="S306" s="13">
        <f>IF('Calc (3)'!$AD$32="Sim",R306,Q306)</f>
        <v>1695548.3403538936</v>
      </c>
      <c r="T306" s="9">
        <f t="shared" si="93"/>
        <v>302</v>
      </c>
      <c r="U306" s="17">
        <f t="shared" ca="1" si="94"/>
        <v>54697</v>
      </c>
      <c r="V306" s="22"/>
      <c r="W306" s="22"/>
      <c r="X306" s="22"/>
    </row>
    <row r="307" spans="2:24" x14ac:dyDescent="0.2">
      <c r="B307" s="17">
        <f t="shared" ca="1" si="83"/>
        <v>54697</v>
      </c>
      <c r="C307" s="9">
        <f t="shared" si="95"/>
        <v>303</v>
      </c>
      <c r="D307" s="9"/>
      <c r="E307" s="13">
        <f t="shared" si="84"/>
        <v>3427.9130825940924</v>
      </c>
      <c r="F307" s="14">
        <f t="shared" si="96"/>
        <v>633362.94390777731</v>
      </c>
      <c r="G307" s="15">
        <f t="shared" si="85"/>
        <v>0.37047182966031178</v>
      </c>
      <c r="H307" s="13">
        <f t="shared" si="86"/>
        <v>35017.382366957849</v>
      </c>
      <c r="I307" s="13">
        <f t="shared" si="87"/>
        <v>2921703.144805646</v>
      </c>
      <c r="J307" s="15">
        <f t="shared" si="80"/>
        <v>0.62952817033968822</v>
      </c>
      <c r="K307" s="13">
        <f t="shared" si="88"/>
        <v>1076248.6734951227</v>
      </c>
      <c r="L307" s="13">
        <f t="shared" si="97"/>
        <v>89607981.146103844</v>
      </c>
      <c r="M307" s="15">
        <f t="shared" si="89"/>
        <v>0.62952817033968822</v>
      </c>
      <c r="N307" s="13">
        <f t="shared" si="81"/>
        <v>13064.190281978352</v>
      </c>
      <c r="O307" s="13">
        <f t="shared" si="90"/>
        <v>1845454.4713105215</v>
      </c>
      <c r="P307" s="15">
        <f t="shared" si="82"/>
        <v>0.51910553144692495</v>
      </c>
      <c r="Q307" s="7">
        <f t="shared" si="91"/>
        <v>3555066.0887134215</v>
      </c>
      <c r="R307" s="7">
        <f t="shared" si="92"/>
        <v>1709611.6174029</v>
      </c>
      <c r="S307" s="13">
        <f>IF('Calc (3)'!$AD$32="Sim",R307,Q307)</f>
        <v>1709611.6174029</v>
      </c>
      <c r="T307" s="9">
        <f t="shared" si="93"/>
        <v>303</v>
      </c>
      <c r="U307" s="17">
        <f t="shared" ca="1" si="94"/>
        <v>54728</v>
      </c>
      <c r="V307" s="22"/>
      <c r="W307" s="22"/>
      <c r="X307" s="22"/>
    </row>
    <row r="308" spans="2:24" x14ac:dyDescent="0.2">
      <c r="B308" s="17">
        <f t="shared" ca="1" si="83"/>
        <v>54728</v>
      </c>
      <c r="C308" s="9">
        <f t="shared" si="95"/>
        <v>304</v>
      </c>
      <c r="D308" s="9"/>
      <c r="E308" s="13">
        <f t="shared" si="84"/>
        <v>3441.8788248121682</v>
      </c>
      <c r="F308" s="14">
        <f t="shared" si="96"/>
        <v>636804.82273258944</v>
      </c>
      <c r="G308" s="15">
        <f t="shared" si="85"/>
        <v>0.36942413632252974</v>
      </c>
      <c r="H308" s="13">
        <f t="shared" si="86"/>
        <v>35400.208292785959</v>
      </c>
      <c r="I308" s="13">
        <f t="shared" si="87"/>
        <v>2957103.3530984321</v>
      </c>
      <c r="J308" s="15">
        <f t="shared" si="80"/>
        <v>0.63057586367747032</v>
      </c>
      <c r="K308" s="13">
        <f t="shared" si="88"/>
        <v>1086972.1591174002</v>
      </c>
      <c r="L308" s="13">
        <f t="shared" si="97"/>
        <v>90694953.305221245</v>
      </c>
      <c r="M308" s="15">
        <f t="shared" si="89"/>
        <v>0.63057586367747021</v>
      </c>
      <c r="N308" s="13">
        <f t="shared" si="81"/>
        <v>13206.927548850688</v>
      </c>
      <c r="O308" s="13">
        <f t="shared" si="90"/>
        <v>1870131.1939810303</v>
      </c>
      <c r="P308" s="15">
        <f t="shared" si="82"/>
        <v>0.52036142897518511</v>
      </c>
      <c r="Q308" s="7">
        <f t="shared" si="91"/>
        <v>3593908.1758310199</v>
      </c>
      <c r="R308" s="7">
        <f t="shared" si="92"/>
        <v>1723776.9818499896</v>
      </c>
      <c r="S308" s="13">
        <f>IF('Calc (3)'!$AD$32="Sim",R308,Q308)</f>
        <v>1723776.9818499896</v>
      </c>
      <c r="T308" s="9">
        <f t="shared" si="93"/>
        <v>304</v>
      </c>
      <c r="U308" s="17">
        <f t="shared" ca="1" si="94"/>
        <v>54758</v>
      </c>
      <c r="V308" s="22"/>
      <c r="W308" s="22"/>
      <c r="X308" s="22"/>
    </row>
    <row r="309" spans="2:24" x14ac:dyDescent="0.2">
      <c r="B309" s="17">
        <f t="shared" ca="1" si="83"/>
        <v>54758</v>
      </c>
      <c r="C309" s="9">
        <f t="shared" si="95"/>
        <v>305</v>
      </c>
      <c r="D309" s="9"/>
      <c r="E309" s="13">
        <f t="shared" si="84"/>
        <v>3455.901465192771</v>
      </c>
      <c r="F309" s="14">
        <f t="shared" si="96"/>
        <v>640260.72419778223</v>
      </c>
      <c r="G309" s="15">
        <f t="shared" si="85"/>
        <v>0.3683798039218325</v>
      </c>
      <c r="H309" s="13">
        <f t="shared" si="86"/>
        <v>35786.985342825879</v>
      </c>
      <c r="I309" s="13">
        <f t="shared" si="87"/>
        <v>2992890.3384412578</v>
      </c>
      <c r="J309" s="15">
        <f t="shared" si="80"/>
        <v>0.63162019607816755</v>
      </c>
      <c r="K309" s="13">
        <f t="shared" si="88"/>
        <v>1097784.4058051668</v>
      </c>
      <c r="L309" s="13">
        <f t="shared" si="97"/>
        <v>91792737.711026415</v>
      </c>
      <c r="M309" s="15">
        <f t="shared" si="89"/>
        <v>0.63162019607816755</v>
      </c>
      <c r="N309" s="13">
        <f t="shared" si="81"/>
        <v>13351.137678193076</v>
      </c>
      <c r="O309" s="13">
        <f t="shared" si="90"/>
        <v>1895105.9326360896</v>
      </c>
      <c r="P309" s="15">
        <f t="shared" si="82"/>
        <v>0.52161495626320797</v>
      </c>
      <c r="Q309" s="7">
        <f t="shared" si="91"/>
        <v>3633151.0626390385</v>
      </c>
      <c r="R309" s="7">
        <f t="shared" si="92"/>
        <v>1738045.1300029489</v>
      </c>
      <c r="S309" s="13">
        <f>IF('Calc (3)'!$AD$32="Sim",R309,Q309)</f>
        <v>1738045.1300029489</v>
      </c>
      <c r="T309" s="9">
        <f t="shared" si="93"/>
        <v>305</v>
      </c>
      <c r="U309" s="17">
        <f t="shared" ca="1" si="94"/>
        <v>54789</v>
      </c>
      <c r="V309" s="22"/>
      <c r="W309" s="22"/>
      <c r="X309" s="22"/>
    </row>
    <row r="310" spans="2:24" x14ac:dyDescent="0.2">
      <c r="B310" s="17">
        <f t="shared" ca="1" si="83"/>
        <v>54789</v>
      </c>
      <c r="C310" s="9">
        <f t="shared" si="95"/>
        <v>306</v>
      </c>
      <c r="D310" s="9"/>
      <c r="E310" s="13">
        <f t="shared" si="84"/>
        <v>3469.9812355460581</v>
      </c>
      <c r="F310" s="14">
        <f t="shared" si="96"/>
        <v>643730.70543332829</v>
      </c>
      <c r="G310" s="15">
        <f t="shared" si="85"/>
        <v>0.36733881980156263</v>
      </c>
      <c r="H310" s="13">
        <f t="shared" si="86"/>
        <v>36177.753427679352</v>
      </c>
      <c r="I310" s="13">
        <f t="shared" si="87"/>
        <v>3029068.091868937</v>
      </c>
      <c r="J310" s="15">
        <f t="shared" si="80"/>
        <v>0.63266118019843742</v>
      </c>
      <c r="K310" s="13">
        <f t="shared" si="88"/>
        <v>1108686.0573282912</v>
      </c>
      <c r="L310" s="13">
        <f t="shared" si="97"/>
        <v>92901423.768354714</v>
      </c>
      <c r="M310" s="15">
        <f t="shared" si="89"/>
        <v>0.63266118019843731</v>
      </c>
      <c r="N310" s="13">
        <f t="shared" si="81"/>
        <v>13496.835546239521</v>
      </c>
      <c r="O310" s="13">
        <f t="shared" si="90"/>
        <v>1920382.0345406441</v>
      </c>
      <c r="P310" s="15">
        <f t="shared" si="82"/>
        <v>0.52286611397041383</v>
      </c>
      <c r="Q310" s="7">
        <f t="shared" si="91"/>
        <v>3672798.7973022638</v>
      </c>
      <c r="R310" s="7">
        <f t="shared" si="92"/>
        <v>1752416.7627616196</v>
      </c>
      <c r="S310" s="13">
        <f>IF('Calc (3)'!$AD$32="Sim",R310,Q310)</f>
        <v>1752416.7627616196</v>
      </c>
      <c r="T310" s="9">
        <f t="shared" si="93"/>
        <v>306</v>
      </c>
      <c r="U310" s="17">
        <f t="shared" ca="1" si="94"/>
        <v>54820</v>
      </c>
      <c r="V310" s="22"/>
      <c r="W310" s="22"/>
      <c r="X310" s="22"/>
    </row>
    <row r="311" spans="2:24" x14ac:dyDescent="0.2">
      <c r="B311" s="17">
        <f t="shared" ca="1" si="83"/>
        <v>54820</v>
      </c>
      <c r="C311" s="9">
        <f t="shared" si="95"/>
        <v>307</v>
      </c>
      <c r="D311" s="9"/>
      <c r="E311" s="13">
        <f t="shared" si="84"/>
        <v>3484.1183686266099</v>
      </c>
      <c r="F311" s="14">
        <f t="shared" si="96"/>
        <v>647214.82380195486</v>
      </c>
      <c r="G311" s="15">
        <f t="shared" si="85"/>
        <v>0.36630117136675877</v>
      </c>
      <c r="H311" s="13">
        <f t="shared" si="86"/>
        <v>36572.552857673414</v>
      </c>
      <c r="I311" s="13">
        <f t="shared" si="87"/>
        <v>3065640.6447266103</v>
      </c>
      <c r="J311" s="15">
        <f t="shared" si="80"/>
        <v>0.63369882863324123</v>
      </c>
      <c r="K311" s="13">
        <f t="shared" si="88"/>
        <v>1119677.761845639</v>
      </c>
      <c r="L311" s="13">
        <f t="shared" si="97"/>
        <v>94021101.530200347</v>
      </c>
      <c r="M311" s="15">
        <f t="shared" si="89"/>
        <v>0.63369882863324112</v>
      </c>
      <c r="N311" s="13">
        <f t="shared" si="81"/>
        <v>13644.036178212136</v>
      </c>
      <c r="O311" s="13">
        <f t="shared" si="90"/>
        <v>1945962.8828809697</v>
      </c>
      <c r="P311" s="15">
        <f t="shared" si="82"/>
        <v>0.52411490276839978</v>
      </c>
      <c r="Q311" s="7">
        <f t="shared" si="91"/>
        <v>3712855.4685285636</v>
      </c>
      <c r="R311" s="7">
        <f t="shared" si="92"/>
        <v>1766892.585647594</v>
      </c>
      <c r="S311" s="13">
        <f>IF('Calc (3)'!$AD$32="Sim",R311,Q311)</f>
        <v>1766892.585647594</v>
      </c>
      <c r="T311" s="9">
        <f t="shared" si="93"/>
        <v>307</v>
      </c>
      <c r="U311" s="17">
        <f t="shared" ca="1" si="94"/>
        <v>54848</v>
      </c>
      <c r="V311" s="22"/>
      <c r="W311" s="22"/>
      <c r="X311" s="22"/>
    </row>
    <row r="312" spans="2:24" x14ac:dyDescent="0.2">
      <c r="B312" s="17">
        <f t="shared" ca="1" si="83"/>
        <v>54848</v>
      </c>
      <c r="C312" s="9">
        <f t="shared" si="95"/>
        <v>308</v>
      </c>
      <c r="D312" s="9"/>
      <c r="E312" s="13">
        <f t="shared" si="84"/>
        <v>3498.3130981372778</v>
      </c>
      <c r="F312" s="14">
        <f t="shared" si="96"/>
        <v>650713.13690009213</v>
      </c>
      <c r="G312" s="15">
        <f t="shared" si="85"/>
        <v>0.36526684608368143</v>
      </c>
      <c r="H312" s="13">
        <f t="shared" si="86"/>
        <v>36971.424346850101</v>
      </c>
      <c r="I312" s="13">
        <f t="shared" si="87"/>
        <v>3102612.0690734605</v>
      </c>
      <c r="J312" s="15">
        <f t="shared" si="80"/>
        <v>0.63473315391631857</v>
      </c>
      <c r="K312" s="13">
        <f t="shared" si="88"/>
        <v>1130760.1719340086</v>
      </c>
      <c r="L312" s="13">
        <f t="shared" si="97"/>
        <v>95151861.702134356</v>
      </c>
      <c r="M312" s="15">
        <f t="shared" si="89"/>
        <v>0.63473315391631857</v>
      </c>
      <c r="N312" s="13">
        <f t="shared" si="81"/>
        <v>13792.754749808188</v>
      </c>
      <c r="O312" s="13">
        <f t="shared" si="90"/>
        <v>1971851.8971394505</v>
      </c>
      <c r="P312" s="15">
        <f t="shared" si="82"/>
        <v>0.52536132334101449</v>
      </c>
      <c r="Q312" s="7">
        <f t="shared" si="91"/>
        <v>3753325.2059735511</v>
      </c>
      <c r="R312" s="7">
        <f t="shared" si="92"/>
        <v>1781473.3088341006</v>
      </c>
      <c r="S312" s="13">
        <f>IF('Calc (3)'!$AD$32="Sim",R312,Q312)</f>
        <v>1781473.3088341006</v>
      </c>
      <c r="T312" s="9">
        <f t="shared" si="93"/>
        <v>308</v>
      </c>
      <c r="U312" s="17">
        <f t="shared" ca="1" si="94"/>
        <v>54879</v>
      </c>
      <c r="V312" s="22"/>
      <c r="W312" s="22"/>
      <c r="X312" s="22"/>
    </row>
    <row r="313" spans="2:24" x14ac:dyDescent="0.2">
      <c r="B313" s="17">
        <f t="shared" ca="1" si="83"/>
        <v>54879</v>
      </c>
      <c r="C313" s="9">
        <f t="shared" si="95"/>
        <v>309</v>
      </c>
      <c r="D313" s="9"/>
      <c r="E313" s="13">
        <f t="shared" si="84"/>
        <v>3512.5656587330477</v>
      </c>
      <c r="F313" s="14">
        <f t="shared" si="96"/>
        <v>654225.70255882514</v>
      </c>
      <c r="G313" s="15">
        <f t="shared" si="85"/>
        <v>0.36423583147934391</v>
      </c>
      <c r="H313" s="13">
        <f t="shared" si="86"/>
        <v>37374.409016995967</v>
      </c>
      <c r="I313" s="13">
        <f t="shared" si="87"/>
        <v>3139986.4780904567</v>
      </c>
      <c r="J313" s="15">
        <f t="shared" si="80"/>
        <v>0.63576416852065609</v>
      </c>
      <c r="K313" s="13">
        <f t="shared" si="88"/>
        <v>1141933.9446172565</v>
      </c>
      <c r="L313" s="13">
        <f t="shared" si="97"/>
        <v>96293795.646751612</v>
      </c>
      <c r="M313" s="15">
        <f t="shared" si="89"/>
        <v>0.63576416852065598</v>
      </c>
      <c r="N313" s="13">
        <f t="shared" si="81"/>
        <v>13943.006588701981</v>
      </c>
      <c r="O313" s="13">
        <f t="shared" si="90"/>
        <v>1998052.5334731988</v>
      </c>
      <c r="P313" s="15">
        <f t="shared" si="82"/>
        <v>0.52660537638442884</v>
      </c>
      <c r="Q313" s="7">
        <f t="shared" si="91"/>
        <v>3794212.1806492805</v>
      </c>
      <c r="R313" s="7">
        <f t="shared" si="92"/>
        <v>1796159.6471760818</v>
      </c>
      <c r="S313" s="13">
        <f>IF('Calc (3)'!$AD$32="Sim",R313,Q313)</f>
        <v>1796159.6471760818</v>
      </c>
      <c r="T313" s="9">
        <f t="shared" si="93"/>
        <v>309</v>
      </c>
      <c r="U313" s="17">
        <f t="shared" ca="1" si="94"/>
        <v>54909</v>
      </c>
      <c r="V313" s="22"/>
      <c r="W313" s="22"/>
      <c r="X313" s="22"/>
    </row>
    <row r="314" spans="2:24" x14ac:dyDescent="0.2">
      <c r="B314" s="17">
        <f t="shared" ca="1" si="83"/>
        <v>54909</v>
      </c>
      <c r="C314" s="9">
        <f t="shared" si="95"/>
        <v>310</v>
      </c>
      <c r="D314" s="9"/>
      <c r="E314" s="13">
        <f t="shared" si="84"/>
        <v>3526.8762860249185</v>
      </c>
      <c r="F314" s="14">
        <f t="shared" si="96"/>
        <v>657752.57884485007</v>
      </c>
      <c r="G314" s="15">
        <f t="shared" si="85"/>
        <v>0.36320811514105039</v>
      </c>
      <c r="H314" s="13">
        <f t="shared" si="86"/>
        <v>37781.548401711734</v>
      </c>
      <c r="I314" s="13">
        <f t="shared" si="87"/>
        <v>3177768.0264921682</v>
      </c>
      <c r="J314" s="15">
        <f t="shared" si="80"/>
        <v>0.63679188485894955</v>
      </c>
      <c r="K314" s="13">
        <f t="shared" si="88"/>
        <v>1153199.7413956118</v>
      </c>
      <c r="L314" s="13">
        <f t="shared" si="97"/>
        <v>97446995.38814722</v>
      </c>
      <c r="M314" s="15">
        <f t="shared" si="89"/>
        <v>0.63679188485894955</v>
      </c>
      <c r="N314" s="13">
        <f t="shared" si="81"/>
        <v>14094.807176061711</v>
      </c>
      <c r="O314" s="13">
        <f t="shared" si="90"/>
        <v>2024568.2850965548</v>
      </c>
      <c r="P314" s="15">
        <f t="shared" si="82"/>
        <v>0.52784706260720549</v>
      </c>
      <c r="Q314" s="7">
        <f t="shared" si="91"/>
        <v>3835520.6053370168</v>
      </c>
      <c r="R314" s="7">
        <f t="shared" si="92"/>
        <v>1810952.320240462</v>
      </c>
      <c r="S314" s="13">
        <f>IF('Calc (3)'!$AD$32="Sim",R314,Q314)</f>
        <v>1810952.320240462</v>
      </c>
      <c r="T314" s="9">
        <f t="shared" si="93"/>
        <v>310</v>
      </c>
      <c r="U314" s="17">
        <f t="shared" ca="1" si="94"/>
        <v>54940</v>
      </c>
      <c r="V314" s="22"/>
      <c r="W314" s="22"/>
      <c r="X314" s="22"/>
    </row>
    <row r="315" spans="2:24" x14ac:dyDescent="0.2">
      <c r="B315" s="17">
        <f t="shared" ca="1" si="83"/>
        <v>54940</v>
      </c>
      <c r="C315" s="9">
        <f t="shared" si="95"/>
        <v>311</v>
      </c>
      <c r="D315" s="9"/>
      <c r="E315" s="13">
        <f t="shared" si="84"/>
        <v>3541.2452165837981</v>
      </c>
      <c r="F315" s="14">
        <f t="shared" si="96"/>
        <v>661293.8240614339</v>
      </c>
      <c r="G315" s="15">
        <f t="shared" si="85"/>
        <v>0.36218368471593959</v>
      </c>
      <c r="H315" s="13">
        <f t="shared" si="86"/>
        <v>38192.884450522557</v>
      </c>
      <c r="I315" s="13">
        <f t="shared" si="87"/>
        <v>3215960.9109426909</v>
      </c>
      <c r="J315" s="15">
        <f t="shared" si="80"/>
        <v>0.63781631528406035</v>
      </c>
      <c r="K315" s="13">
        <f t="shared" si="88"/>
        <v>1164558.2282751757</v>
      </c>
      <c r="L315" s="13">
        <f t="shared" si="97"/>
        <v>98611553.6164224</v>
      </c>
      <c r="M315" s="15">
        <f t="shared" si="89"/>
        <v>0.63781631528406035</v>
      </c>
      <c r="N315" s="13">
        <f t="shared" si="81"/>
        <v>14248.172148081445</v>
      </c>
      <c r="O315" s="13">
        <f t="shared" si="90"/>
        <v>2051402.6826675136</v>
      </c>
      <c r="P315" s="15">
        <f t="shared" si="82"/>
        <v>0.52908638273036557</v>
      </c>
      <c r="Q315" s="7">
        <f t="shared" si="91"/>
        <v>3877254.7350041233</v>
      </c>
      <c r="R315" s="7">
        <f t="shared" si="92"/>
        <v>1825852.0523366097</v>
      </c>
      <c r="S315" s="13">
        <f>IF('Calc (3)'!$AD$32="Sim",R315,Q315)</f>
        <v>1825852.0523366097</v>
      </c>
      <c r="T315" s="9">
        <f t="shared" si="93"/>
        <v>311</v>
      </c>
      <c r="U315" s="17">
        <f t="shared" ca="1" si="94"/>
        <v>54970</v>
      </c>
      <c r="V315" s="22"/>
      <c r="W315" s="22"/>
      <c r="X315" s="22"/>
    </row>
    <row r="316" spans="2:24" x14ac:dyDescent="0.2">
      <c r="B316" s="17">
        <f t="shared" ca="1" si="83"/>
        <v>54970</v>
      </c>
      <c r="C316" s="9">
        <f t="shared" si="95"/>
        <v>312</v>
      </c>
      <c r="D316" s="9">
        <v>26</v>
      </c>
      <c r="E316" s="13">
        <f t="shared" si="84"/>
        <v>3555.6726879444132</v>
      </c>
      <c r="F316" s="14">
        <f t="shared" si="96"/>
        <v>664849.49674937828</v>
      </c>
      <c r="G316" s="15">
        <f t="shared" si="85"/>
        <v>0.36116252791053427</v>
      </c>
      <c r="H316" s="13">
        <f t="shared" si="86"/>
        <v>38608.459533029221</v>
      </c>
      <c r="I316" s="13">
        <f t="shared" si="87"/>
        <v>3254569.3704757201</v>
      </c>
      <c r="J316" s="15">
        <f t="shared" si="80"/>
        <v>0.63883747208946573</v>
      </c>
      <c r="K316" s="13">
        <f t="shared" si="88"/>
        <v>1176010.0757976167</v>
      </c>
      <c r="L316" s="13">
        <f t="shared" si="97"/>
        <v>99787563.692220017</v>
      </c>
      <c r="M316" s="15">
        <f t="shared" si="89"/>
        <v>0.63883747208946573</v>
      </c>
      <c r="N316" s="13">
        <f t="shared" si="81"/>
        <v>14403.117297528343</v>
      </c>
      <c r="O316" s="13">
        <f t="shared" si="90"/>
        <v>2078559.294678102</v>
      </c>
      <c r="P316" s="15">
        <f t="shared" si="82"/>
        <v>0.53032333748745197</v>
      </c>
      <c r="Q316" s="7">
        <f t="shared" si="91"/>
        <v>3919418.867225097</v>
      </c>
      <c r="R316" s="7">
        <f t="shared" si="92"/>
        <v>1840859.572546995</v>
      </c>
      <c r="S316" s="13">
        <f>IF('Calc (3)'!$AD$32="Sim",R316,Q316)</f>
        <v>1840859.572546995</v>
      </c>
      <c r="T316" s="9">
        <f t="shared" si="93"/>
        <v>312</v>
      </c>
      <c r="U316" s="17">
        <f t="shared" ca="1" si="94"/>
        <v>55001</v>
      </c>
      <c r="V316" s="22"/>
      <c r="W316" s="22"/>
      <c r="X316" s="22"/>
    </row>
    <row r="317" spans="2:24" x14ac:dyDescent="0.2">
      <c r="B317" s="17">
        <f t="shared" ca="1" si="83"/>
        <v>55001</v>
      </c>
      <c r="C317" s="9">
        <f t="shared" si="95"/>
        <v>313</v>
      </c>
      <c r="D317" s="9"/>
      <c r="E317" s="13">
        <f t="shared" si="84"/>
        <v>3570.1589386092364</v>
      </c>
      <c r="F317" s="14">
        <f t="shared" si="96"/>
        <v>668419.65568798746</v>
      </c>
      <c r="G317" s="15">
        <f t="shared" si="85"/>
        <v>0.36014463249029666</v>
      </c>
      <c r="H317" s="13">
        <f t="shared" si="86"/>
        <v>39028.316443100673</v>
      </c>
      <c r="I317" s="13">
        <f t="shared" si="87"/>
        <v>3293597.6869188207</v>
      </c>
      <c r="J317" s="15">
        <f t="shared" si="80"/>
        <v>0.6398553675097034</v>
      </c>
      <c r="K317" s="13">
        <f t="shared" si="88"/>
        <v>1187555.9590700548</v>
      </c>
      <c r="L317" s="13">
        <f t="shared" si="97"/>
        <v>100975119.65129007</v>
      </c>
      <c r="M317" s="15">
        <f t="shared" si="89"/>
        <v>0.6398553675097034</v>
      </c>
      <c r="N317" s="13">
        <f t="shared" si="81"/>
        <v>14559.658575305326</v>
      </c>
      <c r="O317" s="13">
        <f t="shared" si="90"/>
        <v>2106041.7278487645</v>
      </c>
      <c r="P317" s="15">
        <f t="shared" si="82"/>
        <v>0.53155792762459131</v>
      </c>
      <c r="Q317" s="7">
        <f t="shared" si="91"/>
        <v>3962017.3426068067</v>
      </c>
      <c r="R317" s="7">
        <f t="shared" si="92"/>
        <v>1855975.6147580422</v>
      </c>
      <c r="S317" s="13">
        <f>IF('Calc (3)'!$AD$32="Sim",R317,Q317)</f>
        <v>1855975.6147580422</v>
      </c>
      <c r="T317" s="9">
        <f t="shared" si="93"/>
        <v>313</v>
      </c>
      <c r="U317" s="17">
        <f t="shared" ca="1" si="94"/>
        <v>55032</v>
      </c>
      <c r="V317" s="22"/>
      <c r="W317" s="22"/>
      <c r="X317" s="22"/>
    </row>
    <row r="318" spans="2:24" x14ac:dyDescent="0.2">
      <c r="B318" s="17">
        <f t="shared" ca="1" si="83"/>
        <v>55032</v>
      </c>
      <c r="C318" s="9">
        <f t="shared" si="95"/>
        <v>314</v>
      </c>
      <c r="D318" s="9"/>
      <c r="E318" s="13">
        <f t="shared" si="84"/>
        <v>3584.7042080524293</v>
      </c>
      <c r="F318" s="14">
        <f t="shared" si="96"/>
        <v>672004.35989603994</v>
      </c>
      <c r="G318" s="15">
        <f t="shared" si="85"/>
        <v>0.35912998627918941</v>
      </c>
      <c r="H318" s="13">
        <f t="shared" si="86"/>
        <v>39452.498403108453</v>
      </c>
      <c r="I318" s="13">
        <f t="shared" si="87"/>
        <v>3333050.1853219294</v>
      </c>
      <c r="J318" s="15">
        <f t="shared" si="80"/>
        <v>0.64087001372081054</v>
      </c>
      <c r="K318" s="13">
        <f t="shared" si="88"/>
        <v>1199196.5577951395</v>
      </c>
      <c r="L318" s="13">
        <f t="shared" si="97"/>
        <v>102174316.20908521</v>
      </c>
      <c r="M318" s="15">
        <f t="shared" si="89"/>
        <v>0.64087001372081054</v>
      </c>
      <c r="N318" s="13">
        <f t="shared" si="81"/>
        <v>14717.812092029326</v>
      </c>
      <c r="O318" s="13">
        <f t="shared" si="90"/>
        <v>2133853.627526788</v>
      </c>
      <c r="P318" s="15">
        <f t="shared" si="82"/>
        <v>0.5327901539005524</v>
      </c>
      <c r="Q318" s="7">
        <f t="shared" si="91"/>
        <v>4005054.5452179676</v>
      </c>
      <c r="R318" s="7">
        <f t="shared" si="92"/>
        <v>1871200.9176911796</v>
      </c>
      <c r="S318" s="13">
        <f>IF('Calc (3)'!$AD$32="Sim",R318,Q318)</f>
        <v>1871200.9176911796</v>
      </c>
      <c r="T318" s="9">
        <f t="shared" si="93"/>
        <v>314</v>
      </c>
      <c r="U318" s="17">
        <f t="shared" ca="1" si="94"/>
        <v>55062</v>
      </c>
      <c r="V318" s="22"/>
      <c r="W318" s="22"/>
      <c r="X318" s="22"/>
    </row>
    <row r="319" spans="2:24" x14ac:dyDescent="0.2">
      <c r="B319" s="17">
        <f t="shared" ca="1" si="83"/>
        <v>55062</v>
      </c>
      <c r="C319" s="9">
        <f t="shared" si="95"/>
        <v>315</v>
      </c>
      <c r="D319" s="9"/>
      <c r="E319" s="13">
        <f t="shared" si="84"/>
        <v>3599.3087367237999</v>
      </c>
      <c r="F319" s="14">
        <f t="shared" si="96"/>
        <v>675603.66863276379</v>
      </c>
      <c r="G319" s="15">
        <f t="shared" si="85"/>
        <v>0.35811857715924234</v>
      </c>
      <c r="H319" s="13">
        <f t="shared" si="86"/>
        <v>39881.049068203203</v>
      </c>
      <c r="I319" s="13">
        <f t="shared" si="87"/>
        <v>3372931.2343901326</v>
      </c>
      <c r="J319" s="15">
        <f t="shared" si="80"/>
        <v>0.64188142284075766</v>
      </c>
      <c r="K319" s="13">
        <f t="shared" si="88"/>
        <v>1210932.5563013237</v>
      </c>
      <c r="L319" s="13">
        <f t="shared" si="97"/>
        <v>103385248.76538654</v>
      </c>
      <c r="M319" s="15">
        <f t="shared" si="89"/>
        <v>0.64188142284075766</v>
      </c>
      <c r="N319" s="13">
        <f t="shared" si="81"/>
        <v>14877.59411962523</v>
      </c>
      <c r="O319" s="13">
        <f t="shared" si="90"/>
        <v>2161998.678088807</v>
      </c>
      <c r="P319" s="15">
        <f t="shared" si="82"/>
        <v>0.53402001708680358</v>
      </c>
      <c r="Q319" s="7">
        <f t="shared" si="91"/>
        <v>4048534.9030228946</v>
      </c>
      <c r="R319" s="7">
        <f t="shared" si="92"/>
        <v>1886536.2249340876</v>
      </c>
      <c r="S319" s="13">
        <f>IF('Calc (3)'!$AD$32="Sim",R319,Q319)</f>
        <v>1886536.2249340876</v>
      </c>
      <c r="T319" s="9">
        <f t="shared" si="93"/>
        <v>315</v>
      </c>
      <c r="U319" s="17">
        <f t="shared" ca="1" si="94"/>
        <v>55093</v>
      </c>
      <c r="V319" s="22"/>
      <c r="W319" s="22"/>
      <c r="X319" s="22"/>
    </row>
    <row r="320" spans="2:24" x14ac:dyDescent="0.2">
      <c r="B320" s="17">
        <f t="shared" ca="1" si="83"/>
        <v>55093</v>
      </c>
      <c r="C320" s="9">
        <f t="shared" si="95"/>
        <v>316</v>
      </c>
      <c r="D320" s="9"/>
      <c r="E320" s="13">
        <f t="shared" si="84"/>
        <v>3613.9727660527797</v>
      </c>
      <c r="F320" s="14">
        <f t="shared" si="96"/>
        <v>679217.6413988166</v>
      </c>
      <c r="G320" s="15">
        <f t="shared" si="85"/>
        <v>0.35711039307012432</v>
      </c>
      <c r="H320" s="13">
        <f t="shared" si="86"/>
        <v>40314.012530633889</v>
      </c>
      <c r="I320" s="13">
        <f t="shared" si="87"/>
        <v>3413245.2469207663</v>
      </c>
      <c r="J320" s="15">
        <f t="shared" si="80"/>
        <v>0.64288960692987573</v>
      </c>
      <c r="K320" s="13">
        <f t="shared" si="88"/>
        <v>1222764.6435733302</v>
      </c>
      <c r="L320" s="13">
        <f t="shared" si="97"/>
        <v>104608013.40895987</v>
      </c>
      <c r="M320" s="15">
        <f t="shared" si="89"/>
        <v>0.64288960692987562</v>
      </c>
      <c r="N320" s="13">
        <f t="shared" si="81"/>
        <v>15039.021092935745</v>
      </c>
      <c r="O320" s="13">
        <f t="shared" si="90"/>
        <v>2190480.6033474347</v>
      </c>
      <c r="P320" s="15">
        <f t="shared" si="82"/>
        <v>0.53524751796756664</v>
      </c>
      <c r="Q320" s="7">
        <f t="shared" si="91"/>
        <v>4092462.8883195813</v>
      </c>
      <c r="R320" s="7">
        <f t="shared" si="92"/>
        <v>1901982.2849721469</v>
      </c>
      <c r="S320" s="13">
        <f>IF('Calc (3)'!$AD$32="Sim",R320,Q320)</f>
        <v>1901982.2849721469</v>
      </c>
      <c r="T320" s="9">
        <f t="shared" si="93"/>
        <v>316</v>
      </c>
      <c r="U320" s="17">
        <f t="shared" ca="1" si="94"/>
        <v>55123</v>
      </c>
      <c r="V320" s="22"/>
      <c r="W320" s="22"/>
      <c r="X320" s="22"/>
    </row>
    <row r="321" spans="2:24" x14ac:dyDescent="0.2">
      <c r="B321" s="17">
        <f t="shared" ca="1" si="83"/>
        <v>55123</v>
      </c>
      <c r="C321" s="9">
        <f t="shared" si="95"/>
        <v>317</v>
      </c>
      <c r="D321" s="9"/>
      <c r="E321" s="13">
        <f t="shared" si="84"/>
        <v>3628.6965384524128</v>
      </c>
      <c r="F321" s="14">
        <f t="shared" si="96"/>
        <v>682846.33793726901</v>
      </c>
      <c r="G321" s="15">
        <f t="shared" si="85"/>
        <v>0.35610542200872092</v>
      </c>
      <c r="H321" s="13">
        <f t="shared" si="86"/>
        <v>40751.433324110025</v>
      </c>
      <c r="I321" s="13">
        <f t="shared" si="87"/>
        <v>3453996.6802448765</v>
      </c>
      <c r="J321" s="15">
        <f t="shared" si="80"/>
        <v>0.64389457799127903</v>
      </c>
      <c r="K321" s="13">
        <f t="shared" si="88"/>
        <v>1234693.5132828183</v>
      </c>
      <c r="L321" s="13">
        <f t="shared" si="97"/>
        <v>105842706.92224269</v>
      </c>
      <c r="M321" s="15">
        <f t="shared" si="89"/>
        <v>0.64389457799127914</v>
      </c>
      <c r="N321" s="13">
        <f t="shared" si="81"/>
        <v>15202.1096113473</v>
      </c>
      <c r="O321" s="13">
        <f t="shared" si="90"/>
        <v>2219303.1669620569</v>
      </c>
      <c r="P321" s="15">
        <f t="shared" si="82"/>
        <v>0.53647265733986849</v>
      </c>
      <c r="Q321" s="7">
        <f t="shared" si="91"/>
        <v>4136843.018182144</v>
      </c>
      <c r="R321" s="7">
        <f t="shared" si="92"/>
        <v>1917539.8512200871</v>
      </c>
      <c r="S321" s="13">
        <f>IF('Calc (3)'!$AD$32="Sim",R321,Q321)</f>
        <v>1917539.8512200871</v>
      </c>
      <c r="T321" s="9">
        <f t="shared" si="93"/>
        <v>317</v>
      </c>
      <c r="U321" s="17">
        <f t="shared" ca="1" si="94"/>
        <v>55154</v>
      </c>
      <c r="V321" s="22"/>
      <c r="W321" s="22"/>
      <c r="X321" s="22"/>
    </row>
    <row r="322" spans="2:24" x14ac:dyDescent="0.2">
      <c r="B322" s="17">
        <f t="shared" ca="1" si="83"/>
        <v>55154</v>
      </c>
      <c r="C322" s="9">
        <f t="shared" si="95"/>
        <v>318</v>
      </c>
      <c r="D322" s="9"/>
      <c r="E322" s="13">
        <f t="shared" si="84"/>
        <v>3643.4802973233641</v>
      </c>
      <c r="F322" s="14">
        <f t="shared" si="96"/>
        <v>686489.81823459233</v>
      </c>
      <c r="G322" s="15">
        <f t="shared" si="85"/>
        <v>0.35510365202871697</v>
      </c>
      <c r="H322" s="13">
        <f t="shared" si="86"/>
        <v>41193.356428207422</v>
      </c>
      <c r="I322" s="13">
        <f t="shared" si="87"/>
        <v>3495190.0366730839</v>
      </c>
      <c r="J322" s="15">
        <f t="shared" si="80"/>
        <v>0.64489634797128303</v>
      </c>
      <c r="K322" s="13">
        <f t="shared" si="88"/>
        <v>1246719.8638192448</v>
      </c>
      <c r="L322" s="13">
        <f t="shared" si="97"/>
        <v>107089426.78606193</v>
      </c>
      <c r="M322" s="15">
        <f t="shared" si="89"/>
        <v>0.64489634797128303</v>
      </c>
      <c r="N322" s="13">
        <f t="shared" si="81"/>
        <v>15366.876440432132</v>
      </c>
      <c r="O322" s="13">
        <f t="shared" si="90"/>
        <v>2248470.1728538377</v>
      </c>
      <c r="P322" s="15">
        <f t="shared" si="82"/>
        <v>0.53769543601359238</v>
      </c>
      <c r="Q322" s="7">
        <f t="shared" si="91"/>
        <v>4181679.8549076747</v>
      </c>
      <c r="R322" s="7">
        <f t="shared" si="92"/>
        <v>1933209.6820538372</v>
      </c>
      <c r="S322" s="13">
        <f>IF('Calc (3)'!$AD$32="Sim",R322,Q322)</f>
        <v>1933209.6820538372</v>
      </c>
      <c r="T322" s="9">
        <f t="shared" si="93"/>
        <v>318</v>
      </c>
      <c r="U322" s="17">
        <f t="shared" ca="1" si="94"/>
        <v>55185</v>
      </c>
      <c r="V322" s="22"/>
      <c r="W322" s="22"/>
      <c r="X322" s="22"/>
    </row>
    <row r="323" spans="2:24" x14ac:dyDescent="0.2">
      <c r="B323" s="17">
        <f t="shared" ca="1" si="83"/>
        <v>55185</v>
      </c>
      <c r="C323" s="9">
        <f t="shared" si="95"/>
        <v>319</v>
      </c>
      <c r="D323" s="9"/>
      <c r="E323" s="13">
        <f t="shared" si="84"/>
        <v>3658.3242870579434</v>
      </c>
      <c r="F323" s="14">
        <f t="shared" si="96"/>
        <v>690148.1425216503</v>
      </c>
      <c r="G323" s="15">
        <f t="shared" si="85"/>
        <v>0.35410507124018459</v>
      </c>
      <c r="H323" s="13">
        <f t="shared" si="86"/>
        <v>41639.827272817747</v>
      </c>
      <c r="I323" s="13">
        <f t="shared" si="87"/>
        <v>3536829.8639459019</v>
      </c>
      <c r="J323" s="15">
        <f t="shared" si="80"/>
        <v>0.64589492875981547</v>
      </c>
      <c r="K323" s="13">
        <f t="shared" si="88"/>
        <v>1258844.3983209301</v>
      </c>
      <c r="L323" s="13">
        <f t="shared" si="97"/>
        <v>108348271.18438286</v>
      </c>
      <c r="M323" s="15">
        <f t="shared" si="89"/>
        <v>0.64589492875981536</v>
      </c>
      <c r="N323" s="13">
        <f t="shared" si="81"/>
        <v>15533.338513606775</v>
      </c>
      <c r="O323" s="13">
        <f t="shared" si="90"/>
        <v>2277985.4656249695</v>
      </c>
      <c r="P323" s="15">
        <f t="shared" si="82"/>
        <v>0.5389158548115236</v>
      </c>
      <c r="Q323" s="7">
        <f t="shared" si="91"/>
        <v>4226978.0064675501</v>
      </c>
      <c r="R323" s="7">
        <f t="shared" si="92"/>
        <v>1948992.5408425804</v>
      </c>
      <c r="S323" s="13">
        <f>IF('Calc (3)'!$AD$32="Sim",R323,Q323)</f>
        <v>1948992.5408425804</v>
      </c>
      <c r="T323" s="9">
        <f t="shared" si="93"/>
        <v>319</v>
      </c>
      <c r="U323" s="17">
        <f t="shared" ca="1" si="94"/>
        <v>55213</v>
      </c>
      <c r="V323" s="22"/>
      <c r="W323" s="22"/>
      <c r="X323" s="22"/>
    </row>
    <row r="324" spans="2:24" x14ac:dyDescent="0.2">
      <c r="B324" s="17">
        <f t="shared" ca="1" si="83"/>
        <v>55213</v>
      </c>
      <c r="C324" s="9">
        <f t="shared" si="95"/>
        <v>320</v>
      </c>
      <c r="D324" s="9"/>
      <c r="E324" s="13">
        <f t="shared" si="84"/>
        <v>3673.2287530441445</v>
      </c>
      <c r="F324" s="14">
        <f t="shared" si="96"/>
        <v>693821.37127469445</v>
      </c>
      <c r="G324" s="15">
        <f t="shared" si="85"/>
        <v>0.35310966780917602</v>
      </c>
      <c r="H324" s="13">
        <f t="shared" si="86"/>
        <v>42090.891742642583</v>
      </c>
      <c r="I324" s="13">
        <f t="shared" si="87"/>
        <v>3578920.7556885444</v>
      </c>
      <c r="J324" s="15">
        <f t="shared" si="80"/>
        <v>0.64689033219082392</v>
      </c>
      <c r="K324" s="13">
        <f t="shared" si="88"/>
        <v>1271067.8247063183</v>
      </c>
      <c r="L324" s="13">
        <f t="shared" si="97"/>
        <v>109619339.00908917</v>
      </c>
      <c r="M324" s="15">
        <f t="shared" si="89"/>
        <v>0.64689033219082392</v>
      </c>
      <c r="N324" s="13">
        <f t="shared" si="81"/>
        <v>15701.512933807051</v>
      </c>
      <c r="O324" s="13">
        <f t="shared" si="90"/>
        <v>2307852.9309822246</v>
      </c>
      <c r="P324" s="15">
        <f t="shared" si="82"/>
        <v>0.54013391456939697</v>
      </c>
      <c r="Q324" s="7">
        <f t="shared" si="91"/>
        <v>4272742.1269632373</v>
      </c>
      <c r="R324" s="7">
        <f t="shared" si="92"/>
        <v>1964889.1959810129</v>
      </c>
      <c r="S324" s="13">
        <f>IF('Calc (3)'!$AD$32="Sim",R324,Q324)</f>
        <v>1964889.1959810129</v>
      </c>
      <c r="T324" s="9">
        <f t="shared" si="93"/>
        <v>320</v>
      </c>
      <c r="U324" s="17">
        <f t="shared" ca="1" si="94"/>
        <v>55244</v>
      </c>
      <c r="V324" s="22"/>
      <c r="W324" s="22"/>
      <c r="X324" s="22"/>
    </row>
    <row r="325" spans="2:24" x14ac:dyDescent="0.2">
      <c r="B325" s="17">
        <f t="shared" ca="1" si="83"/>
        <v>55244</v>
      </c>
      <c r="C325" s="9">
        <f t="shared" si="95"/>
        <v>321</v>
      </c>
      <c r="D325" s="9"/>
      <c r="E325" s="13">
        <f t="shared" si="84"/>
        <v>3688.1939416697028</v>
      </c>
      <c r="F325" s="14">
        <f t="shared" si="96"/>
        <v>697509.56521636411</v>
      </c>
      <c r="G325" s="15">
        <f t="shared" si="85"/>
        <v>0.35211742995732165</v>
      </c>
      <c r="H325" s="13">
        <f t="shared" si="86"/>
        <v>42546.596181732151</v>
      </c>
      <c r="I325" s="13">
        <f t="shared" si="87"/>
        <v>3621467.3518702765</v>
      </c>
      <c r="J325" s="15">
        <f t="shared" ref="J325:J388" si="98">1-G325</f>
        <v>0.64788257004267835</v>
      </c>
      <c r="K325" s="13">
        <f t="shared" si="88"/>
        <v>1283390.8557054452</v>
      </c>
      <c r="L325" s="13">
        <f t="shared" si="97"/>
        <v>110902729.86479461</v>
      </c>
      <c r="M325" s="15">
        <f t="shared" si="89"/>
        <v>0.64788257004267835</v>
      </c>
      <c r="N325" s="13">
        <f t="shared" ref="N325:N364" si="99">Q325*Inflação_3</f>
        <v>15871.416975179754</v>
      </c>
      <c r="O325" s="13">
        <f t="shared" si="90"/>
        <v>2338076.4961648304</v>
      </c>
      <c r="P325" s="15">
        <f t="shared" ref="P325:P388" si="100">O325/Q325</f>
        <v>0.54134961613593824</v>
      </c>
      <c r="Q325" s="7">
        <f t="shared" si="91"/>
        <v>4318976.9170866394</v>
      </c>
      <c r="R325" s="7">
        <f t="shared" si="92"/>
        <v>1980900.4209218093</v>
      </c>
      <c r="S325" s="13">
        <f>IF('Calc (3)'!$AD$32="Sim",R325,Q325)</f>
        <v>1980900.4209218093</v>
      </c>
      <c r="T325" s="9">
        <f t="shared" si="93"/>
        <v>321</v>
      </c>
      <c r="U325" s="17">
        <f t="shared" ca="1" si="94"/>
        <v>55274</v>
      </c>
      <c r="V325" s="22"/>
      <c r="W325" s="22"/>
      <c r="X325" s="22"/>
    </row>
    <row r="326" spans="2:24" x14ac:dyDescent="0.2">
      <c r="B326" s="17">
        <f t="shared" ref="B326:B389" ca="1" si="101">DATE(YEAR(B325),MONTH(B325)+1,1)</f>
        <v>55274</v>
      </c>
      <c r="C326" s="9">
        <f t="shared" si="95"/>
        <v>322</v>
      </c>
      <c r="D326" s="9"/>
      <c r="E326" s="13">
        <f t="shared" ref="E326:E389" si="102">IF($AE$33,IF($AE$34,$E325*(1+Inflação_3)*(1+Crescimento_Salário_3),$E325*(1+Inflação_3)),IF($AE$34,$E325*(1+Crescimento_Salário_3),$E325))</f>
        <v>3703.2201003261671</v>
      </c>
      <c r="F326" s="14">
        <f t="shared" si="96"/>
        <v>701212.78531669022</v>
      </c>
      <c r="G326" s="15">
        <f t="shared" ref="G326:G389" si="103">IF(F326&lt;=0,0,F326/S326)</f>
        <v>0.35112834596143289</v>
      </c>
      <c r="H326" s="13">
        <f t="shared" ref="H326:H364" si="104">Q325*Taxa_3</f>
        <v>43006.987398069286</v>
      </c>
      <c r="I326" s="13">
        <f t="shared" ref="I326:I389" si="105">I325+H326</f>
        <v>3664474.3392683459</v>
      </c>
      <c r="J326" s="15">
        <f t="shared" si="98"/>
        <v>0.64887165403856706</v>
      </c>
      <c r="K326" s="13">
        <f t="shared" ref="K326:K389" si="106">R326-F326</f>
        <v>1295814.2088916036</v>
      </c>
      <c r="L326" s="13">
        <f t="shared" si="97"/>
        <v>112198544.07368621</v>
      </c>
      <c r="M326" s="15">
        <f t="shared" ref="M326:M389" si="107">K326/R326</f>
        <v>0.64887165403856717</v>
      </c>
      <c r="N326" s="13">
        <f t="shared" si="99"/>
        <v>16043.068084791215</v>
      </c>
      <c r="O326" s="13">
        <f t="shared" ref="O326:O389" si="108">Q326-R326</f>
        <v>2368660.1303767413</v>
      </c>
      <c r="P326" s="15">
        <f t="shared" si="100"/>
        <v>0.54256296037290708</v>
      </c>
      <c r="Q326" s="7">
        <f t="shared" ref="Q326:Q389" si="109">Q325+E326+H326</f>
        <v>4365687.1245850353</v>
      </c>
      <c r="R326" s="7">
        <f t="shared" ref="R326:R364" si="110">(R325+E326)*(1+((1+Taxa_3)/(1+Inflação_3)-1))</f>
        <v>1997026.9942082937</v>
      </c>
      <c r="S326" s="13">
        <f>IF('Calc (3)'!$AD$32="Sim",R326,Q326)</f>
        <v>1997026.9942082937</v>
      </c>
      <c r="T326" s="9">
        <f t="shared" ref="T326:T389" si="111">C326</f>
        <v>322</v>
      </c>
      <c r="U326" s="17">
        <f t="shared" ref="U326:U389" ca="1" si="112">DATE(YEAR(U325),MONTH(U325)+1,1)</f>
        <v>55305</v>
      </c>
      <c r="V326" s="22"/>
      <c r="W326" s="22"/>
      <c r="X326" s="22"/>
    </row>
    <row r="327" spans="2:24" x14ac:dyDescent="0.2">
      <c r="B327" s="17">
        <f t="shared" ca="1" si="101"/>
        <v>55305</v>
      </c>
      <c r="C327" s="9">
        <f t="shared" ref="C327:C390" si="113">C326+1</f>
        <v>323</v>
      </c>
      <c r="D327" s="9"/>
      <c r="E327" s="13">
        <f t="shared" si="102"/>
        <v>3718.3074774129905</v>
      </c>
      <c r="F327" s="14">
        <f t="shared" ref="F327:F390" si="114">F326+E327</f>
        <v>704931.0927941032</v>
      </c>
      <c r="G327" s="15">
        <f t="shared" si="103"/>
        <v>0.35014240415310999</v>
      </c>
      <c r="H327" s="13">
        <f t="shared" si="104"/>
        <v>43472.112668199188</v>
      </c>
      <c r="I327" s="13">
        <f t="shared" si="105"/>
        <v>3707946.4519365449</v>
      </c>
      <c r="J327" s="15">
        <f t="shared" si="98"/>
        <v>0.64985759584688996</v>
      </c>
      <c r="K327" s="13">
        <f t="shared" si="106"/>
        <v>1308338.6067132191</v>
      </c>
      <c r="L327" s="13">
        <f t="shared" ref="L327:L390" si="115">L326+K327</f>
        <v>113506882.68039943</v>
      </c>
      <c r="M327" s="15">
        <f t="shared" si="107"/>
        <v>0.64985759584688996</v>
      </c>
      <c r="N327" s="13">
        <f t="shared" si="99"/>
        <v>16216.483884352876</v>
      </c>
      <c r="O327" s="13">
        <f t="shared" si="108"/>
        <v>2399607.8452233253</v>
      </c>
      <c r="P327" s="15">
        <f t="shared" si="100"/>
        <v>0.54377394815513558</v>
      </c>
      <c r="Q327" s="7">
        <f t="shared" si="109"/>
        <v>4412877.5447306475</v>
      </c>
      <c r="R327" s="7">
        <f t="shared" si="110"/>
        <v>2013269.6995073224</v>
      </c>
      <c r="S327" s="13">
        <f>IF('Calc (3)'!$AD$32="Sim",R327,Q327)</f>
        <v>2013269.6995073224</v>
      </c>
      <c r="T327" s="9">
        <f t="shared" si="111"/>
        <v>323</v>
      </c>
      <c r="U327" s="17">
        <f t="shared" ca="1" si="112"/>
        <v>55335</v>
      </c>
      <c r="V327" s="22"/>
      <c r="W327" s="22"/>
      <c r="X327" s="22"/>
    </row>
    <row r="328" spans="2:24" x14ac:dyDescent="0.2">
      <c r="B328" s="17">
        <f t="shared" ca="1" si="101"/>
        <v>55335</v>
      </c>
      <c r="C328" s="9">
        <f t="shared" si="113"/>
        <v>324</v>
      </c>
      <c r="D328" s="9">
        <v>27</v>
      </c>
      <c r="E328" s="13">
        <f t="shared" si="102"/>
        <v>3733.4563223416362</v>
      </c>
      <c r="F328" s="14">
        <f t="shared" si="114"/>
        <v>708664.54911644489</v>
      </c>
      <c r="G328" s="15">
        <f t="shared" si="103"/>
        <v>0.34915959291835413</v>
      </c>
      <c r="H328" s="13">
        <f t="shared" si="104"/>
        <v>43942.019741905184</v>
      </c>
      <c r="I328" s="13">
        <f t="shared" si="105"/>
        <v>3751888.4716784502</v>
      </c>
      <c r="J328" s="15">
        <f t="shared" si="98"/>
        <v>0.65084040708164581</v>
      </c>
      <c r="K328" s="13">
        <f t="shared" si="106"/>
        <v>1320964.7765259291</v>
      </c>
      <c r="L328" s="13">
        <f t="shared" si="115"/>
        <v>114827847.45692536</v>
      </c>
      <c r="M328" s="15">
        <f t="shared" si="107"/>
        <v>0.65084040708164592</v>
      </c>
      <c r="N328" s="13">
        <f t="shared" si="99"/>
        <v>16391.682171964068</v>
      </c>
      <c r="O328" s="13">
        <f t="shared" si="108"/>
        <v>2430923.6951525197</v>
      </c>
      <c r="P328" s="15">
        <f t="shared" si="100"/>
        <v>0.54498258037056502</v>
      </c>
      <c r="Q328" s="7">
        <f t="shared" si="109"/>
        <v>4460553.0207948936</v>
      </c>
      <c r="R328" s="7">
        <f t="shared" si="110"/>
        <v>2029629.3256423739</v>
      </c>
      <c r="S328" s="13">
        <f>IF('Calc (3)'!$AD$32="Sim",R328,Q328)</f>
        <v>2029629.3256423739</v>
      </c>
      <c r="T328" s="9">
        <f t="shared" si="111"/>
        <v>324</v>
      </c>
      <c r="U328" s="17">
        <f t="shared" ca="1" si="112"/>
        <v>55366</v>
      </c>
      <c r="V328" s="22"/>
      <c r="W328" s="22"/>
      <c r="X328" s="22"/>
    </row>
    <row r="329" spans="2:24" x14ac:dyDescent="0.2">
      <c r="B329" s="17">
        <f t="shared" ca="1" si="101"/>
        <v>55366</v>
      </c>
      <c r="C329" s="9">
        <f t="shared" si="113"/>
        <v>325</v>
      </c>
      <c r="D329" s="9"/>
      <c r="E329" s="13">
        <f t="shared" si="102"/>
        <v>3748.6668855397006</v>
      </c>
      <c r="F329" s="14">
        <f t="shared" si="114"/>
        <v>712413.21600198455</v>
      </c>
      <c r="G329" s="15">
        <f t="shared" si="103"/>
        <v>0.34817990069718463</v>
      </c>
      <c r="H329" s="13">
        <f t="shared" si="104"/>
        <v>44416.756846931217</v>
      </c>
      <c r="I329" s="13">
        <f t="shared" si="105"/>
        <v>3796305.2285253815</v>
      </c>
      <c r="J329" s="15">
        <f t="shared" si="98"/>
        <v>0.65182009930281537</v>
      </c>
      <c r="K329" s="13">
        <f t="shared" si="106"/>
        <v>1333693.4506248669</v>
      </c>
      <c r="L329" s="13">
        <f t="shared" si="115"/>
        <v>116161540.90755023</v>
      </c>
      <c r="M329" s="15">
        <f t="shared" si="107"/>
        <v>0.65182009930281548</v>
      </c>
      <c r="N329" s="13">
        <f t="shared" si="99"/>
        <v>16568.680923872176</v>
      </c>
      <c r="O329" s="13">
        <f t="shared" si="108"/>
        <v>2462611.7779005133</v>
      </c>
      <c r="P329" s="15">
        <f t="shared" si="100"/>
        <v>0.54618885792028238</v>
      </c>
      <c r="Q329" s="7">
        <f t="shared" si="109"/>
        <v>4508718.4445273643</v>
      </c>
      <c r="R329" s="7">
        <f t="shared" si="110"/>
        <v>2046106.6666268513</v>
      </c>
      <c r="S329" s="13">
        <f>IF('Calc (3)'!$AD$32="Sim",R329,Q329)</f>
        <v>2046106.6666268513</v>
      </c>
      <c r="T329" s="9">
        <f t="shared" si="111"/>
        <v>325</v>
      </c>
      <c r="U329" s="17">
        <f t="shared" ca="1" si="112"/>
        <v>55397</v>
      </c>
      <c r="V329" s="22"/>
      <c r="W329" s="22"/>
      <c r="X329" s="22"/>
    </row>
    <row r="330" spans="2:24" x14ac:dyDescent="0.2">
      <c r="B330" s="17">
        <f t="shared" ca="1" si="101"/>
        <v>55397</v>
      </c>
      <c r="C330" s="9">
        <f t="shared" si="113"/>
        <v>326</v>
      </c>
      <c r="D330" s="9"/>
      <c r="E330" s="13">
        <f t="shared" si="102"/>
        <v>3763.9394184550529</v>
      </c>
      <c r="F330" s="14">
        <f t="shared" si="114"/>
        <v>716177.15542043955</v>
      </c>
      <c r="G330" s="15">
        <f t="shared" si="103"/>
        <v>0.34720331598326076</v>
      </c>
      <c r="H330" s="13">
        <f t="shared" si="104"/>
        <v>44896.372693751335</v>
      </c>
      <c r="I330" s="13">
        <f t="shared" si="105"/>
        <v>3841201.601219133</v>
      </c>
      <c r="J330" s="15">
        <f t="shared" si="98"/>
        <v>0.65279668401673918</v>
      </c>
      <c r="K330" s="13">
        <f t="shared" si="106"/>
        <v>1346525.3662771576</v>
      </c>
      <c r="L330" s="13">
        <f t="shared" si="115"/>
        <v>117508066.27382739</v>
      </c>
      <c r="M330" s="15">
        <f t="shared" si="107"/>
        <v>0.65279668401673929</v>
      </c>
      <c r="N330" s="13">
        <f t="shared" si="99"/>
        <v>16747.498296250302</v>
      </c>
      <c r="O330" s="13">
        <f t="shared" si="108"/>
        <v>2494676.2349419729</v>
      </c>
      <c r="P330" s="15">
        <f t="shared" si="100"/>
        <v>0.54739278171855266</v>
      </c>
      <c r="Q330" s="7">
        <f t="shared" si="109"/>
        <v>4557378.75663957</v>
      </c>
      <c r="R330" s="7">
        <f t="shared" si="110"/>
        <v>2062702.5216975971</v>
      </c>
      <c r="S330" s="13">
        <f>IF('Calc (3)'!$AD$32="Sim",R330,Q330)</f>
        <v>2062702.5216975971</v>
      </c>
      <c r="T330" s="9">
        <f t="shared" si="111"/>
        <v>326</v>
      </c>
      <c r="U330" s="17">
        <f t="shared" ca="1" si="112"/>
        <v>55427</v>
      </c>
      <c r="V330" s="22"/>
      <c r="W330" s="22"/>
      <c r="X330" s="22"/>
    </row>
    <row r="331" spans="2:24" x14ac:dyDescent="0.2">
      <c r="B331" s="17">
        <f t="shared" ca="1" si="101"/>
        <v>55427</v>
      </c>
      <c r="C331" s="9">
        <f t="shared" si="113"/>
        <v>327</v>
      </c>
      <c r="D331" s="9"/>
      <c r="E331" s="13">
        <f t="shared" si="102"/>
        <v>3779.2741735599921</v>
      </c>
      <c r="F331" s="14">
        <f t="shared" si="114"/>
        <v>719956.42959399952</v>
      </c>
      <c r="G331" s="15">
        <f t="shared" si="103"/>
        <v>0.34622982732350749</v>
      </c>
      <c r="H331" s="13">
        <f t="shared" si="104"/>
        <v>45380.916480386666</v>
      </c>
      <c r="I331" s="13">
        <f t="shared" si="105"/>
        <v>3886582.5176995196</v>
      </c>
      <c r="J331" s="15">
        <f t="shared" si="98"/>
        <v>0.65377017267649251</v>
      </c>
      <c r="K331" s="13">
        <f t="shared" si="106"/>
        <v>1359461.2657546229</v>
      </c>
      <c r="L331" s="13">
        <f t="shared" si="115"/>
        <v>118867527.53958201</v>
      </c>
      <c r="M331" s="15">
        <f t="shared" si="107"/>
        <v>0.6537701726764924</v>
      </c>
      <c r="N331" s="13">
        <f t="shared" si="99"/>
        <v>16928.152626992691</v>
      </c>
      <c r="O331" s="13">
        <f t="shared" si="108"/>
        <v>2527121.251944894</v>
      </c>
      <c r="P331" s="15">
        <f t="shared" si="100"/>
        <v>0.54859435269285106</v>
      </c>
      <c r="Q331" s="7">
        <f t="shared" si="109"/>
        <v>4606538.9472935162</v>
      </c>
      <c r="R331" s="7">
        <f t="shared" si="110"/>
        <v>2079417.6953486225</v>
      </c>
      <c r="S331" s="13">
        <f>IF('Calc (3)'!$AD$32="Sim",R331,Q331)</f>
        <v>2079417.6953486225</v>
      </c>
      <c r="T331" s="9">
        <f t="shared" si="111"/>
        <v>327</v>
      </c>
      <c r="U331" s="17">
        <f t="shared" ca="1" si="112"/>
        <v>55458</v>
      </c>
      <c r="V331" s="22"/>
      <c r="W331" s="22"/>
      <c r="X331" s="22"/>
    </row>
    <row r="332" spans="2:24" x14ac:dyDescent="0.2">
      <c r="B332" s="17">
        <f t="shared" ca="1" si="101"/>
        <v>55458</v>
      </c>
      <c r="C332" s="9">
        <f t="shared" si="113"/>
        <v>328</v>
      </c>
      <c r="D332" s="9"/>
      <c r="E332" s="13">
        <f t="shared" si="102"/>
        <v>3794.6714043554207</v>
      </c>
      <c r="F332" s="14">
        <f t="shared" si="114"/>
        <v>723751.10099835496</v>
      </c>
      <c r="G332" s="15">
        <f t="shared" si="103"/>
        <v>0.34525942331774645</v>
      </c>
      <c r="H332" s="13">
        <f t="shared" si="104"/>
        <v>45870.437897270531</v>
      </c>
      <c r="I332" s="13">
        <f t="shared" si="105"/>
        <v>3932452.9555967902</v>
      </c>
      <c r="J332" s="15">
        <f t="shared" si="98"/>
        <v>0.65474057668225361</v>
      </c>
      <c r="K332" s="13">
        <f t="shared" si="106"/>
        <v>1372501.8963666959</v>
      </c>
      <c r="L332" s="13">
        <f t="shared" si="115"/>
        <v>120240029.43594871</v>
      </c>
      <c r="M332" s="15">
        <f t="shared" si="107"/>
        <v>0.65474057668225349</v>
      </c>
      <c r="N332" s="13">
        <f t="shared" si="99"/>
        <v>17110.66243752803</v>
      </c>
      <c r="O332" s="13">
        <f t="shared" si="108"/>
        <v>2559951.0592300911</v>
      </c>
      <c r="P332" s="15">
        <f t="shared" si="100"/>
        <v>0.54979357178389221</v>
      </c>
      <c r="Q332" s="7">
        <f t="shared" si="109"/>
        <v>4656204.056595142</v>
      </c>
      <c r="R332" s="7">
        <f t="shared" si="110"/>
        <v>2096252.9973650509</v>
      </c>
      <c r="S332" s="13">
        <f>IF('Calc (3)'!$AD$32="Sim",R332,Q332)</f>
        <v>2096252.9973650509</v>
      </c>
      <c r="T332" s="9">
        <f t="shared" si="111"/>
        <v>328</v>
      </c>
      <c r="U332" s="17">
        <f t="shared" ca="1" si="112"/>
        <v>55488</v>
      </c>
      <c r="V332" s="22"/>
      <c r="W332" s="22"/>
      <c r="X332" s="22"/>
    </row>
    <row r="333" spans="2:24" x14ac:dyDescent="0.2">
      <c r="B333" s="17">
        <f t="shared" ca="1" si="101"/>
        <v>55488</v>
      </c>
      <c r="C333" s="9">
        <f t="shared" si="113"/>
        <v>329</v>
      </c>
      <c r="D333" s="9"/>
      <c r="E333" s="13">
        <f t="shared" si="102"/>
        <v>3810.1313653750353</v>
      </c>
      <c r="F333" s="14">
        <f t="shared" si="114"/>
        <v>727561.23236372997</v>
      </c>
      <c r="G333" s="15">
        <f t="shared" si="103"/>
        <v>0.3442920926183301</v>
      </c>
      <c r="H333" s="13">
        <f t="shared" si="104"/>
        <v>46364.987132161914</v>
      </c>
      <c r="I333" s="13">
        <f t="shared" si="105"/>
        <v>3978817.942728952</v>
      </c>
      <c r="J333" s="15">
        <f t="shared" si="98"/>
        <v>0.65570790738166984</v>
      </c>
      <c r="K333" s="13">
        <f t="shared" si="106"/>
        <v>1385648.0104935502</v>
      </c>
      <c r="L333" s="13">
        <f t="shared" si="115"/>
        <v>121625677.44644226</v>
      </c>
      <c r="M333" s="15">
        <f t="shared" si="107"/>
        <v>0.65570790738166984</v>
      </c>
      <c r="N333" s="13">
        <f t="shared" si="99"/>
        <v>17295.046434650809</v>
      </c>
      <c r="O333" s="13">
        <f t="shared" si="108"/>
        <v>2593169.9322353983</v>
      </c>
      <c r="P333" s="15">
        <f t="shared" si="100"/>
        <v>0.55099043994565811</v>
      </c>
      <c r="Q333" s="7">
        <f t="shared" si="109"/>
        <v>4706379.1750926785</v>
      </c>
      <c r="R333" s="7">
        <f t="shared" si="110"/>
        <v>2113209.2428572802</v>
      </c>
      <c r="S333" s="13">
        <f>IF('Calc (3)'!$AD$32="Sim",R333,Q333)</f>
        <v>2113209.2428572802</v>
      </c>
      <c r="T333" s="9">
        <f t="shared" si="111"/>
        <v>329</v>
      </c>
      <c r="U333" s="17">
        <f t="shared" ca="1" si="112"/>
        <v>55519</v>
      </c>
      <c r="V333" s="22"/>
      <c r="W333" s="22"/>
      <c r="X333" s="22"/>
    </row>
    <row r="334" spans="2:24" x14ac:dyDescent="0.2">
      <c r="B334" s="17">
        <f t="shared" ca="1" si="101"/>
        <v>55519</v>
      </c>
      <c r="C334" s="9">
        <f t="shared" si="113"/>
        <v>330</v>
      </c>
      <c r="D334" s="9"/>
      <c r="E334" s="13">
        <f t="shared" si="102"/>
        <v>3825.6543121895343</v>
      </c>
      <c r="F334" s="14">
        <f t="shared" si="114"/>
        <v>731386.88667591952</v>
      </c>
      <c r="G334" s="15">
        <f t="shared" si="103"/>
        <v>0.34332782392978167</v>
      </c>
      <c r="H334" s="13">
        <f t="shared" si="104"/>
        <v>46864.614875107989</v>
      </c>
      <c r="I334" s="13">
        <f t="shared" si="105"/>
        <v>4025682.55760406</v>
      </c>
      <c r="J334" s="15">
        <f t="shared" si="98"/>
        <v>0.65667217607021833</v>
      </c>
      <c r="K334" s="13">
        <f t="shared" si="106"/>
        <v>1398900.3656194401</v>
      </c>
      <c r="L334" s="13">
        <f t="shared" si="115"/>
        <v>123024577.8120617</v>
      </c>
      <c r="M334" s="15">
        <f t="shared" si="107"/>
        <v>0.65667217607021844</v>
      </c>
      <c r="N334" s="13">
        <f t="shared" si="99"/>
        <v>17481.323512370964</v>
      </c>
      <c r="O334" s="13">
        <f t="shared" si="108"/>
        <v>2626782.1919846167</v>
      </c>
      <c r="P334" s="15">
        <f t="shared" si="100"/>
        <v>0.55218495814542456</v>
      </c>
      <c r="Q334" s="7">
        <f t="shared" si="109"/>
        <v>4757069.4442799762</v>
      </c>
      <c r="R334" s="7">
        <f t="shared" si="110"/>
        <v>2130287.2522953595</v>
      </c>
      <c r="S334" s="13">
        <f>IF('Calc (3)'!$AD$32="Sim",R334,Q334)</f>
        <v>2130287.2522953595</v>
      </c>
      <c r="T334" s="9">
        <f t="shared" si="111"/>
        <v>330</v>
      </c>
      <c r="U334" s="17">
        <f t="shared" ca="1" si="112"/>
        <v>55550</v>
      </c>
      <c r="V334" s="22"/>
      <c r="W334" s="22"/>
      <c r="X334" s="22"/>
    </row>
    <row r="335" spans="2:24" x14ac:dyDescent="0.2">
      <c r="B335" s="17">
        <f t="shared" ca="1" si="101"/>
        <v>55550</v>
      </c>
      <c r="C335" s="9">
        <f t="shared" si="113"/>
        <v>331</v>
      </c>
      <c r="D335" s="9"/>
      <c r="E335" s="13">
        <f t="shared" si="102"/>
        <v>3841.2405014108426</v>
      </c>
      <c r="F335" s="14">
        <f t="shared" si="114"/>
        <v>735228.12717733032</v>
      </c>
      <c r="G335" s="15">
        <f t="shared" si="103"/>
        <v>0.34236660600843766</v>
      </c>
      <c r="H335" s="13">
        <f t="shared" si="104"/>
        <v>47369.372323456053</v>
      </c>
      <c r="I335" s="13">
        <f t="shared" si="105"/>
        <v>4073051.9299275163</v>
      </c>
      <c r="J335" s="15">
        <f t="shared" si="98"/>
        <v>0.6576333939915624</v>
      </c>
      <c r="K335" s="13">
        <f t="shared" si="106"/>
        <v>1412259.7243662593</v>
      </c>
      <c r="L335" s="13">
        <f t="shared" si="115"/>
        <v>124436837.53642796</v>
      </c>
      <c r="M335" s="15">
        <f t="shared" si="107"/>
        <v>0.6576333939915624</v>
      </c>
      <c r="N335" s="13">
        <f t="shared" si="99"/>
        <v>17669.512753781921</v>
      </c>
      <c r="O335" s="13">
        <f t="shared" si="108"/>
        <v>2660792.2055612542</v>
      </c>
      <c r="P335" s="15">
        <f t="shared" si="100"/>
        <v>0.55337712736378497</v>
      </c>
      <c r="Q335" s="7">
        <f t="shared" si="109"/>
        <v>4808280.0571048437</v>
      </c>
      <c r="R335" s="7">
        <f t="shared" si="110"/>
        <v>2147487.8515435895</v>
      </c>
      <c r="S335" s="13">
        <f>IF('Calc (3)'!$AD$32="Sim",R335,Q335)</f>
        <v>2147487.8515435895</v>
      </c>
      <c r="T335" s="9">
        <f t="shared" si="111"/>
        <v>331</v>
      </c>
      <c r="U335" s="17">
        <f t="shared" ca="1" si="112"/>
        <v>55579</v>
      </c>
      <c r="V335" s="22"/>
      <c r="W335" s="22"/>
      <c r="X335" s="22"/>
    </row>
    <row r="336" spans="2:24" x14ac:dyDescent="0.2">
      <c r="B336" s="17">
        <f t="shared" ca="1" si="101"/>
        <v>55579</v>
      </c>
      <c r="C336" s="9">
        <f t="shared" si="113"/>
        <v>332</v>
      </c>
      <c r="D336" s="9"/>
      <c r="E336" s="13">
        <f t="shared" si="102"/>
        <v>3856.8901906963538</v>
      </c>
      <c r="F336" s="14">
        <f t="shared" si="114"/>
        <v>739085.01736802666</v>
      </c>
      <c r="G336" s="15">
        <f t="shared" si="103"/>
        <v>0.34140842766209573</v>
      </c>
      <c r="H336" s="13">
        <f t="shared" si="104"/>
        <v>47879.311186915438</v>
      </c>
      <c r="I336" s="13">
        <f t="shared" si="105"/>
        <v>4120931.2411144315</v>
      </c>
      <c r="J336" s="15">
        <f t="shared" si="98"/>
        <v>0.65859157233790433</v>
      </c>
      <c r="K336" s="13">
        <f t="shared" si="106"/>
        <v>1425726.8545273147</v>
      </c>
      <c r="L336" s="13">
        <f t="shared" si="115"/>
        <v>125862564.39095527</v>
      </c>
      <c r="M336" s="15">
        <f t="shared" si="107"/>
        <v>0.65859157233790433</v>
      </c>
      <c r="N336" s="13">
        <f t="shared" si="99"/>
        <v>17859.633432947263</v>
      </c>
      <c r="O336" s="13">
        <f t="shared" si="108"/>
        <v>2695204.3865871141</v>
      </c>
      <c r="P336" s="15">
        <f t="shared" si="100"/>
        <v>0.55456694859467281</v>
      </c>
      <c r="Q336" s="7">
        <f t="shared" si="109"/>
        <v>4860016.2584824553</v>
      </c>
      <c r="R336" s="7">
        <f t="shared" si="110"/>
        <v>2164811.8718953412</v>
      </c>
      <c r="S336" s="13">
        <f>IF('Calc (3)'!$AD$32="Sim",R336,Q336)</f>
        <v>2164811.8718953412</v>
      </c>
      <c r="T336" s="9">
        <f t="shared" si="111"/>
        <v>332</v>
      </c>
      <c r="U336" s="17">
        <f t="shared" ca="1" si="112"/>
        <v>55610</v>
      </c>
      <c r="V336" s="22"/>
      <c r="W336" s="22"/>
      <c r="X336" s="22"/>
    </row>
    <row r="337" spans="2:24" x14ac:dyDescent="0.2">
      <c r="B337" s="17">
        <f t="shared" ca="1" si="101"/>
        <v>55610</v>
      </c>
      <c r="C337" s="9">
        <f t="shared" si="113"/>
        <v>333</v>
      </c>
      <c r="D337" s="9"/>
      <c r="E337" s="13">
        <f t="shared" si="102"/>
        <v>3872.6036387531899</v>
      </c>
      <c r="F337" s="14">
        <f t="shared" si="114"/>
        <v>742957.62100677984</v>
      </c>
      <c r="G337" s="15">
        <f t="shared" si="103"/>
        <v>0.34045327774966594</v>
      </c>
      <c r="H337" s="13">
        <f t="shared" si="104"/>
        <v>48394.483692669834</v>
      </c>
      <c r="I337" s="13">
        <f t="shared" si="105"/>
        <v>4169325.7248071013</v>
      </c>
      <c r="J337" s="15">
        <f t="shared" si="98"/>
        <v>0.65954672225033406</v>
      </c>
      <c r="K337" s="13">
        <f t="shared" si="106"/>
        <v>1439302.5291013177</v>
      </c>
      <c r="L337" s="13">
        <f t="shared" si="115"/>
        <v>127301866.92005658</v>
      </c>
      <c r="M337" s="15">
        <f t="shared" si="107"/>
        <v>0.65954672225033406</v>
      </c>
      <c r="N337" s="13">
        <f t="shared" si="99"/>
        <v>18051.705016806231</v>
      </c>
      <c r="O337" s="13">
        <f t="shared" si="108"/>
        <v>2730023.1957057812</v>
      </c>
      <c r="P337" s="15">
        <f t="shared" si="100"/>
        <v>0.55575442284538346</v>
      </c>
      <c r="Q337" s="7">
        <f t="shared" si="109"/>
        <v>4912283.3458138788</v>
      </c>
      <c r="R337" s="7">
        <f t="shared" si="110"/>
        <v>2182260.1501080976</v>
      </c>
      <c r="S337" s="13">
        <f>IF('Calc (3)'!$AD$32="Sim",R337,Q337)</f>
        <v>2182260.1501080976</v>
      </c>
      <c r="T337" s="9">
        <f t="shared" si="111"/>
        <v>333</v>
      </c>
      <c r="U337" s="17">
        <f t="shared" ca="1" si="112"/>
        <v>55640</v>
      </c>
      <c r="V337" s="22"/>
      <c r="W337" s="22"/>
      <c r="X337" s="22"/>
    </row>
    <row r="338" spans="2:24" x14ac:dyDescent="0.2">
      <c r="B338" s="17">
        <f t="shared" ca="1" si="101"/>
        <v>55640</v>
      </c>
      <c r="C338" s="9">
        <f t="shared" si="113"/>
        <v>334</v>
      </c>
      <c r="D338" s="9"/>
      <c r="E338" s="13">
        <f t="shared" si="102"/>
        <v>3888.3811053424774</v>
      </c>
      <c r="F338" s="14">
        <f t="shared" si="114"/>
        <v>746846.00211212237</v>
      </c>
      <c r="G338" s="15">
        <f t="shared" si="103"/>
        <v>0.33950114518082614</v>
      </c>
      <c r="H338" s="13">
        <f t="shared" si="104"/>
        <v>48914.942590540631</v>
      </c>
      <c r="I338" s="13">
        <f t="shared" si="105"/>
        <v>4218240.6673976416</v>
      </c>
      <c r="J338" s="15">
        <f t="shared" si="98"/>
        <v>0.66049885481917392</v>
      </c>
      <c r="K338" s="13">
        <f t="shared" si="106"/>
        <v>1452987.5263265963</v>
      </c>
      <c r="L338" s="13">
        <f t="shared" si="115"/>
        <v>128754854.44638318</v>
      </c>
      <c r="M338" s="15">
        <f t="shared" si="107"/>
        <v>0.66049885481917392</v>
      </c>
      <c r="N338" s="13">
        <f t="shared" si="99"/>
        <v>18245.747167098172</v>
      </c>
      <c r="O338" s="13">
        <f t="shared" si="108"/>
        <v>2765253.1410710434</v>
      </c>
      <c r="P338" s="15">
        <f t="shared" si="100"/>
        <v>0.55693955113659199</v>
      </c>
      <c r="Q338" s="7">
        <f t="shared" si="109"/>
        <v>4965086.669509762</v>
      </c>
      <c r="R338" s="7">
        <f t="shared" si="110"/>
        <v>2199833.5284387185</v>
      </c>
      <c r="S338" s="13">
        <f>IF('Calc (3)'!$AD$32="Sim",R338,Q338)</f>
        <v>2199833.5284387185</v>
      </c>
      <c r="T338" s="9">
        <f t="shared" si="111"/>
        <v>334</v>
      </c>
      <c r="U338" s="17">
        <f t="shared" ca="1" si="112"/>
        <v>55671</v>
      </c>
      <c r="V338" s="22"/>
      <c r="W338" s="22"/>
      <c r="X338" s="22"/>
    </row>
    <row r="339" spans="2:24" x14ac:dyDescent="0.2">
      <c r="B339" s="17">
        <f t="shared" ca="1" si="101"/>
        <v>55671</v>
      </c>
      <c r="C339" s="9">
        <f t="shared" si="113"/>
        <v>335</v>
      </c>
      <c r="D339" s="9"/>
      <c r="E339" s="13">
        <f t="shared" si="102"/>
        <v>3904.2228512836423</v>
      </c>
      <c r="F339" s="14">
        <f t="shared" si="114"/>
        <v>750750.22496340598</v>
      </c>
      <c r="G339" s="15">
        <f t="shared" si="103"/>
        <v>0.3385520189156811</v>
      </c>
      <c r="H339" s="13">
        <f t="shared" si="104"/>
        <v>49440.741158201614</v>
      </c>
      <c r="I339" s="13">
        <f t="shared" si="105"/>
        <v>4267681.4085558429</v>
      </c>
      <c r="J339" s="15">
        <f t="shared" si="98"/>
        <v>0.6614479810843189</v>
      </c>
      <c r="K339" s="13">
        <f t="shared" si="106"/>
        <v>1466782.6297155255</v>
      </c>
      <c r="L339" s="13">
        <f t="shared" si="115"/>
        <v>130221637.07609871</v>
      </c>
      <c r="M339" s="15">
        <f t="shared" si="107"/>
        <v>0.66144798108431879</v>
      </c>
      <c r="N339" s="13">
        <f t="shared" si="99"/>
        <v>18441.779742306193</v>
      </c>
      <c r="O339" s="13">
        <f t="shared" si="108"/>
        <v>2800898.7788403155</v>
      </c>
      <c r="P339" s="15">
        <f t="shared" si="100"/>
        <v>0.55812233450237225</v>
      </c>
      <c r="Q339" s="7">
        <f t="shared" si="109"/>
        <v>5018431.6335192472</v>
      </c>
      <c r="R339" s="7">
        <f t="shared" si="110"/>
        <v>2217532.8546789316</v>
      </c>
      <c r="S339" s="13">
        <f>IF('Calc (3)'!$AD$32="Sim",R339,Q339)</f>
        <v>2217532.8546789316</v>
      </c>
      <c r="T339" s="9">
        <f t="shared" si="111"/>
        <v>335</v>
      </c>
      <c r="U339" s="17">
        <f t="shared" ca="1" si="112"/>
        <v>55701</v>
      </c>
      <c r="V339" s="22"/>
      <c r="W339" s="22"/>
      <c r="X339" s="22"/>
    </row>
    <row r="340" spans="2:24" x14ac:dyDescent="0.2">
      <c r="B340" s="17">
        <f t="shared" ca="1" si="101"/>
        <v>55701</v>
      </c>
      <c r="C340" s="9">
        <f t="shared" si="113"/>
        <v>336</v>
      </c>
      <c r="D340" s="9">
        <v>28</v>
      </c>
      <c r="E340" s="13">
        <f t="shared" si="102"/>
        <v>3920.1291384587203</v>
      </c>
      <c r="F340" s="14">
        <f t="shared" si="114"/>
        <v>754670.35410186474</v>
      </c>
      <c r="G340" s="15">
        <f t="shared" si="103"/>
        <v>0.33760588796442625</v>
      </c>
      <c r="H340" s="13">
        <f t="shared" si="104"/>
        <v>49971.933206445749</v>
      </c>
      <c r="I340" s="13">
        <f t="shared" si="105"/>
        <v>4317653.3417622885</v>
      </c>
      <c r="J340" s="15">
        <f t="shared" si="98"/>
        <v>0.66239411203557375</v>
      </c>
      <c r="K340" s="13">
        <f t="shared" si="106"/>
        <v>1480688.628089183</v>
      </c>
      <c r="L340" s="13">
        <f t="shared" si="115"/>
        <v>131702325.7041879</v>
      </c>
      <c r="M340" s="15">
        <f t="shared" si="107"/>
        <v>0.66239411203557375</v>
      </c>
      <c r="N340" s="13">
        <f t="shared" si="99"/>
        <v>18639.822799620175</v>
      </c>
      <c r="O340" s="13">
        <f t="shared" si="108"/>
        <v>2836964.7136731036</v>
      </c>
      <c r="P340" s="15">
        <f t="shared" si="100"/>
        <v>0.55930277399021189</v>
      </c>
      <c r="Q340" s="7">
        <f t="shared" si="109"/>
        <v>5072323.6958641512</v>
      </c>
      <c r="R340" s="7">
        <f t="shared" si="110"/>
        <v>2235358.9821910476</v>
      </c>
      <c r="S340" s="13">
        <f>IF('Calc (3)'!$AD$32="Sim",R340,Q340)</f>
        <v>2235358.9821910476</v>
      </c>
      <c r="T340" s="9">
        <f t="shared" si="111"/>
        <v>336</v>
      </c>
      <c r="U340" s="17">
        <f t="shared" ca="1" si="112"/>
        <v>55732</v>
      </c>
      <c r="V340" s="22"/>
      <c r="W340" s="22"/>
      <c r="X340" s="22"/>
    </row>
    <row r="341" spans="2:24" x14ac:dyDescent="0.2">
      <c r="B341" s="17">
        <f t="shared" ca="1" si="101"/>
        <v>55732</v>
      </c>
      <c r="C341" s="9">
        <f t="shared" si="113"/>
        <v>337</v>
      </c>
      <c r="D341" s="9"/>
      <c r="E341" s="13">
        <f t="shared" si="102"/>
        <v>3936.1002298166877</v>
      </c>
      <c r="F341" s="14">
        <f t="shared" si="114"/>
        <v>758606.45433168148</v>
      </c>
      <c r="G341" s="15">
        <f t="shared" si="103"/>
        <v>0.33666274138701385</v>
      </c>
      <c r="H341" s="13">
        <f t="shared" si="104"/>
        <v>50508.573084504344</v>
      </c>
      <c r="I341" s="13">
        <f t="shared" si="105"/>
        <v>4368161.9148467928</v>
      </c>
      <c r="J341" s="15">
        <f t="shared" si="98"/>
        <v>0.6633372586129862</v>
      </c>
      <c r="K341" s="13">
        <f t="shared" si="106"/>
        <v>1494706.3156122258</v>
      </c>
      <c r="L341" s="13">
        <f t="shared" si="115"/>
        <v>133197032.01980013</v>
      </c>
      <c r="M341" s="15">
        <f t="shared" si="107"/>
        <v>0.66333725861298609</v>
      </c>
      <c r="N341" s="13">
        <f t="shared" si="99"/>
        <v>18839.896596919356</v>
      </c>
      <c r="O341" s="13">
        <f t="shared" si="108"/>
        <v>2873455.5992345647</v>
      </c>
      <c r="P341" s="15">
        <f t="shared" si="100"/>
        <v>0.56048087066102725</v>
      </c>
      <c r="Q341" s="7">
        <f t="shared" si="109"/>
        <v>5126768.3691784721</v>
      </c>
      <c r="R341" s="7">
        <f t="shared" si="110"/>
        <v>2253312.7699439074</v>
      </c>
      <c r="S341" s="13">
        <f>IF('Calc (3)'!$AD$32="Sim",R341,Q341)</f>
        <v>2253312.7699439074</v>
      </c>
      <c r="T341" s="9">
        <f t="shared" si="111"/>
        <v>337</v>
      </c>
      <c r="U341" s="17">
        <f t="shared" ca="1" si="112"/>
        <v>55763</v>
      </c>
      <c r="V341" s="22"/>
      <c r="W341" s="22"/>
      <c r="X341" s="22"/>
    </row>
    <row r="342" spans="2:24" x14ac:dyDescent="0.2">
      <c r="B342" s="17">
        <f t="shared" ca="1" si="101"/>
        <v>55763</v>
      </c>
      <c r="C342" s="9">
        <f t="shared" si="113"/>
        <v>338</v>
      </c>
      <c r="D342" s="9"/>
      <c r="E342" s="13">
        <f t="shared" si="102"/>
        <v>3952.1363893778075</v>
      </c>
      <c r="F342" s="14">
        <f t="shared" si="114"/>
        <v>762558.59072105924</v>
      </c>
      <c r="G342" s="15">
        <f t="shared" si="103"/>
        <v>0.33572256829282393</v>
      </c>
      <c r="H342" s="13">
        <f t="shared" si="104"/>
        <v>51050.715685419294</v>
      </c>
      <c r="I342" s="13">
        <f t="shared" si="105"/>
        <v>4419212.6305322126</v>
      </c>
      <c r="J342" s="15">
        <f t="shared" si="98"/>
        <v>0.66427743170717601</v>
      </c>
      <c r="K342" s="13">
        <f t="shared" si="106"/>
        <v>1508836.4918279951</v>
      </c>
      <c r="L342" s="13">
        <f t="shared" si="115"/>
        <v>134705868.51162812</v>
      </c>
      <c r="M342" s="15">
        <f t="shared" si="107"/>
        <v>0.66427743170717612</v>
      </c>
      <c r="N342" s="13">
        <f t="shared" si="99"/>
        <v>19042.021594774658</v>
      </c>
      <c r="O342" s="13">
        <f t="shared" si="108"/>
        <v>2910376.1387042152</v>
      </c>
      <c r="P342" s="15">
        <f t="shared" si="100"/>
        <v>0.56165662558917606</v>
      </c>
      <c r="Q342" s="7">
        <f t="shared" si="109"/>
        <v>5181771.2212532694</v>
      </c>
      <c r="R342" s="7">
        <f t="shared" si="110"/>
        <v>2271395.0825490542</v>
      </c>
      <c r="S342" s="13">
        <f>IF('Calc (3)'!$AD$32="Sim",R342,Q342)</f>
        <v>2271395.0825490542</v>
      </c>
      <c r="T342" s="9">
        <f t="shared" si="111"/>
        <v>338</v>
      </c>
      <c r="U342" s="17">
        <f t="shared" ca="1" si="112"/>
        <v>55793</v>
      </c>
      <c r="V342" s="22"/>
      <c r="W342" s="22"/>
      <c r="X342" s="22"/>
    </row>
    <row r="343" spans="2:24" x14ac:dyDescent="0.2">
      <c r="B343" s="17">
        <f t="shared" ca="1" si="101"/>
        <v>55793</v>
      </c>
      <c r="C343" s="9">
        <f t="shared" si="113"/>
        <v>339</v>
      </c>
      <c r="D343" s="9"/>
      <c r="E343" s="13">
        <f t="shared" si="102"/>
        <v>3968.2378822379937</v>
      </c>
      <c r="F343" s="14">
        <f t="shared" si="114"/>
        <v>766526.82860329724</v>
      </c>
      <c r="G343" s="15">
        <f t="shared" si="103"/>
        <v>0.33478535784033886</v>
      </c>
      <c r="H343" s="13">
        <f t="shared" si="104"/>
        <v>51598.416451468845</v>
      </c>
      <c r="I343" s="13">
        <f t="shared" si="105"/>
        <v>4470811.0469836816</v>
      </c>
      <c r="J343" s="15">
        <f t="shared" si="98"/>
        <v>0.6652146421596612</v>
      </c>
      <c r="K343" s="13">
        <f t="shared" si="106"/>
        <v>1523079.9616938413</v>
      </c>
      <c r="L343" s="13">
        <f t="shared" si="115"/>
        <v>136228948.47332197</v>
      </c>
      <c r="M343" s="15">
        <f t="shared" si="107"/>
        <v>0.66521464215966108</v>
      </c>
      <c r="N343" s="13">
        <f t="shared" si="99"/>
        <v>19246.21845847099</v>
      </c>
      <c r="O343" s="13">
        <f t="shared" si="108"/>
        <v>2947731.0852898378</v>
      </c>
      <c r="P343" s="15">
        <f t="shared" si="100"/>
        <v>0.56283003986246927</v>
      </c>
      <c r="Q343" s="7">
        <f t="shared" si="109"/>
        <v>5237337.8755869763</v>
      </c>
      <c r="R343" s="7">
        <f t="shared" si="110"/>
        <v>2289606.7902971385</v>
      </c>
      <c r="S343" s="13">
        <f>IF('Calc (3)'!$AD$32="Sim",R343,Q343)</f>
        <v>2289606.7902971385</v>
      </c>
      <c r="T343" s="9">
        <f t="shared" si="111"/>
        <v>339</v>
      </c>
      <c r="U343" s="17">
        <f t="shared" ca="1" si="112"/>
        <v>55824</v>
      </c>
      <c r="V343" s="22"/>
      <c r="W343" s="22"/>
      <c r="X343" s="22"/>
    </row>
    <row r="344" spans="2:24" x14ac:dyDescent="0.2">
      <c r="B344" s="17">
        <f t="shared" ca="1" si="101"/>
        <v>55824</v>
      </c>
      <c r="C344" s="9">
        <f t="shared" si="113"/>
        <v>340</v>
      </c>
      <c r="D344" s="9"/>
      <c r="E344" s="13">
        <f t="shared" si="102"/>
        <v>3984.4049745731941</v>
      </c>
      <c r="F344" s="14">
        <f t="shared" si="114"/>
        <v>770511.23357787041</v>
      </c>
      <c r="G344" s="15">
        <f t="shared" si="103"/>
        <v>0.33385109923682071</v>
      </c>
      <c r="H344" s="13">
        <f t="shared" si="104"/>
        <v>52151.731379647397</v>
      </c>
      <c r="I344" s="13">
        <f t="shared" si="105"/>
        <v>4522962.7783633294</v>
      </c>
      <c r="J344" s="15">
        <f t="shared" si="98"/>
        <v>0.66614890076317934</v>
      </c>
      <c r="K344" s="13">
        <f t="shared" si="106"/>
        <v>1537437.535616687</v>
      </c>
      <c r="L344" s="13">
        <f t="shared" si="115"/>
        <v>137766386.00893867</v>
      </c>
      <c r="M344" s="15">
        <f t="shared" si="107"/>
        <v>0.66614890076317934</v>
      </c>
      <c r="N344" s="13">
        <f t="shared" si="99"/>
        <v>19452.508060049688</v>
      </c>
      <c r="O344" s="13">
        <f t="shared" si="108"/>
        <v>2985525.24274664</v>
      </c>
      <c r="P344" s="15">
        <f t="shared" si="100"/>
        <v>0.56400111458218016</v>
      </c>
      <c r="Q344" s="7">
        <f t="shared" si="109"/>
        <v>5293474.0119411973</v>
      </c>
      <c r="R344" s="7">
        <f t="shared" si="110"/>
        <v>2307948.7691945573</v>
      </c>
      <c r="S344" s="13">
        <f>IF('Calc (3)'!$AD$32="Sim",R344,Q344)</f>
        <v>2307948.7691945573</v>
      </c>
      <c r="T344" s="9">
        <f t="shared" si="111"/>
        <v>340</v>
      </c>
      <c r="U344" s="17">
        <f t="shared" ca="1" si="112"/>
        <v>55854</v>
      </c>
      <c r="V344" s="22"/>
      <c r="W344" s="22"/>
      <c r="X344" s="22"/>
    </row>
    <row r="345" spans="2:24" x14ac:dyDescent="0.2">
      <c r="B345" s="17">
        <f t="shared" ca="1" si="101"/>
        <v>55854</v>
      </c>
      <c r="C345" s="9">
        <f t="shared" si="113"/>
        <v>341</v>
      </c>
      <c r="D345" s="9"/>
      <c r="E345" s="13">
        <f t="shared" si="102"/>
        <v>4000.6379336437894</v>
      </c>
      <c r="F345" s="14">
        <f t="shared" si="114"/>
        <v>774511.87151151418</v>
      </c>
      <c r="G345" s="15">
        <f t="shared" si="103"/>
        <v>0.33291978173799297</v>
      </c>
      <c r="H345" s="13">
        <f t="shared" si="104"/>
        <v>52710.717027199971</v>
      </c>
      <c r="I345" s="13">
        <f t="shared" si="105"/>
        <v>4575673.4953905297</v>
      </c>
      <c r="J345" s="15">
        <f t="shared" si="98"/>
        <v>0.66708021826200703</v>
      </c>
      <c r="K345" s="13">
        <f t="shared" si="106"/>
        <v>1551910.0294888085</v>
      </c>
      <c r="L345" s="13">
        <f t="shared" si="115"/>
        <v>139318296.03842747</v>
      </c>
      <c r="M345" s="15">
        <f t="shared" si="107"/>
        <v>0.66708021826200692</v>
      </c>
      <c r="N345" s="13">
        <f t="shared" si="99"/>
        <v>19660.911480371306</v>
      </c>
      <c r="O345" s="13">
        <f t="shared" si="108"/>
        <v>3023763.4659017185</v>
      </c>
      <c r="P345" s="15">
        <f t="shared" si="100"/>
        <v>0.5651698508630536</v>
      </c>
      <c r="Q345" s="7">
        <f t="shared" si="109"/>
        <v>5350185.3669020412</v>
      </c>
      <c r="R345" s="7">
        <f t="shared" si="110"/>
        <v>2326421.9010003228</v>
      </c>
      <c r="S345" s="13">
        <f>IF('Calc (3)'!$AD$32="Sim",R345,Q345)</f>
        <v>2326421.9010003228</v>
      </c>
      <c r="T345" s="9">
        <f t="shared" si="111"/>
        <v>341</v>
      </c>
      <c r="U345" s="17">
        <f t="shared" ca="1" si="112"/>
        <v>55885</v>
      </c>
      <c r="V345" s="22"/>
      <c r="W345" s="22"/>
      <c r="X345" s="22"/>
    </row>
    <row r="346" spans="2:24" x14ac:dyDescent="0.2">
      <c r="B346" s="17">
        <f t="shared" ca="1" si="101"/>
        <v>55885</v>
      </c>
      <c r="C346" s="9">
        <f t="shared" si="113"/>
        <v>342</v>
      </c>
      <c r="D346" s="9"/>
      <c r="E346" s="13">
        <f t="shared" si="102"/>
        <v>4016.9370277990133</v>
      </c>
      <c r="F346" s="14">
        <f t="shared" si="114"/>
        <v>778528.80853931315</v>
      </c>
      <c r="G346" s="15">
        <f t="shared" si="103"/>
        <v>0.33199139464772526</v>
      </c>
      <c r="H346" s="13">
        <f t="shared" si="104"/>
        <v>53275.430517211782</v>
      </c>
      <c r="I346" s="13">
        <f t="shared" si="105"/>
        <v>4628948.9259077413</v>
      </c>
      <c r="J346" s="15">
        <f t="shared" si="98"/>
        <v>0.66800860535227469</v>
      </c>
      <c r="K346" s="13">
        <f t="shared" si="106"/>
        <v>1566498.2647238565</v>
      </c>
      <c r="L346" s="13">
        <f t="shared" si="115"/>
        <v>140884794.30315134</v>
      </c>
      <c r="M346" s="15">
        <f t="shared" si="107"/>
        <v>0.66800860535227469</v>
      </c>
      <c r="N346" s="13">
        <f t="shared" si="99"/>
        <v>19871.450011198995</v>
      </c>
      <c r="O346" s="13">
        <f t="shared" si="108"/>
        <v>3062450.661183882</v>
      </c>
      <c r="P346" s="15">
        <f t="shared" si="100"/>
        <v>0.56633624983331288</v>
      </c>
      <c r="Q346" s="7">
        <f t="shared" si="109"/>
        <v>5407477.7344470518</v>
      </c>
      <c r="R346" s="7">
        <f t="shared" si="110"/>
        <v>2345027.0732631697</v>
      </c>
      <c r="S346" s="13">
        <f>IF('Calc (3)'!$AD$32="Sim",R346,Q346)</f>
        <v>2345027.0732631697</v>
      </c>
      <c r="T346" s="9">
        <f t="shared" si="111"/>
        <v>342</v>
      </c>
      <c r="U346" s="17">
        <f t="shared" ca="1" si="112"/>
        <v>55916</v>
      </c>
      <c r="V346" s="22"/>
      <c r="W346" s="22"/>
      <c r="X346" s="22"/>
    </row>
    <row r="347" spans="2:24" x14ac:dyDescent="0.2">
      <c r="B347" s="17">
        <f t="shared" ca="1" si="101"/>
        <v>55916</v>
      </c>
      <c r="C347" s="9">
        <f t="shared" si="113"/>
        <v>343</v>
      </c>
      <c r="D347" s="9"/>
      <c r="E347" s="13">
        <f t="shared" si="102"/>
        <v>4033.3025264813868</v>
      </c>
      <c r="F347" s="14">
        <f t="shared" si="114"/>
        <v>782562.11106579448</v>
      </c>
      <c r="G347" s="15">
        <f t="shared" si="103"/>
        <v>0.33106592731772161</v>
      </c>
      <c r="H347" s="13">
        <f t="shared" si="104"/>
        <v>53845.929544253559</v>
      </c>
      <c r="I347" s="13">
        <f t="shared" si="105"/>
        <v>4682794.8554519946</v>
      </c>
      <c r="J347" s="15">
        <f t="shared" si="98"/>
        <v>0.66893407268227834</v>
      </c>
      <c r="K347" s="13">
        <f t="shared" si="106"/>
        <v>1581203.0682931046</v>
      </c>
      <c r="L347" s="13">
        <f t="shared" si="115"/>
        <v>142465997.37144443</v>
      </c>
      <c r="M347" s="15">
        <f t="shared" si="107"/>
        <v>0.66893407268227845</v>
      </c>
      <c r="N347" s="13">
        <f t="shared" si="99"/>
        <v>20084.145157302595</v>
      </c>
      <c r="O347" s="13">
        <f t="shared" si="108"/>
        <v>3101591.7871588874</v>
      </c>
      <c r="P347" s="15">
        <f t="shared" si="100"/>
        <v>0.56750031263466483</v>
      </c>
      <c r="Q347" s="7">
        <f t="shared" si="109"/>
        <v>5465356.9665177865</v>
      </c>
      <c r="R347" s="7">
        <f t="shared" si="110"/>
        <v>2363765.1793588991</v>
      </c>
      <c r="S347" s="13">
        <f>IF('Calc (3)'!$AD$32="Sim",R347,Q347)</f>
        <v>2363765.1793588991</v>
      </c>
      <c r="T347" s="9">
        <f t="shared" si="111"/>
        <v>343</v>
      </c>
      <c r="U347" s="17">
        <f t="shared" ca="1" si="112"/>
        <v>55944</v>
      </c>
      <c r="V347" s="22"/>
      <c r="W347" s="22"/>
      <c r="X347" s="22"/>
    </row>
    <row r="348" spans="2:24" x14ac:dyDescent="0.2">
      <c r="B348" s="17">
        <f t="shared" ca="1" si="101"/>
        <v>55944</v>
      </c>
      <c r="C348" s="9">
        <f t="shared" si="113"/>
        <v>344</v>
      </c>
      <c r="D348" s="9"/>
      <c r="E348" s="13">
        <f t="shared" si="102"/>
        <v>4049.7347002311735</v>
      </c>
      <c r="F348" s="14">
        <f t="shared" si="114"/>
        <v>786611.84576602571</v>
      </c>
      <c r="G348" s="15">
        <f t="shared" si="103"/>
        <v>0.33014336914721221</v>
      </c>
      <c r="H348" s="13">
        <f t="shared" si="104"/>
        <v>54422.272380083094</v>
      </c>
      <c r="I348" s="13">
        <f t="shared" si="105"/>
        <v>4737217.1278320774</v>
      </c>
      <c r="J348" s="15">
        <f t="shared" si="98"/>
        <v>0.66985663085278779</v>
      </c>
      <c r="K348" s="13">
        <f t="shared" si="106"/>
        <v>1596025.2727619326</v>
      </c>
      <c r="L348" s="13">
        <f t="shared" si="115"/>
        <v>144062022.64420637</v>
      </c>
      <c r="M348" s="15">
        <f t="shared" si="107"/>
        <v>0.66985663085278779</v>
      </c>
      <c r="N348" s="13">
        <f t="shared" si="99"/>
        <v>20299.018638583744</v>
      </c>
      <c r="O348" s="13">
        <f t="shared" si="108"/>
        <v>3141191.8550701421</v>
      </c>
      <c r="P348" s="15">
        <f t="shared" si="100"/>
        <v>0.56866204042230495</v>
      </c>
      <c r="Q348" s="7">
        <f t="shared" si="109"/>
        <v>5523828.9735981002</v>
      </c>
      <c r="R348" s="7">
        <f t="shared" si="110"/>
        <v>2382637.1185279582</v>
      </c>
      <c r="S348" s="13">
        <f>IF('Calc (3)'!$AD$32="Sim",R348,Q348)</f>
        <v>2382637.1185279582</v>
      </c>
      <c r="T348" s="9">
        <f t="shared" si="111"/>
        <v>344</v>
      </c>
      <c r="U348" s="17">
        <f t="shared" ca="1" si="112"/>
        <v>55975</v>
      </c>
      <c r="V348" s="22"/>
      <c r="W348" s="22"/>
      <c r="X348" s="22"/>
    </row>
    <row r="349" spans="2:24" x14ac:dyDescent="0.2">
      <c r="B349" s="17">
        <f t="shared" ca="1" si="101"/>
        <v>55975</v>
      </c>
      <c r="C349" s="9">
        <f t="shared" si="113"/>
        <v>345</v>
      </c>
      <c r="D349" s="9"/>
      <c r="E349" s="13">
        <f t="shared" si="102"/>
        <v>4066.2338206908512</v>
      </c>
      <c r="F349" s="14">
        <f t="shared" si="114"/>
        <v>790678.0795867166</v>
      </c>
      <c r="G349" s="15">
        <f t="shared" si="103"/>
        <v>0.32922370958264829</v>
      </c>
      <c r="H349" s="13">
        <f t="shared" si="104"/>
        <v>55004.517879403604</v>
      </c>
      <c r="I349" s="13">
        <f t="shared" si="105"/>
        <v>4792221.6457114806</v>
      </c>
      <c r="J349" s="15">
        <f t="shared" si="98"/>
        <v>0.67077629041735176</v>
      </c>
      <c r="K349" s="13">
        <f t="shared" si="106"/>
        <v>1610965.7163265448</v>
      </c>
      <c r="L349" s="13">
        <f t="shared" si="115"/>
        <v>145672988.36053291</v>
      </c>
      <c r="M349" s="15">
        <f t="shared" si="107"/>
        <v>0.67077629041735176</v>
      </c>
      <c r="N349" s="13">
        <f t="shared" si="99"/>
        <v>20516.092392222119</v>
      </c>
      <c r="O349" s="13">
        <f t="shared" si="108"/>
        <v>3181255.9293849329</v>
      </c>
      <c r="P349" s="15">
        <f t="shared" si="100"/>
        <v>0.56982143436491961</v>
      </c>
      <c r="Q349" s="7">
        <f t="shared" si="109"/>
        <v>5582899.7252981942</v>
      </c>
      <c r="R349" s="7">
        <f t="shared" si="110"/>
        <v>2401643.7959132614</v>
      </c>
      <c r="S349" s="13">
        <f>IF('Calc (3)'!$AD$32="Sim",R349,Q349)</f>
        <v>2401643.7959132614</v>
      </c>
      <c r="T349" s="9">
        <f t="shared" si="111"/>
        <v>345</v>
      </c>
      <c r="U349" s="17">
        <f t="shared" ca="1" si="112"/>
        <v>56005</v>
      </c>
      <c r="V349" s="22"/>
      <c r="W349" s="22"/>
      <c r="X349" s="22"/>
    </row>
    <row r="350" spans="2:24" x14ac:dyDescent="0.2">
      <c r="B350" s="17">
        <f t="shared" ca="1" si="101"/>
        <v>56005</v>
      </c>
      <c r="C350" s="9">
        <f t="shared" si="113"/>
        <v>346</v>
      </c>
      <c r="D350" s="9"/>
      <c r="E350" s="13">
        <f t="shared" si="102"/>
        <v>4082.8001606096032</v>
      </c>
      <c r="F350" s="14">
        <f t="shared" si="114"/>
        <v>794760.87974732625</v>
      </c>
      <c r="G350" s="15">
        <f t="shared" si="103"/>
        <v>0.32830693811740025</v>
      </c>
      <c r="H350" s="13">
        <f t="shared" si="104"/>
        <v>55592.725485679504</v>
      </c>
      <c r="I350" s="13">
        <f t="shared" si="105"/>
        <v>4847814.3711971603</v>
      </c>
      <c r="J350" s="15">
        <f t="shared" si="98"/>
        <v>0.67169306188259981</v>
      </c>
      <c r="K350" s="13">
        <f t="shared" si="106"/>
        <v>1626025.2428509279</v>
      </c>
      <c r="L350" s="13">
        <f t="shared" si="115"/>
        <v>147299013.60338384</v>
      </c>
      <c r="M350" s="15">
        <f t="shared" si="107"/>
        <v>0.67169306188259981</v>
      </c>
      <c r="N350" s="13">
        <f t="shared" si="99"/>
        <v>20735.388574843113</v>
      </c>
      <c r="O350" s="13">
        <f t="shared" si="108"/>
        <v>3221789.128346229</v>
      </c>
      <c r="P350" s="15">
        <f t="shared" si="100"/>
        <v>0.57097849564468806</v>
      </c>
      <c r="Q350" s="7">
        <f t="shared" si="109"/>
        <v>5642575.2509444831</v>
      </c>
      <c r="R350" s="7">
        <f t="shared" si="110"/>
        <v>2420786.1225982541</v>
      </c>
      <c r="S350" s="13">
        <f>IF('Calc (3)'!$AD$32="Sim",R350,Q350)</f>
        <v>2420786.1225982541</v>
      </c>
      <c r="T350" s="9">
        <f t="shared" si="111"/>
        <v>346</v>
      </c>
      <c r="U350" s="17">
        <f t="shared" ca="1" si="112"/>
        <v>56036</v>
      </c>
      <c r="V350" s="22"/>
      <c r="W350" s="22"/>
      <c r="X350" s="22"/>
    </row>
    <row r="351" spans="2:24" x14ac:dyDescent="0.2">
      <c r="B351" s="17">
        <f t="shared" ca="1" si="101"/>
        <v>56036</v>
      </c>
      <c r="C351" s="9">
        <f t="shared" si="113"/>
        <v>347</v>
      </c>
      <c r="D351" s="9"/>
      <c r="E351" s="13">
        <f t="shared" si="102"/>
        <v>4099.4339938478261</v>
      </c>
      <c r="F351" s="14">
        <f t="shared" si="114"/>
        <v>798860.31374117406</v>
      </c>
      <c r="G351" s="15">
        <f t="shared" si="103"/>
        <v>0.32739304429145899</v>
      </c>
      <c r="H351" s="13">
        <f t="shared" si="104"/>
        <v>56186.95523701013</v>
      </c>
      <c r="I351" s="13">
        <f t="shared" si="105"/>
        <v>4904001.3264341708</v>
      </c>
      <c r="J351" s="15">
        <f t="shared" si="98"/>
        <v>0.67260695570854101</v>
      </c>
      <c r="K351" s="13">
        <f t="shared" si="106"/>
        <v>1641204.7019040426</v>
      </c>
      <c r="L351" s="13">
        <f t="shared" si="115"/>
        <v>148940218.30528787</v>
      </c>
      <c r="M351" s="15">
        <f t="shared" si="107"/>
        <v>0.67260695570854101</v>
      </c>
      <c r="N351" s="13">
        <f t="shared" si="99"/>
        <v>20956.929564707065</v>
      </c>
      <c r="O351" s="13">
        <f t="shared" si="108"/>
        <v>3262796.6245301249</v>
      </c>
      <c r="P351" s="15">
        <f t="shared" si="100"/>
        <v>0.57213322545728218</v>
      </c>
      <c r="Q351" s="7">
        <f t="shared" si="109"/>
        <v>5702861.6401753416</v>
      </c>
      <c r="R351" s="7">
        <f t="shared" si="110"/>
        <v>2440065.0156452167</v>
      </c>
      <c r="S351" s="13">
        <f>IF('Calc (3)'!$AD$32="Sim",R351,Q351)</f>
        <v>2440065.0156452167</v>
      </c>
      <c r="T351" s="9">
        <f t="shared" si="111"/>
        <v>347</v>
      </c>
      <c r="U351" s="17">
        <f t="shared" ca="1" si="112"/>
        <v>56066</v>
      </c>
      <c r="V351" s="22"/>
      <c r="W351" s="22"/>
      <c r="X351" s="22"/>
    </row>
    <row r="352" spans="2:24" x14ac:dyDescent="0.2">
      <c r="B352" s="17">
        <f t="shared" ca="1" si="101"/>
        <v>56066</v>
      </c>
      <c r="C352" s="9">
        <f t="shared" si="113"/>
        <v>348</v>
      </c>
      <c r="D352" s="9">
        <v>29</v>
      </c>
      <c r="E352" s="13">
        <f t="shared" si="102"/>
        <v>4116.1355953816583</v>
      </c>
      <c r="F352" s="14">
        <f t="shared" si="114"/>
        <v>802976.44933655567</v>
      </c>
      <c r="G352" s="15">
        <f t="shared" si="103"/>
        <v>0.32648201769114088</v>
      </c>
      <c r="H352" s="13">
        <f t="shared" si="104"/>
        <v>56787.267772061969</v>
      </c>
      <c r="I352" s="13">
        <f t="shared" si="105"/>
        <v>4960788.5942062326</v>
      </c>
      <c r="J352" s="15">
        <f t="shared" si="98"/>
        <v>0.67351798230885906</v>
      </c>
      <c r="K352" s="13">
        <f t="shared" si="106"/>
        <v>1656504.9487972581</v>
      </c>
      <c r="L352" s="13">
        <f t="shared" si="115"/>
        <v>150596723.25408512</v>
      </c>
      <c r="M352" s="15">
        <f t="shared" si="107"/>
        <v>0.67351798230885906</v>
      </c>
      <c r="N352" s="13">
        <f t="shared" si="99"/>
        <v>21180.737963920343</v>
      </c>
      <c r="O352" s="13">
        <f t="shared" si="108"/>
        <v>3304283.6454089708</v>
      </c>
      <c r="P352" s="15">
        <f t="shared" si="100"/>
        <v>0.57328562501186608</v>
      </c>
      <c r="Q352" s="7">
        <f t="shared" si="109"/>
        <v>5763765.0435427846</v>
      </c>
      <c r="R352" s="7">
        <f t="shared" si="110"/>
        <v>2459481.3981338139</v>
      </c>
      <c r="S352" s="13">
        <f>IF('Calc (3)'!$AD$32="Sim",R352,Q352)</f>
        <v>2459481.3981338139</v>
      </c>
      <c r="T352" s="9">
        <f t="shared" si="111"/>
        <v>348</v>
      </c>
      <c r="U352" s="17">
        <f t="shared" ca="1" si="112"/>
        <v>56097</v>
      </c>
      <c r="V352" s="22"/>
      <c r="W352" s="22"/>
      <c r="X352" s="22"/>
    </row>
    <row r="353" spans="2:24" x14ac:dyDescent="0.2">
      <c r="B353" s="17">
        <f t="shared" ca="1" si="101"/>
        <v>56097</v>
      </c>
      <c r="C353" s="9">
        <f t="shared" si="113"/>
        <v>349</v>
      </c>
      <c r="D353" s="9"/>
      <c r="E353" s="13">
        <f t="shared" si="102"/>
        <v>4132.9052413075242</v>
      </c>
      <c r="F353" s="14">
        <f t="shared" si="114"/>
        <v>807109.35457786324</v>
      </c>
      <c r="G353" s="15">
        <f t="shared" si="103"/>
        <v>0.32557384794879479</v>
      </c>
      <c r="H353" s="13">
        <f t="shared" si="104"/>
        <v>57393.72433605999</v>
      </c>
      <c r="I353" s="13">
        <f t="shared" si="105"/>
        <v>5018182.3185422923</v>
      </c>
      <c r="J353" s="15">
        <f t="shared" si="98"/>
        <v>0.67442615205120515</v>
      </c>
      <c r="K353" s="13">
        <f t="shared" si="106"/>
        <v>1671926.8446220271</v>
      </c>
      <c r="L353" s="13">
        <f t="shared" si="115"/>
        <v>152268650.09870714</v>
      </c>
      <c r="M353" s="15">
        <f t="shared" si="107"/>
        <v>0.67442615205120526</v>
      </c>
      <c r="N353" s="13">
        <f t="shared" si="99"/>
        <v>21406.836600668448</v>
      </c>
      <c r="O353" s="13">
        <f t="shared" si="108"/>
        <v>3346255.473920262</v>
      </c>
      <c r="P353" s="15">
        <f t="shared" si="100"/>
        <v>0.57443569553109353</v>
      </c>
      <c r="Q353" s="7">
        <f t="shared" si="109"/>
        <v>5825291.6731201522</v>
      </c>
      <c r="R353" s="7">
        <f t="shared" si="110"/>
        <v>2479036.1991998903</v>
      </c>
      <c r="S353" s="13">
        <f>IF('Calc (3)'!$AD$32="Sim",R353,Q353)</f>
        <v>2479036.1991998903</v>
      </c>
      <c r="T353" s="9">
        <f t="shared" si="111"/>
        <v>349</v>
      </c>
      <c r="U353" s="17">
        <f t="shared" ca="1" si="112"/>
        <v>56128</v>
      </c>
      <c r="V353" s="22"/>
      <c r="W353" s="22"/>
      <c r="X353" s="22"/>
    </row>
    <row r="354" spans="2:24" x14ac:dyDescent="0.2">
      <c r="B354" s="17">
        <f t="shared" ca="1" si="101"/>
        <v>56128</v>
      </c>
      <c r="C354" s="9">
        <f t="shared" si="113"/>
        <v>350</v>
      </c>
      <c r="D354" s="9"/>
      <c r="E354" s="13">
        <f t="shared" si="102"/>
        <v>4149.7432088467003</v>
      </c>
      <c r="F354" s="14">
        <f t="shared" si="114"/>
        <v>811259.0977867099</v>
      </c>
      <c r="G354" s="15">
        <f t="shared" si="103"/>
        <v>0.32466852474251318</v>
      </c>
      <c r="H354" s="13">
        <f t="shared" si="104"/>
        <v>58006.386786838826</v>
      </c>
      <c r="I354" s="13">
        <f t="shared" si="105"/>
        <v>5076188.7053291313</v>
      </c>
      <c r="J354" s="15">
        <f t="shared" si="98"/>
        <v>0.67533147525748682</v>
      </c>
      <c r="K354" s="13">
        <f t="shared" si="106"/>
        <v>1687471.2562878036</v>
      </c>
      <c r="L354" s="13">
        <f t="shared" si="115"/>
        <v>153956121.35499495</v>
      </c>
      <c r="M354" s="15">
        <f t="shared" si="107"/>
        <v>0.67533147525748682</v>
      </c>
      <c r="N354" s="13">
        <f t="shared" si="99"/>
        <v>21635.24853147137</v>
      </c>
      <c r="O354" s="13">
        <f t="shared" si="108"/>
        <v>3388717.4490413247</v>
      </c>
      <c r="P354" s="15">
        <f t="shared" si="100"/>
        <v>0.57558343825110425</v>
      </c>
      <c r="Q354" s="7">
        <f t="shared" si="109"/>
        <v>5887447.8031158382</v>
      </c>
      <c r="R354" s="7">
        <f t="shared" si="110"/>
        <v>2498730.3540745135</v>
      </c>
      <c r="S354" s="13">
        <f>IF('Calc (3)'!$AD$32="Sim",R354,Q354)</f>
        <v>2498730.3540745135</v>
      </c>
      <c r="T354" s="9">
        <f t="shared" si="111"/>
        <v>350</v>
      </c>
      <c r="U354" s="17">
        <f t="shared" ca="1" si="112"/>
        <v>56158</v>
      </c>
      <c r="V354" s="22"/>
      <c r="W354" s="22"/>
      <c r="X354" s="22"/>
    </row>
    <row r="355" spans="2:24" x14ac:dyDescent="0.2">
      <c r="B355" s="17">
        <f t="shared" ca="1" si="101"/>
        <v>56158</v>
      </c>
      <c r="C355" s="9">
        <f t="shared" si="113"/>
        <v>351</v>
      </c>
      <c r="D355" s="9"/>
      <c r="E355" s="13">
        <f t="shared" si="102"/>
        <v>4166.6497763498955</v>
      </c>
      <c r="F355" s="14">
        <f t="shared" si="114"/>
        <v>815425.74756305979</v>
      </c>
      <c r="G355" s="15">
        <f t="shared" si="103"/>
        <v>0.32376603779584567</v>
      </c>
      <c r="H355" s="13">
        <f t="shared" si="104"/>
        <v>58625.31760095404</v>
      </c>
      <c r="I355" s="13">
        <f t="shared" si="105"/>
        <v>5134814.0229300857</v>
      </c>
      <c r="J355" s="15">
        <f t="shared" si="98"/>
        <v>0.67623396220415433</v>
      </c>
      <c r="K355" s="13">
        <f t="shared" si="106"/>
        <v>1703139.0565602053</v>
      </c>
      <c r="L355" s="13">
        <f t="shared" si="115"/>
        <v>155659260.41155517</v>
      </c>
      <c r="M355" s="15">
        <f t="shared" si="107"/>
        <v>0.67623396220415422</v>
      </c>
      <c r="N355" s="13">
        <f t="shared" si="99"/>
        <v>21865.997043461412</v>
      </c>
      <c r="O355" s="13">
        <f t="shared" si="108"/>
        <v>3431674.9663698771</v>
      </c>
      <c r="P355" s="15">
        <f t="shared" si="100"/>
        <v>0.57672885442151989</v>
      </c>
      <c r="Q355" s="7">
        <f t="shared" si="109"/>
        <v>5950239.7704931423</v>
      </c>
      <c r="R355" s="7">
        <f t="shared" si="110"/>
        <v>2518564.8041232652</v>
      </c>
      <c r="S355" s="13">
        <f>IF('Calc (3)'!$AD$32="Sim",R355,Q355)</f>
        <v>2518564.8041232652</v>
      </c>
      <c r="T355" s="9">
        <f t="shared" si="111"/>
        <v>351</v>
      </c>
      <c r="U355" s="17">
        <f t="shared" ca="1" si="112"/>
        <v>56189</v>
      </c>
      <c r="V355" s="22"/>
      <c r="W355" s="22"/>
      <c r="X355" s="22"/>
    </row>
    <row r="356" spans="2:24" x14ac:dyDescent="0.2">
      <c r="B356" s="17">
        <f t="shared" ca="1" si="101"/>
        <v>56189</v>
      </c>
      <c r="C356" s="9">
        <f t="shared" si="113"/>
        <v>352</v>
      </c>
      <c r="D356" s="9"/>
      <c r="E356" s="13">
        <f t="shared" si="102"/>
        <v>4183.6252233018558</v>
      </c>
      <c r="F356" s="14">
        <f t="shared" si="114"/>
        <v>819609.37278636161</v>
      </c>
      <c r="G356" s="15">
        <f t="shared" si="103"/>
        <v>0.32286637687751568</v>
      </c>
      <c r="H356" s="13">
        <f t="shared" si="104"/>
        <v>59250.579879854413</v>
      </c>
      <c r="I356" s="13">
        <f t="shared" si="105"/>
        <v>5194064.6028099405</v>
      </c>
      <c r="J356" s="15">
        <f t="shared" si="98"/>
        <v>0.67713362312248426</v>
      </c>
      <c r="K356" s="13">
        <f t="shared" si="106"/>
        <v>1718931.1240994227</v>
      </c>
      <c r="L356" s="13">
        <f t="shared" si="115"/>
        <v>157378191.5356546</v>
      </c>
      <c r="M356" s="15">
        <f t="shared" si="107"/>
        <v>0.67713362312248426</v>
      </c>
      <c r="N356" s="13">
        <f t="shared" si="99"/>
        <v>22099.105656683732</v>
      </c>
      <c r="O356" s="13">
        <f t="shared" si="108"/>
        <v>3475133.478710515</v>
      </c>
      <c r="P356" s="15">
        <f t="shared" si="100"/>
        <v>0.57787194530543706</v>
      </c>
      <c r="Q356" s="7">
        <f t="shared" si="109"/>
        <v>6013673.9755962994</v>
      </c>
      <c r="R356" s="7">
        <f t="shared" si="110"/>
        <v>2538540.4968857844</v>
      </c>
      <c r="S356" s="13">
        <f>IF('Calc (3)'!$AD$32="Sim",R356,Q356)</f>
        <v>2538540.4968857844</v>
      </c>
      <c r="T356" s="9">
        <f t="shared" si="111"/>
        <v>352</v>
      </c>
      <c r="U356" s="17">
        <f t="shared" ca="1" si="112"/>
        <v>56219</v>
      </c>
      <c r="V356" s="22"/>
      <c r="W356" s="22"/>
      <c r="X356" s="22"/>
    </row>
    <row r="357" spans="2:24" x14ac:dyDescent="0.2">
      <c r="B357" s="17">
        <f t="shared" ca="1" si="101"/>
        <v>56219</v>
      </c>
      <c r="C357" s="9">
        <f t="shared" si="113"/>
        <v>353</v>
      </c>
      <c r="D357" s="9"/>
      <c r="E357" s="13">
        <f t="shared" si="102"/>
        <v>4200.6698303259809</v>
      </c>
      <c r="F357" s="14">
        <f t="shared" si="114"/>
        <v>823810.0426166876</v>
      </c>
      <c r="G357" s="15">
        <f t="shared" si="103"/>
        <v>0.32196953180113996</v>
      </c>
      <c r="H357" s="13">
        <f t="shared" si="104"/>
        <v>59882.237356115773</v>
      </c>
      <c r="I357" s="13">
        <f t="shared" si="105"/>
        <v>5253946.8401660565</v>
      </c>
      <c r="J357" s="15">
        <f t="shared" si="98"/>
        <v>0.67803046819886004</v>
      </c>
      <c r="K357" s="13">
        <f t="shared" si="106"/>
        <v>1734848.3434988735</v>
      </c>
      <c r="L357" s="13">
        <f t="shared" si="115"/>
        <v>159113039.87915349</v>
      </c>
      <c r="M357" s="15">
        <f t="shared" si="107"/>
        <v>0.67803046819886004</v>
      </c>
      <c r="N357" s="13">
        <f t="shared" si="99"/>
        <v>22334.598126419794</v>
      </c>
      <c r="O357" s="13">
        <f t="shared" si="108"/>
        <v>3519098.4966671802</v>
      </c>
      <c r="P357" s="15">
        <f t="shared" si="100"/>
        <v>0.5790127121794213</v>
      </c>
      <c r="Q357" s="7">
        <f t="shared" si="109"/>
        <v>6077756.8827827414</v>
      </c>
      <c r="R357" s="7">
        <f t="shared" si="110"/>
        <v>2558658.3861155612</v>
      </c>
      <c r="S357" s="13">
        <f>IF('Calc (3)'!$AD$32="Sim",R357,Q357)</f>
        <v>2558658.3861155612</v>
      </c>
      <c r="T357" s="9">
        <f t="shared" si="111"/>
        <v>353</v>
      </c>
      <c r="U357" s="17">
        <f t="shared" ca="1" si="112"/>
        <v>56250</v>
      </c>
      <c r="V357" s="22"/>
      <c r="W357" s="22"/>
      <c r="X357" s="22"/>
    </row>
    <row r="358" spans="2:24" x14ac:dyDescent="0.2">
      <c r="B358" s="17">
        <f t="shared" ca="1" si="101"/>
        <v>56250</v>
      </c>
      <c r="C358" s="9">
        <f t="shared" si="113"/>
        <v>354</v>
      </c>
      <c r="D358" s="9"/>
      <c r="E358" s="13">
        <f t="shared" si="102"/>
        <v>4217.7838791889662</v>
      </c>
      <c r="F358" s="14">
        <f t="shared" si="114"/>
        <v>828027.82649587654</v>
      </c>
      <c r="G358" s="15">
        <f t="shared" si="103"/>
        <v>0.32107549242495093</v>
      </c>
      <c r="H358" s="13">
        <f t="shared" si="104"/>
        <v>60520.35439973684</v>
      </c>
      <c r="I358" s="13">
        <f t="shared" si="105"/>
        <v>5314467.1945657935</v>
      </c>
      <c r="J358" s="15">
        <f t="shared" si="98"/>
        <v>0.67892450757504907</v>
      </c>
      <c r="K358" s="13">
        <f t="shared" si="106"/>
        <v>1750891.6053241091</v>
      </c>
      <c r="L358" s="13">
        <f t="shared" si="115"/>
        <v>160863931.48447761</v>
      </c>
      <c r="M358" s="15">
        <f t="shared" si="107"/>
        <v>0.67892450757504907</v>
      </c>
      <c r="N358" s="13">
        <f t="shared" si="99"/>
        <v>22572.498445533969</v>
      </c>
      <c r="O358" s="13">
        <f t="shared" si="108"/>
        <v>3563575.5892416816</v>
      </c>
      <c r="P358" s="15">
        <f t="shared" si="100"/>
        <v>0.58015115633349823</v>
      </c>
      <c r="Q358" s="7">
        <f t="shared" si="109"/>
        <v>6142495.0210616672</v>
      </c>
      <c r="R358" s="7">
        <f t="shared" si="110"/>
        <v>2578919.4318199856</v>
      </c>
      <c r="S358" s="13">
        <f>IF('Calc (3)'!$AD$32="Sim",R358,Q358)</f>
        <v>2578919.4318199856</v>
      </c>
      <c r="T358" s="9">
        <f t="shared" si="111"/>
        <v>354</v>
      </c>
      <c r="U358" s="17">
        <f t="shared" ca="1" si="112"/>
        <v>56281</v>
      </c>
      <c r="V358" s="22"/>
      <c r="W358" s="22"/>
      <c r="X358" s="22"/>
    </row>
    <row r="359" spans="2:24" x14ac:dyDescent="0.2">
      <c r="B359" s="17">
        <f t="shared" ca="1" si="101"/>
        <v>56281</v>
      </c>
      <c r="C359" s="9">
        <f t="shared" si="113"/>
        <v>355</v>
      </c>
      <c r="D359" s="9"/>
      <c r="E359" s="13">
        <f t="shared" si="102"/>
        <v>4234.9676528054588</v>
      </c>
      <c r="F359" s="14">
        <f t="shared" si="114"/>
        <v>832262.79414868203</v>
      </c>
      <c r="G359" s="15">
        <f t="shared" si="103"/>
        <v>0.32018424865152217</v>
      </c>
      <c r="H359" s="13">
        <f t="shared" si="104"/>
        <v>61164.996024497894</v>
      </c>
      <c r="I359" s="13">
        <f t="shared" si="105"/>
        <v>5375632.1905902913</v>
      </c>
      <c r="J359" s="15">
        <f t="shared" si="98"/>
        <v>0.67981575134847783</v>
      </c>
      <c r="K359" s="13">
        <f t="shared" si="106"/>
        <v>1767061.8061519684</v>
      </c>
      <c r="L359" s="13">
        <f t="shared" si="115"/>
        <v>162630993.29062957</v>
      </c>
      <c r="M359" s="15">
        <f t="shared" si="107"/>
        <v>0.67981575134847771</v>
      </c>
      <c r="N359" s="13">
        <f t="shared" si="99"/>
        <v>22812.830846843553</v>
      </c>
      <c r="O359" s="13">
        <f t="shared" si="108"/>
        <v>3608570.3844383196</v>
      </c>
      <c r="P359" s="15">
        <f t="shared" si="100"/>
        <v>0.58128727907114441</v>
      </c>
      <c r="Q359" s="7">
        <f t="shared" si="109"/>
        <v>6207894.9847389702</v>
      </c>
      <c r="R359" s="7">
        <f t="shared" si="110"/>
        <v>2599324.6003006506</v>
      </c>
      <c r="S359" s="13">
        <f>IF('Calc (3)'!$AD$32="Sim",R359,Q359)</f>
        <v>2599324.6003006506</v>
      </c>
      <c r="T359" s="9">
        <f t="shared" si="111"/>
        <v>355</v>
      </c>
      <c r="U359" s="17">
        <f t="shared" ca="1" si="112"/>
        <v>56309</v>
      </c>
      <c r="V359" s="22"/>
      <c r="W359" s="22"/>
      <c r="X359" s="22"/>
    </row>
    <row r="360" spans="2:24" x14ac:dyDescent="0.2">
      <c r="B360" s="17">
        <f t="shared" ca="1" si="101"/>
        <v>56309</v>
      </c>
      <c r="C360" s="9">
        <f t="shared" si="113"/>
        <v>356</v>
      </c>
      <c r="D360" s="9"/>
      <c r="E360" s="13">
        <f t="shared" si="102"/>
        <v>4252.2214352427345</v>
      </c>
      <c r="F360" s="14">
        <f t="shared" si="114"/>
        <v>836515.01558392472</v>
      </c>
      <c r="G360" s="15">
        <f t="shared" si="103"/>
        <v>0.31929579042749612</v>
      </c>
      <c r="H360" s="13">
        <f t="shared" si="104"/>
        <v>61816.22789438277</v>
      </c>
      <c r="I360" s="13">
        <f t="shared" si="105"/>
        <v>5437448.4184846738</v>
      </c>
      <c r="J360" s="15">
        <f t="shared" si="98"/>
        <v>0.68070420957250388</v>
      </c>
      <c r="K360" s="13">
        <f t="shared" si="106"/>
        <v>1783359.8486099888</v>
      </c>
      <c r="L360" s="13">
        <f t="shared" si="115"/>
        <v>164414353.13923955</v>
      </c>
      <c r="M360" s="15">
        <f t="shared" si="107"/>
        <v>0.68070420957250388</v>
      </c>
      <c r="N360" s="13">
        <f t="shared" si="99"/>
        <v>23055.619805512342</v>
      </c>
      <c r="O360" s="13">
        <f t="shared" si="108"/>
        <v>3654088.5698746815</v>
      </c>
      <c r="P360" s="15">
        <f t="shared" si="100"/>
        <v>0.58242108170927698</v>
      </c>
      <c r="Q360" s="7">
        <f t="shared" si="109"/>
        <v>6273963.4340685951</v>
      </c>
      <c r="R360" s="7">
        <f t="shared" si="110"/>
        <v>2619874.8641939135</v>
      </c>
      <c r="S360" s="13">
        <f>IF('Calc (3)'!$AD$32="Sim",R360,Q360)</f>
        <v>2619874.8641939135</v>
      </c>
      <c r="T360" s="9">
        <f t="shared" si="111"/>
        <v>356</v>
      </c>
      <c r="U360" s="17">
        <f t="shared" ca="1" si="112"/>
        <v>56340</v>
      </c>
      <c r="V360" s="22"/>
      <c r="W360" s="22"/>
      <c r="X360" s="22"/>
    </row>
    <row r="361" spans="2:24" x14ac:dyDescent="0.2">
      <c r="B361" s="17">
        <f t="shared" ca="1" si="101"/>
        <v>56340</v>
      </c>
      <c r="C361" s="9">
        <f t="shared" si="113"/>
        <v>357</v>
      </c>
      <c r="D361" s="9"/>
      <c r="E361" s="13">
        <f t="shared" si="102"/>
        <v>4269.545511725396</v>
      </c>
      <c r="F361" s="14">
        <f t="shared" si="114"/>
        <v>840784.56109565008</v>
      </c>
      <c r="G361" s="15">
        <f t="shared" si="103"/>
        <v>0.31841010774331491</v>
      </c>
      <c r="H361" s="13">
        <f t="shared" si="104"/>
        <v>62474.116330064855</v>
      </c>
      <c r="I361" s="13">
        <f t="shared" si="105"/>
        <v>5499922.5348147387</v>
      </c>
      <c r="J361" s="15">
        <f t="shared" si="98"/>
        <v>0.68158989225668509</v>
      </c>
      <c r="K361" s="13">
        <f t="shared" si="106"/>
        <v>1799786.6414160656</v>
      </c>
      <c r="L361" s="13">
        <f t="shared" si="115"/>
        <v>166214139.78065562</v>
      </c>
      <c r="M361" s="15">
        <f t="shared" si="107"/>
        <v>0.68158989225668509</v>
      </c>
      <c r="N361" s="13">
        <f t="shared" si="99"/>
        <v>23300.890041468134</v>
      </c>
      <c r="O361" s="13">
        <f t="shared" si="108"/>
        <v>3700135.8933986695</v>
      </c>
      <c r="P361" s="15">
        <f t="shared" si="100"/>
        <v>0.58355256557824198</v>
      </c>
      <c r="Q361" s="7">
        <f t="shared" si="109"/>
        <v>6340707.0959103853</v>
      </c>
      <c r="R361" s="7">
        <f t="shared" si="110"/>
        <v>2640571.2025117157</v>
      </c>
      <c r="S361" s="13">
        <f>IF('Calc (3)'!$AD$32="Sim",R361,Q361)</f>
        <v>2640571.2025117157</v>
      </c>
      <c r="T361" s="9">
        <f t="shared" si="111"/>
        <v>357</v>
      </c>
      <c r="U361" s="17">
        <f t="shared" ca="1" si="112"/>
        <v>56370</v>
      </c>
      <c r="V361" s="22"/>
      <c r="W361" s="22"/>
      <c r="X361" s="22"/>
    </row>
    <row r="362" spans="2:24" x14ac:dyDescent="0.2">
      <c r="B362" s="17">
        <f t="shared" ca="1" si="101"/>
        <v>56370</v>
      </c>
      <c r="C362" s="9">
        <f t="shared" si="113"/>
        <v>358</v>
      </c>
      <c r="D362" s="9"/>
      <c r="E362" s="13">
        <f t="shared" si="102"/>
        <v>4286.9401686400852</v>
      </c>
      <c r="F362" s="14">
        <f t="shared" si="114"/>
        <v>845071.50126429019</v>
      </c>
      <c r="G362" s="15">
        <f t="shared" si="103"/>
        <v>0.31752719063295393</v>
      </c>
      <c r="H362" s="13">
        <f t="shared" si="104"/>
        <v>63138.728315457709</v>
      </c>
      <c r="I362" s="13">
        <f t="shared" si="105"/>
        <v>5563061.2631301964</v>
      </c>
      <c r="J362" s="15">
        <f t="shared" si="98"/>
        <v>0.68247280936704602</v>
      </c>
      <c r="K362" s="13">
        <f t="shared" si="106"/>
        <v>1816343.0994183708</v>
      </c>
      <c r="L362" s="13">
        <f t="shared" si="115"/>
        <v>168030482.88007399</v>
      </c>
      <c r="M362" s="15">
        <f t="shared" si="107"/>
        <v>0.68247280936704613</v>
      </c>
      <c r="N362" s="13">
        <f t="shared" si="99"/>
        <v>23548.666521844232</v>
      </c>
      <c r="O362" s="13">
        <f t="shared" si="108"/>
        <v>3746718.1637118217</v>
      </c>
      <c r="P362" s="15">
        <f t="shared" si="100"/>
        <v>0.58468173202180163</v>
      </c>
      <c r="Q362" s="7">
        <f t="shared" si="109"/>
        <v>6408132.7643944826</v>
      </c>
      <c r="R362" s="7">
        <f t="shared" si="110"/>
        <v>2661414.6006826609</v>
      </c>
      <c r="S362" s="13">
        <f>IF('Calc (3)'!$AD$32="Sim",R362,Q362)</f>
        <v>2661414.6006826609</v>
      </c>
      <c r="T362" s="9">
        <f t="shared" si="111"/>
        <v>358</v>
      </c>
      <c r="U362" s="17">
        <f t="shared" ca="1" si="112"/>
        <v>56401</v>
      </c>
      <c r="V362" s="22"/>
      <c r="W362" s="22"/>
      <c r="X362" s="22"/>
    </row>
    <row r="363" spans="2:24" x14ac:dyDescent="0.2">
      <c r="B363" s="17">
        <f t="shared" ca="1" si="101"/>
        <v>56401</v>
      </c>
      <c r="C363" s="9">
        <f t="shared" si="113"/>
        <v>359</v>
      </c>
      <c r="D363" s="9"/>
      <c r="E363" s="13">
        <f t="shared" si="102"/>
        <v>4304.4056935402195</v>
      </c>
      <c r="F363" s="14">
        <f t="shared" si="114"/>
        <v>849375.90695783042</v>
      </c>
      <c r="G363" s="15">
        <f t="shared" si="103"/>
        <v>0.3166470291736575</v>
      </c>
      <c r="H363" s="13">
        <f t="shared" si="104"/>
        <v>63810.131504330973</v>
      </c>
      <c r="I363" s="13">
        <f t="shared" si="105"/>
        <v>5626871.3946345272</v>
      </c>
      <c r="J363" s="15">
        <f t="shared" si="98"/>
        <v>0.6833529708263425</v>
      </c>
      <c r="K363" s="13">
        <f t="shared" si="106"/>
        <v>1833030.1436355277</v>
      </c>
      <c r="L363" s="13">
        <f t="shared" si="115"/>
        <v>169863513.02370954</v>
      </c>
      <c r="M363" s="15">
        <f t="shared" si="107"/>
        <v>0.6833529708263425</v>
      </c>
      <c r="N363" s="13">
        <f t="shared" si="99"/>
        <v>23798.974463445375</v>
      </c>
      <c r="O363" s="13">
        <f t="shared" si="108"/>
        <v>3793841.2509989957</v>
      </c>
      <c r="P363" s="15">
        <f t="shared" si="100"/>
        <v>0.58580858239712086</v>
      </c>
      <c r="Q363" s="7">
        <f t="shared" si="109"/>
        <v>6476247.3015923537</v>
      </c>
      <c r="R363" s="7">
        <f t="shared" si="110"/>
        <v>2682406.050593358</v>
      </c>
      <c r="S363" s="13">
        <f>IF('Calc (3)'!$AD$32="Sim",R363,Q363)</f>
        <v>2682406.050593358</v>
      </c>
      <c r="T363" s="9">
        <f t="shared" si="111"/>
        <v>359</v>
      </c>
      <c r="U363" s="17">
        <f t="shared" ca="1" si="112"/>
        <v>56431</v>
      </c>
      <c r="V363" s="22"/>
      <c r="W363" s="22"/>
      <c r="X363" s="22"/>
    </row>
    <row r="364" spans="2:24" x14ac:dyDescent="0.2">
      <c r="B364" s="17">
        <f t="shared" ca="1" si="101"/>
        <v>56431</v>
      </c>
      <c r="C364" s="9">
        <f t="shared" si="113"/>
        <v>360</v>
      </c>
      <c r="D364" s="9">
        <v>30</v>
      </c>
      <c r="E364" s="13">
        <f t="shared" si="102"/>
        <v>4321.9423751507429</v>
      </c>
      <c r="F364" s="14">
        <f t="shared" si="114"/>
        <v>853697.84933298116</v>
      </c>
      <c r="G364" s="15">
        <f t="shared" si="103"/>
        <v>0.31576961348567806</v>
      </c>
      <c r="H364" s="13">
        <f t="shared" si="104"/>
        <v>64488.394226992197</v>
      </c>
      <c r="I364" s="13">
        <f t="shared" si="105"/>
        <v>5691359.7888615197</v>
      </c>
      <c r="J364" s="15">
        <f t="shared" si="98"/>
        <v>0.684230386514322</v>
      </c>
      <c r="K364" s="13">
        <f t="shared" si="106"/>
        <v>1849848.7012970438</v>
      </c>
      <c r="L364" s="13">
        <f t="shared" si="115"/>
        <v>171713361.72500658</v>
      </c>
      <c r="M364" s="15">
        <f t="shared" si="107"/>
        <v>0.68423038651432189</v>
      </c>
      <c r="N364" s="13">
        <f t="shared" si="99"/>
        <v>24051.839335238154</v>
      </c>
      <c r="O364" s="13">
        <f t="shared" si="108"/>
        <v>3841511.0875644716</v>
      </c>
      <c r="P364" s="15">
        <f t="shared" si="100"/>
        <v>0.58693311807475257</v>
      </c>
      <c r="Q364" s="7">
        <f t="shared" si="109"/>
        <v>6545057.6381944967</v>
      </c>
      <c r="R364" s="7">
        <f t="shared" si="110"/>
        <v>2703546.5506300251</v>
      </c>
      <c r="S364" s="13">
        <f>IF('Calc (3)'!$AD$32="Sim",R364,Q364)</f>
        <v>2703546.5506300251</v>
      </c>
      <c r="T364" s="9">
        <f t="shared" si="111"/>
        <v>360</v>
      </c>
      <c r="U364" s="17">
        <f t="shared" ca="1" si="112"/>
        <v>56462</v>
      </c>
      <c r="V364" s="22"/>
      <c r="W364" s="22"/>
      <c r="X364" s="22"/>
    </row>
    <row r="365" spans="2:24" x14ac:dyDescent="0.2">
      <c r="B365" s="17">
        <f t="shared" ca="1" si="101"/>
        <v>56462</v>
      </c>
      <c r="C365" s="9">
        <f t="shared" si="113"/>
        <v>361</v>
      </c>
      <c r="D365" s="9"/>
      <c r="E365" s="13">
        <f t="shared" si="102"/>
        <v>4339.5505033729023</v>
      </c>
      <c r="F365" s="14">
        <f t="shared" si="114"/>
        <v>858037.39983635407</v>
      </c>
      <c r="G365" s="15">
        <f t="shared" si="103"/>
        <v>0.31489493373201705</v>
      </c>
      <c r="H365" s="13">
        <f t="shared" ref="H365:H428" si="116">Q364*Taxa_3</f>
        <v>65173.585497035259</v>
      </c>
      <c r="I365" s="13">
        <f t="shared" si="105"/>
        <v>5756533.3743585553</v>
      </c>
      <c r="J365" s="15">
        <f t="shared" si="98"/>
        <v>0.68510506626798295</v>
      </c>
      <c r="K365" s="13">
        <f t="shared" si="106"/>
        <v>1866799.7058840068</v>
      </c>
      <c r="L365" s="13">
        <f t="shared" si="115"/>
        <v>173580161.43089059</v>
      </c>
      <c r="M365" s="15">
        <f t="shared" si="107"/>
        <v>0.68510506626798306</v>
      </c>
      <c r="N365" s="13">
        <f t="shared" ref="N365:N428" si="117">Q365*Inflação_3</f>
        <v>24307.286860866301</v>
      </c>
      <c r="O365" s="13">
        <f t="shared" si="108"/>
        <v>3889733.6684745448</v>
      </c>
      <c r="P365" s="15">
        <f t="shared" si="100"/>
        <v>0.58805534043862207</v>
      </c>
      <c r="Q365" s="7">
        <f t="shared" si="109"/>
        <v>6614570.7741949055</v>
      </c>
      <c r="R365" s="7">
        <f t="shared" ref="R365:R428" si="118">(R364+E365)*(1+((1+Taxa_3)/(1+Inflação_3)-1))</f>
        <v>2724837.1057203608</v>
      </c>
      <c r="S365" s="13">
        <f>IF('Calc (3)'!$AD$32="Sim",R365,Q365)</f>
        <v>2724837.1057203608</v>
      </c>
      <c r="T365" s="9">
        <f t="shared" si="111"/>
        <v>361</v>
      </c>
      <c r="U365" s="17">
        <f t="shared" ca="1" si="112"/>
        <v>56493</v>
      </c>
    </row>
    <row r="366" spans="2:24" x14ac:dyDescent="0.2">
      <c r="B366" s="17">
        <f t="shared" ca="1" si="101"/>
        <v>56493</v>
      </c>
      <c r="C366" s="9">
        <f t="shared" si="113"/>
        <v>362</v>
      </c>
      <c r="D366" s="9"/>
      <c r="E366" s="13">
        <f t="shared" si="102"/>
        <v>4357.2303692890373</v>
      </c>
      <c r="F366" s="14">
        <f t="shared" si="114"/>
        <v>862394.63020564313</v>
      </c>
      <c r="G366" s="15">
        <f t="shared" si="103"/>
        <v>0.3140229801181687</v>
      </c>
      <c r="H366" s="13">
        <f t="shared" si="116"/>
        <v>65865.775018156026</v>
      </c>
      <c r="I366" s="13">
        <f t="shared" si="105"/>
        <v>5822399.1493767109</v>
      </c>
      <c r="J366" s="15">
        <f t="shared" si="98"/>
        <v>0.68597701988183135</v>
      </c>
      <c r="K366" s="13">
        <f t="shared" si="106"/>
        <v>1883884.0971700379</v>
      </c>
      <c r="L366" s="13">
        <f t="shared" si="115"/>
        <v>175464045.52806062</v>
      </c>
      <c r="M366" s="15">
        <f t="shared" si="107"/>
        <v>0.68597701988183135</v>
      </c>
      <c r="N366" s="13">
        <f t="shared" si="117"/>
        <v>24565.343021191013</v>
      </c>
      <c r="O366" s="13">
        <f t="shared" si="108"/>
        <v>3938515.0522066695</v>
      </c>
      <c r="P366" s="15">
        <f t="shared" si="100"/>
        <v>0.58917525088600986</v>
      </c>
      <c r="Q366" s="7">
        <f t="shared" si="109"/>
        <v>6684793.7795823505</v>
      </c>
      <c r="R366" s="7">
        <f t="shared" si="118"/>
        <v>2746278.727375681</v>
      </c>
      <c r="S366" s="13">
        <f>IF('Calc (3)'!$AD$32="Sim",R366,Q366)</f>
        <v>2746278.727375681</v>
      </c>
      <c r="T366" s="9">
        <f t="shared" si="111"/>
        <v>362</v>
      </c>
      <c r="U366" s="17">
        <f t="shared" ca="1" si="112"/>
        <v>56523</v>
      </c>
    </row>
    <row r="367" spans="2:24" x14ac:dyDescent="0.2">
      <c r="B367" s="17">
        <f t="shared" ca="1" si="101"/>
        <v>56523</v>
      </c>
      <c r="C367" s="9">
        <f t="shared" si="113"/>
        <v>363</v>
      </c>
      <c r="D367" s="9"/>
      <c r="E367" s="13">
        <f t="shared" si="102"/>
        <v>4374.9822651673931</v>
      </c>
      <c r="F367" s="14">
        <f t="shared" si="114"/>
        <v>866769.61247081053</v>
      </c>
      <c r="G367" s="15">
        <f t="shared" si="103"/>
        <v>0.31315374289186654</v>
      </c>
      <c r="H367" s="13">
        <f t="shared" si="116"/>
        <v>66565.033191035909</v>
      </c>
      <c r="I367" s="13">
        <f t="shared" si="105"/>
        <v>5888964.1825677464</v>
      </c>
      <c r="J367" s="15">
        <f t="shared" si="98"/>
        <v>0.68684625710813352</v>
      </c>
      <c r="K367" s="13">
        <f t="shared" si="106"/>
        <v>1901102.8212625145</v>
      </c>
      <c r="L367" s="13">
        <f t="shared" si="115"/>
        <v>177365148.34932312</v>
      </c>
      <c r="M367" s="15">
        <f t="shared" si="107"/>
        <v>0.68684625710813352</v>
      </c>
      <c r="N367" s="13">
        <f t="shared" si="117"/>
        <v>24826.034056856599</v>
      </c>
      <c r="O367" s="13">
        <f t="shared" si="108"/>
        <v>3987861.361305228</v>
      </c>
      <c r="P367" s="15">
        <f t="shared" si="100"/>
        <v>0.5902928508275348</v>
      </c>
      <c r="Q367" s="7">
        <f t="shared" si="109"/>
        <v>6755733.795038553</v>
      </c>
      <c r="R367" s="7">
        <f t="shared" si="118"/>
        <v>2767872.433733325</v>
      </c>
      <c r="S367" s="13">
        <f>IF('Calc (3)'!$AD$32="Sim",R367,Q367)</f>
        <v>2767872.433733325</v>
      </c>
      <c r="T367" s="9">
        <f t="shared" si="111"/>
        <v>363</v>
      </c>
      <c r="U367" s="17">
        <f t="shared" ca="1" si="112"/>
        <v>56554</v>
      </c>
    </row>
    <row r="368" spans="2:24" x14ac:dyDescent="0.2">
      <c r="B368" s="17">
        <f t="shared" ca="1" si="101"/>
        <v>56554</v>
      </c>
      <c r="C368" s="9">
        <f t="shared" si="113"/>
        <v>364</v>
      </c>
      <c r="D368" s="9"/>
      <c r="E368" s="13">
        <f t="shared" si="102"/>
        <v>4392.8064844669516</v>
      </c>
      <c r="F368" s="14">
        <f t="shared" si="114"/>
        <v>871162.41895527754</v>
      </c>
      <c r="G368" s="15">
        <f t="shared" si="103"/>
        <v>0.3122872123428318</v>
      </c>
      <c r="H368" s="13">
        <f t="shared" si="116"/>
        <v>67271.431120294059</v>
      </c>
      <c r="I368" s="13">
        <f t="shared" si="105"/>
        <v>5956235.6136880405</v>
      </c>
      <c r="J368" s="15">
        <f t="shared" si="98"/>
        <v>0.68771278765716826</v>
      </c>
      <c r="K368" s="13">
        <f t="shared" si="106"/>
        <v>1918456.8306440539</v>
      </c>
      <c r="L368" s="13">
        <f t="shared" si="115"/>
        <v>179283605.17996716</v>
      </c>
      <c r="M368" s="15">
        <f t="shared" si="107"/>
        <v>0.68771278765716815</v>
      </c>
      <c r="N368" s="13">
        <f t="shared" si="117"/>
        <v>25089.386470881716</v>
      </c>
      <c r="O368" s="13">
        <f t="shared" si="108"/>
        <v>4037778.7830439829</v>
      </c>
      <c r="P368" s="15">
        <f t="shared" si="100"/>
        <v>0.59140814168713485</v>
      </c>
      <c r="Q368" s="7">
        <f t="shared" si="109"/>
        <v>6827398.0326433145</v>
      </c>
      <c r="R368" s="7">
        <f t="shared" si="118"/>
        <v>2789619.2495993315</v>
      </c>
      <c r="S368" s="13">
        <f>IF('Calc (3)'!$AD$32="Sim",R368,Q368)</f>
        <v>2789619.2495993315</v>
      </c>
      <c r="T368" s="9">
        <f t="shared" si="111"/>
        <v>364</v>
      </c>
      <c r="U368" s="17">
        <f t="shared" ca="1" si="112"/>
        <v>56584</v>
      </c>
    </row>
    <row r="369" spans="2:21" x14ac:dyDescent="0.2">
      <c r="B369" s="17">
        <f t="shared" ca="1" si="101"/>
        <v>56584</v>
      </c>
      <c r="C369" s="9">
        <f t="shared" si="113"/>
        <v>365</v>
      </c>
      <c r="D369" s="9"/>
      <c r="E369" s="13">
        <f t="shared" si="102"/>
        <v>4410.703321842283</v>
      </c>
      <c r="F369" s="14">
        <f t="shared" si="114"/>
        <v>875573.12227711978</v>
      </c>
      <c r="G369" s="15">
        <f t="shared" si="103"/>
        <v>0.31142337880252474</v>
      </c>
      <c r="H369" s="13">
        <f t="shared" si="116"/>
        <v>67985.040621508815</v>
      </c>
      <c r="I369" s="13">
        <f t="shared" si="105"/>
        <v>6024220.6543095494</v>
      </c>
      <c r="J369" s="15">
        <f t="shared" si="98"/>
        <v>0.68857662119747531</v>
      </c>
      <c r="K369" s="13">
        <f t="shared" si="106"/>
        <v>1935947.0842142673</v>
      </c>
      <c r="L369" s="13">
        <f t="shared" si="115"/>
        <v>181219552.26418144</v>
      </c>
      <c r="M369" s="15">
        <f t="shared" si="107"/>
        <v>0.68857662119747531</v>
      </c>
      <c r="N369" s="13">
        <f t="shared" si="117"/>
        <v>25355.427031276366</v>
      </c>
      <c r="O369" s="13">
        <f t="shared" si="108"/>
        <v>4088273.5700952788</v>
      </c>
      <c r="P369" s="15">
        <f t="shared" si="100"/>
        <v>0.59252112490204767</v>
      </c>
      <c r="Q369" s="7">
        <f t="shared" si="109"/>
        <v>6899793.7765866658</v>
      </c>
      <c r="R369" s="7">
        <f t="shared" si="118"/>
        <v>2811520.206491387</v>
      </c>
      <c r="S369" s="13">
        <f>IF('Calc (3)'!$AD$32="Sim",R369,Q369)</f>
        <v>2811520.206491387</v>
      </c>
      <c r="T369" s="9">
        <f t="shared" si="111"/>
        <v>365</v>
      </c>
      <c r="U369" s="17">
        <f t="shared" ca="1" si="112"/>
        <v>56615</v>
      </c>
    </row>
    <row r="370" spans="2:21" x14ac:dyDescent="0.2">
      <c r="B370" s="17">
        <f t="shared" ca="1" si="101"/>
        <v>56615</v>
      </c>
      <c r="C370" s="9">
        <f t="shared" si="113"/>
        <v>366</v>
      </c>
      <c r="D370" s="9"/>
      <c r="E370" s="13">
        <f t="shared" si="102"/>
        <v>4428.6730731484176</v>
      </c>
      <c r="F370" s="14">
        <f t="shared" si="114"/>
        <v>880001.79535026825</v>
      </c>
      <c r="G370" s="15">
        <f t="shared" si="103"/>
        <v>0.31056223264389826</v>
      </c>
      <c r="H370" s="13">
        <f t="shared" si="116"/>
        <v>68705.934228309052</v>
      </c>
      <c r="I370" s="13">
        <f t="shared" si="105"/>
        <v>6092926.5885378588</v>
      </c>
      <c r="J370" s="15">
        <f t="shared" si="98"/>
        <v>0.68943776735610174</v>
      </c>
      <c r="K370" s="13">
        <f t="shared" si="106"/>
        <v>1953574.5473317786</v>
      </c>
      <c r="L370" s="13">
        <f t="shared" si="115"/>
        <v>183173126.81151322</v>
      </c>
      <c r="M370" s="15">
        <f t="shared" si="107"/>
        <v>0.68943776735610174</v>
      </c>
      <c r="N370" s="13">
        <f t="shared" si="117"/>
        <v>25624.182773685017</v>
      </c>
      <c r="O370" s="13">
        <f t="shared" si="108"/>
        <v>4139352.0412060767</v>
      </c>
      <c r="P370" s="15">
        <f t="shared" si="100"/>
        <v>0.5936318019227903</v>
      </c>
      <c r="Q370" s="7">
        <f t="shared" si="109"/>
        <v>6972928.3838881236</v>
      </c>
      <c r="R370" s="7">
        <f t="shared" si="118"/>
        <v>2833576.3426820468</v>
      </c>
      <c r="S370" s="13">
        <f>IF('Calc (3)'!$AD$32="Sim",R370,Q370)</f>
        <v>2833576.3426820468</v>
      </c>
      <c r="T370" s="9">
        <f t="shared" si="111"/>
        <v>366</v>
      </c>
      <c r="U370" s="17">
        <f t="shared" ca="1" si="112"/>
        <v>56646</v>
      </c>
    </row>
    <row r="371" spans="2:21" x14ac:dyDescent="0.2">
      <c r="B371" s="17">
        <f t="shared" ca="1" si="101"/>
        <v>56646</v>
      </c>
      <c r="C371" s="9">
        <f t="shared" si="113"/>
        <v>367</v>
      </c>
      <c r="D371" s="9"/>
      <c r="E371" s="13">
        <f t="shared" si="102"/>
        <v>4446.7160354457346</v>
      </c>
      <c r="F371" s="14">
        <f t="shared" si="114"/>
        <v>884448.51138571394</v>
      </c>
      <c r="G371" s="15">
        <f t="shared" si="103"/>
        <v>0.30970376428115343</v>
      </c>
      <c r="H371" s="13">
        <f t="shared" si="116"/>
        <v>69434.185199536325</v>
      </c>
      <c r="I371" s="13">
        <f t="shared" si="105"/>
        <v>6162360.7737373952</v>
      </c>
      <c r="J371" s="15">
        <f t="shared" si="98"/>
        <v>0.69029623571884657</v>
      </c>
      <c r="K371" s="13">
        <f t="shared" si="106"/>
        <v>1971340.1918565209</v>
      </c>
      <c r="L371" s="13">
        <f t="shared" si="115"/>
        <v>185144467.00336975</v>
      </c>
      <c r="M371" s="15">
        <f t="shared" si="107"/>
        <v>0.69029623571884657</v>
      </c>
      <c r="N371" s="13">
        <f t="shared" si="117"/>
        <v>25895.681004056078</v>
      </c>
      <c r="O371" s="13">
        <f t="shared" si="108"/>
        <v>4191020.5818808712</v>
      </c>
      <c r="P371" s="15">
        <f t="shared" si="100"/>
        <v>0.59474017421313752</v>
      </c>
      <c r="Q371" s="7">
        <f t="shared" si="109"/>
        <v>7046809.2851231061</v>
      </c>
      <c r="R371" s="7">
        <f t="shared" si="118"/>
        <v>2855788.7032422349</v>
      </c>
      <c r="S371" s="13">
        <f>IF('Calc (3)'!$AD$32="Sim",R371,Q371)</f>
        <v>2855788.7032422349</v>
      </c>
      <c r="T371" s="9">
        <f t="shared" si="111"/>
        <v>367</v>
      </c>
      <c r="U371" s="17">
        <f t="shared" ca="1" si="112"/>
        <v>56674</v>
      </c>
    </row>
    <row r="372" spans="2:21" x14ac:dyDescent="0.2">
      <c r="B372" s="17">
        <f t="shared" ca="1" si="101"/>
        <v>56674</v>
      </c>
      <c r="C372" s="9">
        <f t="shared" si="113"/>
        <v>368</v>
      </c>
      <c r="D372" s="9"/>
      <c r="E372" s="13">
        <f t="shared" si="102"/>
        <v>4464.832507004875</v>
      </c>
      <c r="F372" s="14">
        <f t="shared" si="114"/>
        <v>888913.34389271878</v>
      </c>
      <c r="G372" s="15">
        <f t="shared" si="103"/>
        <v>0.30884796416949795</v>
      </c>
      <c r="H372" s="13">
        <f t="shared" si="116"/>
        <v>70169.86752647828</v>
      </c>
      <c r="I372" s="13">
        <f t="shared" si="105"/>
        <v>6232530.6412638733</v>
      </c>
      <c r="J372" s="15">
        <f t="shared" si="98"/>
        <v>0.69115203583050211</v>
      </c>
      <c r="K372" s="13">
        <f t="shared" si="106"/>
        <v>1989244.9961922974</v>
      </c>
      <c r="L372" s="13">
        <f t="shared" si="115"/>
        <v>187133711.99956205</v>
      </c>
      <c r="M372" s="15">
        <f t="shared" si="107"/>
        <v>0.69115203583050211</v>
      </c>
      <c r="N372" s="13">
        <f t="shared" si="117"/>
        <v>26169.949301337907</v>
      </c>
      <c r="O372" s="13">
        <f t="shared" si="108"/>
        <v>4243285.6450715736</v>
      </c>
      <c r="P372" s="15">
        <f t="shared" si="100"/>
        <v>0.59584624325009983</v>
      </c>
      <c r="Q372" s="7">
        <f t="shared" si="109"/>
        <v>7121443.9851565892</v>
      </c>
      <c r="R372" s="7">
        <f t="shared" si="118"/>
        <v>2878158.3400850161</v>
      </c>
      <c r="S372" s="13">
        <f>IF('Calc (3)'!$AD$32="Sim",R372,Q372)</f>
        <v>2878158.3400850161</v>
      </c>
      <c r="T372" s="9">
        <f t="shared" si="111"/>
        <v>368</v>
      </c>
      <c r="U372" s="17">
        <f t="shared" ca="1" si="112"/>
        <v>56705</v>
      </c>
    </row>
    <row r="373" spans="2:21" x14ac:dyDescent="0.2">
      <c r="B373" s="17">
        <f t="shared" ca="1" si="101"/>
        <v>56705</v>
      </c>
      <c r="C373" s="9">
        <f t="shared" si="113"/>
        <v>369</v>
      </c>
      <c r="D373" s="9"/>
      <c r="E373" s="13">
        <f t="shared" si="102"/>
        <v>4483.0227873116701</v>
      </c>
      <c r="F373" s="14">
        <f t="shared" si="114"/>
        <v>893396.36668003048</v>
      </c>
      <c r="G373" s="15">
        <f t="shared" si="103"/>
        <v>0.30799482280490659</v>
      </c>
      <c r="H373" s="13">
        <f t="shared" si="116"/>
        <v>70913.055940174148</v>
      </c>
      <c r="I373" s="13">
        <f t="shared" si="105"/>
        <v>6303443.6972040478</v>
      </c>
      <c r="J373" s="15">
        <f t="shared" si="98"/>
        <v>0.69200517719509347</v>
      </c>
      <c r="K373" s="13">
        <f t="shared" si="106"/>
        <v>2007289.9453296207</v>
      </c>
      <c r="L373" s="13">
        <f t="shared" si="115"/>
        <v>189141001.94489166</v>
      </c>
      <c r="M373" s="15">
        <f t="shared" si="107"/>
        <v>0.69200517719509347</v>
      </c>
      <c r="N373" s="13">
        <f t="shared" si="117"/>
        <v>26447.015520201752</v>
      </c>
      <c r="O373" s="13">
        <f t="shared" si="108"/>
        <v>4296153.7518744245</v>
      </c>
      <c r="P373" s="15">
        <f t="shared" si="100"/>
        <v>0.59695001052390007</v>
      </c>
      <c r="Q373" s="7">
        <f t="shared" si="109"/>
        <v>7196840.0638840757</v>
      </c>
      <c r="R373" s="7">
        <f t="shared" si="118"/>
        <v>2900686.3120096512</v>
      </c>
      <c r="S373" s="13">
        <f>IF('Calc (3)'!$AD$32="Sim",R373,Q373)</f>
        <v>2900686.3120096512</v>
      </c>
      <c r="T373" s="9">
        <f t="shared" si="111"/>
        <v>369</v>
      </c>
      <c r="U373" s="17">
        <f t="shared" ca="1" si="112"/>
        <v>56735</v>
      </c>
    </row>
    <row r="374" spans="2:21" x14ac:dyDescent="0.2">
      <c r="B374" s="17">
        <f t="shared" ca="1" si="101"/>
        <v>56735</v>
      </c>
      <c r="C374" s="9">
        <f t="shared" si="113"/>
        <v>370</v>
      </c>
      <c r="D374" s="9"/>
      <c r="E374" s="13">
        <f t="shared" si="102"/>
        <v>4501.287177072094</v>
      </c>
      <c r="F374" s="14">
        <f t="shared" si="114"/>
        <v>897897.65385710262</v>
      </c>
      <c r="G374" s="15">
        <f t="shared" si="103"/>
        <v>0.30714433072388364</v>
      </c>
      <c r="H374" s="13">
        <f t="shared" si="116"/>
        <v>71663.825918793096</v>
      </c>
      <c r="I374" s="13">
        <f t="shared" si="105"/>
        <v>6375107.5231228406</v>
      </c>
      <c r="J374" s="15">
        <f t="shared" si="98"/>
        <v>0.6928556692761163</v>
      </c>
      <c r="K374" s="13">
        <f t="shared" si="106"/>
        <v>2025476.0308888284</v>
      </c>
      <c r="L374" s="13">
        <f t="shared" si="115"/>
        <v>191166477.97578049</v>
      </c>
      <c r="M374" s="15">
        <f t="shared" si="107"/>
        <v>0.6928556692761163</v>
      </c>
      <c r="N374" s="13">
        <f t="shared" si="117"/>
        <v>26726.907793791772</v>
      </c>
      <c r="O374" s="13">
        <f t="shared" si="108"/>
        <v>4349631.4922340093</v>
      </c>
      <c r="P374" s="15">
        <f t="shared" si="100"/>
        <v>0.59805147753794952</v>
      </c>
      <c r="Q374" s="7">
        <f t="shared" si="109"/>
        <v>7273005.1769799404</v>
      </c>
      <c r="R374" s="7">
        <f t="shared" si="118"/>
        <v>2923373.6847459311</v>
      </c>
      <c r="S374" s="13">
        <f>IF('Calc (3)'!$AD$32="Sim",R374,Q374)</f>
        <v>2923373.6847459311</v>
      </c>
      <c r="T374" s="9">
        <f t="shared" si="111"/>
        <v>370</v>
      </c>
      <c r="U374" s="17">
        <f t="shared" ca="1" si="112"/>
        <v>56766</v>
      </c>
    </row>
    <row r="375" spans="2:21" x14ac:dyDescent="0.2">
      <c r="B375" s="17">
        <f t="shared" ca="1" si="101"/>
        <v>56766</v>
      </c>
      <c r="C375" s="9">
        <f t="shared" si="113"/>
        <v>371</v>
      </c>
      <c r="D375" s="9"/>
      <c r="E375" s="13">
        <f t="shared" si="102"/>
        <v>4519.6259782172347</v>
      </c>
      <c r="F375" s="14">
        <f t="shared" si="114"/>
        <v>902417.27983531985</v>
      </c>
      <c r="G375" s="15">
        <f t="shared" si="103"/>
        <v>0.30629647850322811</v>
      </c>
      <c r="H375" s="13">
        <f t="shared" si="116"/>
        <v>72422.253695085994</v>
      </c>
      <c r="I375" s="13">
        <f t="shared" si="105"/>
        <v>6447529.7768179262</v>
      </c>
      <c r="J375" s="15">
        <f t="shared" si="98"/>
        <v>0.69370352149677195</v>
      </c>
      <c r="K375" s="13">
        <f t="shared" si="106"/>
        <v>2043804.2511634741</v>
      </c>
      <c r="L375" s="13">
        <f t="shared" si="115"/>
        <v>193210282.22694397</v>
      </c>
      <c r="M375" s="15">
        <f t="shared" si="107"/>
        <v>0.69370352149677195</v>
      </c>
      <c r="N375" s="13">
        <f t="shared" si="117"/>
        <v>27009.654536502505</v>
      </c>
      <c r="O375" s="13">
        <f t="shared" si="108"/>
        <v>4403725.5256544501</v>
      </c>
      <c r="P375" s="15">
        <f t="shared" si="100"/>
        <v>0.59915064580882316</v>
      </c>
      <c r="Q375" s="7">
        <f t="shared" si="109"/>
        <v>7349947.0566532435</v>
      </c>
      <c r="R375" s="7">
        <f t="shared" si="118"/>
        <v>2946221.5309987939</v>
      </c>
      <c r="S375" s="13">
        <f>IF('Calc (3)'!$AD$32="Sim",R375,Q375)</f>
        <v>2946221.5309987939</v>
      </c>
      <c r="T375" s="9">
        <f t="shared" si="111"/>
        <v>371</v>
      </c>
      <c r="U375" s="17">
        <f t="shared" ca="1" si="112"/>
        <v>56796</v>
      </c>
    </row>
    <row r="376" spans="2:21" x14ac:dyDescent="0.2">
      <c r="B376" s="17">
        <f t="shared" ca="1" si="101"/>
        <v>56796</v>
      </c>
      <c r="C376" s="9">
        <f t="shared" si="113"/>
        <v>372</v>
      </c>
      <c r="D376" s="9">
        <v>31</v>
      </c>
      <c r="E376" s="13">
        <f t="shared" si="102"/>
        <v>4538.0394939082844</v>
      </c>
      <c r="F376" s="14">
        <f t="shared" si="114"/>
        <v>906955.31932922814</v>
      </c>
      <c r="G376" s="15">
        <f t="shared" si="103"/>
        <v>0.30545125675980078</v>
      </c>
      <c r="H376" s="13">
        <f t="shared" si="116"/>
        <v>73188.416263911582</v>
      </c>
      <c r="I376" s="13">
        <f t="shared" si="105"/>
        <v>6520718.1930818381</v>
      </c>
      <c r="J376" s="15">
        <f t="shared" si="98"/>
        <v>0.69454874324019922</v>
      </c>
      <c r="K376" s="13">
        <f t="shared" si="106"/>
        <v>2062275.6111639962</v>
      </c>
      <c r="L376" s="13">
        <f t="shared" si="115"/>
        <v>195272557.83810797</v>
      </c>
      <c r="M376" s="15">
        <f t="shared" si="107"/>
        <v>0.69454874324019911</v>
      </c>
      <c r="N376" s="13">
        <f t="shared" si="117"/>
        <v>27295.284446783982</v>
      </c>
      <c r="O376" s="13">
        <f t="shared" si="108"/>
        <v>4458442.5819178391</v>
      </c>
      <c r="P376" s="15">
        <f t="shared" si="100"/>
        <v>0.60024751686623401</v>
      </c>
      <c r="Q376" s="7">
        <f t="shared" si="109"/>
        <v>7427673.5124110635</v>
      </c>
      <c r="R376" s="7">
        <f t="shared" si="118"/>
        <v>2969230.9304932244</v>
      </c>
      <c r="S376" s="13">
        <f>IF('Calc (3)'!$AD$32="Sim",R376,Q376)</f>
        <v>2969230.9304932244</v>
      </c>
      <c r="T376" s="9">
        <f t="shared" si="111"/>
        <v>372</v>
      </c>
      <c r="U376" s="17">
        <f t="shared" ca="1" si="112"/>
        <v>56827</v>
      </c>
    </row>
    <row r="377" spans="2:21" x14ac:dyDescent="0.2">
      <c r="B377" s="17">
        <f t="shared" ca="1" si="101"/>
        <v>56827</v>
      </c>
      <c r="C377" s="9">
        <f t="shared" si="113"/>
        <v>373</v>
      </c>
      <c r="D377" s="9"/>
      <c r="E377" s="13">
        <f t="shared" si="102"/>
        <v>4556.528028541552</v>
      </c>
      <c r="F377" s="14">
        <f t="shared" si="114"/>
        <v>911511.84735776973</v>
      </c>
      <c r="G377" s="15">
        <f t="shared" si="103"/>
        <v>0.30460865615029326</v>
      </c>
      <c r="H377" s="13">
        <f t="shared" si="116"/>
        <v>73962.391389837474</v>
      </c>
      <c r="I377" s="13">
        <f t="shared" si="105"/>
        <v>6594680.5844716756</v>
      </c>
      <c r="J377" s="15">
        <f t="shared" si="98"/>
        <v>0.6953913438497068</v>
      </c>
      <c r="K377" s="13">
        <f t="shared" si="106"/>
        <v>2080891.122661676</v>
      </c>
      <c r="L377" s="13">
        <f t="shared" si="115"/>
        <v>197353448.96076965</v>
      </c>
      <c r="M377" s="15">
        <f t="shared" si="107"/>
        <v>0.69539134384970669</v>
      </c>
      <c r="N377" s="13">
        <f t="shared" si="117"/>
        <v>27583.826509974784</v>
      </c>
      <c r="O377" s="13">
        <f t="shared" si="108"/>
        <v>4513789.4618099965</v>
      </c>
      <c r="P377" s="15">
        <f t="shared" si="100"/>
        <v>0.60134209225300606</v>
      </c>
      <c r="Q377" s="7">
        <f t="shared" si="109"/>
        <v>7506192.4318294423</v>
      </c>
      <c r="R377" s="7">
        <f t="shared" si="118"/>
        <v>2992402.9700194458</v>
      </c>
      <c r="S377" s="13">
        <f>IF('Calc (3)'!$AD$32="Sim",R377,Q377)</f>
        <v>2992402.9700194458</v>
      </c>
      <c r="T377" s="9">
        <f t="shared" si="111"/>
        <v>373</v>
      </c>
      <c r="U377" s="17">
        <f t="shared" ca="1" si="112"/>
        <v>56858</v>
      </c>
    </row>
    <row r="378" spans="2:21" x14ac:dyDescent="0.2">
      <c r="B378" s="17">
        <f t="shared" ca="1" si="101"/>
        <v>56858</v>
      </c>
      <c r="C378" s="9">
        <f t="shared" si="113"/>
        <v>374</v>
      </c>
      <c r="D378" s="9"/>
      <c r="E378" s="13">
        <f t="shared" si="102"/>
        <v>4575.0918877534932</v>
      </c>
      <c r="F378" s="14">
        <f t="shared" si="114"/>
        <v>916086.93924552319</v>
      </c>
      <c r="G378" s="15">
        <f t="shared" si="103"/>
        <v>0.30376866737099961</v>
      </c>
      <c r="H378" s="13">
        <f t="shared" si="116"/>
        <v>74744.25761481699</v>
      </c>
      <c r="I378" s="13">
        <f t="shared" si="105"/>
        <v>6669424.8420864921</v>
      </c>
      <c r="J378" s="15">
        <f t="shared" si="98"/>
        <v>0.69623133262900039</v>
      </c>
      <c r="K378" s="13">
        <f t="shared" si="106"/>
        <v>2099651.8042328665</v>
      </c>
      <c r="L378" s="13">
        <f t="shared" si="115"/>
        <v>199453100.76500252</v>
      </c>
      <c r="M378" s="15">
        <f t="shared" si="107"/>
        <v>0.6962313326290005</v>
      </c>
      <c r="N378" s="13">
        <f t="shared" si="117"/>
        <v>27875.310001163365</v>
      </c>
      <c r="O378" s="13">
        <f t="shared" si="108"/>
        <v>4569773.0378536228</v>
      </c>
      <c r="P378" s="15">
        <f t="shared" si="100"/>
        <v>0.60243437352504814</v>
      </c>
      <c r="Q378" s="7">
        <f t="shared" si="109"/>
        <v>7585511.7813320123</v>
      </c>
      <c r="R378" s="7">
        <f t="shared" si="118"/>
        <v>3015738.7434783895</v>
      </c>
      <c r="S378" s="13">
        <f>IF('Calc (3)'!$AD$32="Sim",R378,Q378)</f>
        <v>3015738.7434783895</v>
      </c>
      <c r="T378" s="9">
        <f t="shared" si="111"/>
        <v>374</v>
      </c>
      <c r="U378" s="17">
        <f t="shared" ca="1" si="112"/>
        <v>56888</v>
      </c>
    </row>
    <row r="379" spans="2:21" x14ac:dyDescent="0.2">
      <c r="B379" s="17">
        <f t="shared" ca="1" si="101"/>
        <v>56888</v>
      </c>
      <c r="C379" s="9">
        <f t="shared" si="113"/>
        <v>375</v>
      </c>
      <c r="D379" s="9"/>
      <c r="E379" s="13">
        <f t="shared" si="102"/>
        <v>4593.7313784257667</v>
      </c>
      <c r="F379" s="14">
        <f t="shared" si="114"/>
        <v>920680.67062394891</v>
      </c>
      <c r="G379" s="15">
        <f t="shared" si="103"/>
        <v>0.30293128115758944</v>
      </c>
      <c r="H379" s="13">
        <f t="shared" si="116"/>
        <v>75534.094265942505</v>
      </c>
      <c r="I379" s="13">
        <f t="shared" si="105"/>
        <v>6744958.9363524346</v>
      </c>
      <c r="J379" s="15">
        <f t="shared" si="98"/>
        <v>0.69706871884241051</v>
      </c>
      <c r="K379" s="13">
        <f t="shared" si="106"/>
        <v>2118558.6813035165</v>
      </c>
      <c r="L379" s="13">
        <f t="shared" si="115"/>
        <v>201571659.44630605</v>
      </c>
      <c r="M379" s="15">
        <f t="shared" si="107"/>
        <v>0.69706871884241062</v>
      </c>
      <c r="N379" s="13">
        <f t="shared" si="117"/>
        <v>28169.764488077853</v>
      </c>
      <c r="O379" s="13">
        <f t="shared" si="108"/>
        <v>4626400.2550489157</v>
      </c>
      <c r="P379" s="15">
        <f t="shared" si="100"/>
        <v>0.60352436225132478</v>
      </c>
      <c r="Q379" s="7">
        <f t="shared" si="109"/>
        <v>7665639.6069763806</v>
      </c>
      <c r="R379" s="7">
        <f t="shared" si="118"/>
        <v>3039239.3519274653</v>
      </c>
      <c r="S379" s="13">
        <f>IF('Calc (3)'!$AD$32="Sim",R379,Q379)</f>
        <v>3039239.3519274653</v>
      </c>
      <c r="T379" s="9">
        <f t="shared" si="111"/>
        <v>375</v>
      </c>
      <c r="U379" s="17">
        <f t="shared" ca="1" si="112"/>
        <v>56919</v>
      </c>
    </row>
    <row r="380" spans="2:21" x14ac:dyDescent="0.2">
      <c r="B380" s="17">
        <f t="shared" ca="1" si="101"/>
        <v>56919</v>
      </c>
      <c r="C380" s="9">
        <f t="shared" si="113"/>
        <v>376</v>
      </c>
      <c r="D380" s="9"/>
      <c r="E380" s="13">
        <f t="shared" si="102"/>
        <v>4612.4468086903025</v>
      </c>
      <c r="F380" s="14">
        <f t="shared" si="114"/>
        <v>925293.11743263924</v>
      </c>
      <c r="G380" s="15">
        <f t="shared" si="103"/>
        <v>0.30209648828488389</v>
      </c>
      <c r="H380" s="13">
        <f t="shared" si="116"/>
        <v>76331.981463275937</v>
      </c>
      <c r="I380" s="13">
        <f t="shared" si="105"/>
        <v>6821290.9178157104</v>
      </c>
      <c r="J380" s="15">
        <f t="shared" si="98"/>
        <v>0.69790351171511611</v>
      </c>
      <c r="K380" s="13">
        <f t="shared" si="106"/>
        <v>2137612.7861939752</v>
      </c>
      <c r="L380" s="13">
        <f t="shared" si="115"/>
        <v>203709272.23250002</v>
      </c>
      <c r="M380" s="15">
        <f t="shared" si="107"/>
        <v>0.69790351171511622</v>
      </c>
      <c r="N380" s="13">
        <f t="shared" si="117"/>
        <v>28467.219834004663</v>
      </c>
      <c r="O380" s="13">
        <f t="shared" si="108"/>
        <v>4683678.1316217324</v>
      </c>
      <c r="P380" s="15">
        <f t="shared" si="100"/>
        <v>0.60461206001382761</v>
      </c>
      <c r="Q380" s="7">
        <f t="shared" si="109"/>
        <v>7746584.0352483466</v>
      </c>
      <c r="R380" s="7">
        <f t="shared" si="118"/>
        <v>3062905.9036266143</v>
      </c>
      <c r="S380" s="13">
        <f>IF('Calc (3)'!$AD$32="Sim",R380,Q380)</f>
        <v>3062905.9036266143</v>
      </c>
      <c r="T380" s="9">
        <f t="shared" si="111"/>
        <v>376</v>
      </c>
      <c r="U380" s="17">
        <f t="shared" ca="1" si="112"/>
        <v>56949</v>
      </c>
    </row>
    <row r="381" spans="2:21" x14ac:dyDescent="0.2">
      <c r="B381" s="17">
        <f t="shared" ca="1" si="101"/>
        <v>56949</v>
      </c>
      <c r="C381" s="9">
        <f t="shared" si="113"/>
        <v>377</v>
      </c>
      <c r="D381" s="9"/>
      <c r="E381" s="13">
        <f t="shared" si="102"/>
        <v>4631.2384879344008</v>
      </c>
      <c r="F381" s="14">
        <f t="shared" si="114"/>
        <v>929924.35592057358</v>
      </c>
      <c r="G381" s="15">
        <f t="shared" si="103"/>
        <v>0.30126427956663276</v>
      </c>
      <c r="H381" s="13">
        <f t="shared" si="116"/>
        <v>77138.000127757376</v>
      </c>
      <c r="I381" s="13">
        <f t="shared" si="105"/>
        <v>6898428.9179434674</v>
      </c>
      <c r="J381" s="15">
        <f t="shared" si="98"/>
        <v>0.69873572043336729</v>
      </c>
      <c r="K381" s="13">
        <f t="shared" si="106"/>
        <v>2156815.1581640877</v>
      </c>
      <c r="L381" s="13">
        <f t="shared" si="115"/>
        <v>205866087.3906641</v>
      </c>
      <c r="M381" s="15">
        <f t="shared" si="107"/>
        <v>0.69873572043336718</v>
      </c>
      <c r="N381" s="13">
        <f t="shared" si="117"/>
        <v>28767.706200736171</v>
      </c>
      <c r="O381" s="13">
        <f t="shared" si="108"/>
        <v>4741613.7597793769</v>
      </c>
      <c r="P381" s="15">
        <f t="shared" si="100"/>
        <v>0.60569746840754657</v>
      </c>
      <c r="Q381" s="7">
        <f t="shared" si="109"/>
        <v>7828353.2738640383</v>
      </c>
      <c r="R381" s="7">
        <f t="shared" si="118"/>
        <v>3086739.5140846614</v>
      </c>
      <c r="S381" s="13">
        <f>IF('Calc (3)'!$AD$32="Sim",R381,Q381)</f>
        <v>3086739.5140846614</v>
      </c>
      <c r="T381" s="9">
        <f t="shared" si="111"/>
        <v>377</v>
      </c>
      <c r="U381" s="17">
        <f t="shared" ca="1" si="112"/>
        <v>56980</v>
      </c>
    </row>
    <row r="382" spans="2:21" x14ac:dyDescent="0.2">
      <c r="B382" s="17">
        <f t="shared" ca="1" si="101"/>
        <v>56980</v>
      </c>
      <c r="C382" s="9">
        <f t="shared" si="113"/>
        <v>378</v>
      </c>
      <c r="D382" s="9"/>
      <c r="E382" s="13">
        <f t="shared" si="102"/>
        <v>4650.1067268058423</v>
      </c>
      <c r="F382" s="14">
        <f t="shared" si="114"/>
        <v>934574.46264737938</v>
      </c>
      <c r="G382" s="15">
        <f t="shared" si="103"/>
        <v>0.30043464585529422</v>
      </c>
      <c r="H382" s="13">
        <f t="shared" si="116"/>
        <v>77952.2319891925</v>
      </c>
      <c r="I382" s="13">
        <f t="shared" si="105"/>
        <v>6976381.1499326602</v>
      </c>
      <c r="J382" s="15">
        <f t="shared" si="98"/>
        <v>0.69956535414470578</v>
      </c>
      <c r="K382" s="13">
        <f t="shared" si="106"/>
        <v>2176166.8434585803</v>
      </c>
      <c r="L382" s="13">
        <f t="shared" si="115"/>
        <v>208042254.23412269</v>
      </c>
      <c r="M382" s="15">
        <f t="shared" si="107"/>
        <v>0.69956535414470578</v>
      </c>
      <c r="N382" s="13">
        <f t="shared" si="117"/>
        <v>29071.254051547789</v>
      </c>
      <c r="O382" s="13">
        <f t="shared" si="108"/>
        <v>4800214.3064740766</v>
      </c>
      <c r="P382" s="15">
        <f t="shared" si="100"/>
        <v>0.60678058904043841</v>
      </c>
      <c r="Q382" s="7">
        <f t="shared" si="109"/>
        <v>7910955.6125800367</v>
      </c>
      <c r="R382" s="7">
        <f t="shared" si="118"/>
        <v>3110741.3061059597</v>
      </c>
      <c r="S382" s="13">
        <f>IF('Calc (3)'!$AD$32="Sim",R382,Q382)</f>
        <v>3110741.3061059597</v>
      </c>
      <c r="T382" s="9">
        <f t="shared" si="111"/>
        <v>378</v>
      </c>
      <c r="U382" s="17">
        <f t="shared" ca="1" si="112"/>
        <v>57011</v>
      </c>
    </row>
    <row r="383" spans="2:21" x14ac:dyDescent="0.2">
      <c r="B383" s="17">
        <f t="shared" ca="1" si="101"/>
        <v>57011</v>
      </c>
      <c r="C383" s="9">
        <f t="shared" si="113"/>
        <v>379</v>
      </c>
      <c r="D383" s="9"/>
      <c r="E383" s="13">
        <f t="shared" si="102"/>
        <v>4669.051837218025</v>
      </c>
      <c r="F383" s="14">
        <f t="shared" si="114"/>
        <v>939243.51448459737</v>
      </c>
      <c r="G383" s="15">
        <f t="shared" si="103"/>
        <v>0.29960757804181631</v>
      </c>
      <c r="H383" s="13">
        <f t="shared" si="116"/>
        <v>78774.75959431949</v>
      </c>
      <c r="I383" s="13">
        <f t="shared" si="105"/>
        <v>7055155.9095269796</v>
      </c>
      <c r="J383" s="15">
        <f t="shared" si="98"/>
        <v>0.70039242195818363</v>
      </c>
      <c r="K383" s="13">
        <f t="shared" si="106"/>
        <v>2195668.8953527361</v>
      </c>
      <c r="L383" s="13">
        <f t="shared" si="115"/>
        <v>210237923.12947541</v>
      </c>
      <c r="M383" s="15">
        <f t="shared" si="107"/>
        <v>0.70039242195818363</v>
      </c>
      <c r="N383" s="13">
        <f t="shared" si="117"/>
        <v>29377.894154204685</v>
      </c>
      <c r="O383" s="13">
        <f t="shared" si="108"/>
        <v>4859487.0141742406</v>
      </c>
      <c r="P383" s="15">
        <f t="shared" si="100"/>
        <v>0.60786142353339656</v>
      </c>
      <c r="Q383" s="7">
        <f t="shared" si="109"/>
        <v>7994399.4240115741</v>
      </c>
      <c r="R383" s="7">
        <f t="shared" si="118"/>
        <v>3134912.4098373335</v>
      </c>
      <c r="S383" s="13">
        <f>IF('Calc (3)'!$AD$32="Sim",R383,Q383)</f>
        <v>3134912.4098373335</v>
      </c>
      <c r="T383" s="9">
        <f t="shared" si="111"/>
        <v>379</v>
      </c>
      <c r="U383" s="17">
        <f t="shared" ca="1" si="112"/>
        <v>57040</v>
      </c>
    </row>
    <row r="384" spans="2:21" x14ac:dyDescent="0.2">
      <c r="B384" s="17">
        <f t="shared" ca="1" si="101"/>
        <v>57040</v>
      </c>
      <c r="C384" s="9">
        <f t="shared" si="113"/>
        <v>380</v>
      </c>
      <c r="D384" s="9"/>
      <c r="E384" s="13">
        <f t="shared" si="102"/>
        <v>4688.0741323551219</v>
      </c>
      <c r="F384" s="14">
        <f t="shared" si="114"/>
        <v>943931.58861695253</v>
      </c>
      <c r="G384" s="15">
        <f t="shared" si="103"/>
        <v>0.29878306705542057</v>
      </c>
      <c r="H384" s="13">
        <f t="shared" si="116"/>
        <v>79605.666314956397</v>
      </c>
      <c r="I384" s="13">
        <f t="shared" si="105"/>
        <v>7134761.5758419363</v>
      </c>
      <c r="J384" s="15">
        <f t="shared" si="98"/>
        <v>0.70121693294457943</v>
      </c>
      <c r="K384" s="13">
        <f t="shared" si="106"/>
        <v>2215322.374198366</v>
      </c>
      <c r="L384" s="13">
        <f t="shared" si="115"/>
        <v>212453245.50367379</v>
      </c>
      <c r="M384" s="15">
        <f t="shared" si="107"/>
        <v>0.70121693294457932</v>
      </c>
      <c r="N384" s="13">
        <f t="shared" si="117"/>
        <v>29687.657583998447</v>
      </c>
      <c r="O384" s="13">
        <f t="shared" si="108"/>
        <v>4919439.2016435675</v>
      </c>
      <c r="P384" s="15">
        <f t="shared" si="100"/>
        <v>0.60893997352021889</v>
      </c>
      <c r="Q384" s="7">
        <f t="shared" si="109"/>
        <v>8078693.1644588858</v>
      </c>
      <c r="R384" s="7">
        <f t="shared" si="118"/>
        <v>3159253.9628153187</v>
      </c>
      <c r="S384" s="13">
        <f>IF('Calc (3)'!$AD$32="Sim",R384,Q384)</f>
        <v>3159253.9628153187</v>
      </c>
      <c r="T384" s="9">
        <f t="shared" si="111"/>
        <v>380</v>
      </c>
      <c r="U384" s="17">
        <f t="shared" ca="1" si="112"/>
        <v>57071</v>
      </c>
    </row>
    <row r="385" spans="2:21" x14ac:dyDescent="0.2">
      <c r="B385" s="17">
        <f t="shared" ca="1" si="101"/>
        <v>57071</v>
      </c>
      <c r="C385" s="9">
        <f t="shared" si="113"/>
        <v>381</v>
      </c>
      <c r="D385" s="9"/>
      <c r="E385" s="13">
        <f t="shared" si="102"/>
        <v>4707.1739266772565</v>
      </c>
      <c r="F385" s="14">
        <f t="shared" si="114"/>
        <v>948638.76254362974</v>
      </c>
      <c r="G385" s="15">
        <f t="shared" si="103"/>
        <v>0.29796110386338709</v>
      </c>
      <c r="H385" s="13">
        <f t="shared" si="116"/>
        <v>80445.036356229757</v>
      </c>
      <c r="I385" s="13">
        <f t="shared" si="105"/>
        <v>7215206.6121981656</v>
      </c>
      <c r="J385" s="15">
        <f t="shared" si="98"/>
        <v>0.70203889613661286</v>
      </c>
      <c r="K385" s="13">
        <f t="shared" si="106"/>
        <v>2235128.3474700768</v>
      </c>
      <c r="L385" s="13">
        <f t="shared" si="115"/>
        <v>214688373.85114387</v>
      </c>
      <c r="M385" s="15">
        <f t="shared" si="107"/>
        <v>0.70203889613661286</v>
      </c>
      <c r="N385" s="13">
        <f t="shared" si="117"/>
        <v>30000.575726814051</v>
      </c>
      <c r="O385" s="13">
        <f t="shared" si="108"/>
        <v>4980078.2647280861</v>
      </c>
      <c r="P385" s="15">
        <f t="shared" si="100"/>
        <v>0.61001624064757554</v>
      </c>
      <c r="Q385" s="7">
        <f t="shared" si="109"/>
        <v>8163845.3747417927</v>
      </c>
      <c r="R385" s="7">
        <f t="shared" si="118"/>
        <v>3183767.1100137066</v>
      </c>
      <c r="S385" s="13">
        <f>IF('Calc (3)'!$AD$32="Sim",R385,Q385)</f>
        <v>3183767.1100137066</v>
      </c>
      <c r="T385" s="9">
        <f t="shared" si="111"/>
        <v>381</v>
      </c>
      <c r="U385" s="17">
        <f t="shared" ca="1" si="112"/>
        <v>57101</v>
      </c>
    </row>
    <row r="386" spans="2:21" x14ac:dyDescent="0.2">
      <c r="B386" s="17">
        <f t="shared" ca="1" si="101"/>
        <v>57101</v>
      </c>
      <c r="C386" s="9">
        <f t="shared" si="113"/>
        <v>382</v>
      </c>
      <c r="D386" s="9"/>
      <c r="E386" s="13">
        <f t="shared" si="102"/>
        <v>4726.3515359257017</v>
      </c>
      <c r="F386" s="14">
        <f t="shared" si="114"/>
        <v>953365.1140795555</v>
      </c>
      <c r="G386" s="15">
        <f t="shared" si="103"/>
        <v>0.29714167947084197</v>
      </c>
      <c r="H386" s="13">
        <f t="shared" si="116"/>
        <v>81292.954764884969</v>
      </c>
      <c r="I386" s="13">
        <f t="shared" si="105"/>
        <v>7296499.5669630505</v>
      </c>
      <c r="J386" s="15">
        <f t="shared" si="98"/>
        <v>0.70285832052915809</v>
      </c>
      <c r="K386" s="13">
        <f t="shared" si="106"/>
        <v>2255087.8898118343</v>
      </c>
      <c r="L386" s="13">
        <f t="shared" si="115"/>
        <v>216943461.74095571</v>
      </c>
      <c r="M386" s="15">
        <f t="shared" si="107"/>
        <v>0.70285832052915798</v>
      </c>
      <c r="N386" s="13">
        <f t="shared" si="117"/>
        <v>30316.680282227324</v>
      </c>
      <c r="O386" s="13">
        <f t="shared" si="108"/>
        <v>5041411.6771512134</v>
      </c>
      <c r="P386" s="15">
        <f t="shared" si="100"/>
        <v>0.61109022657497558</v>
      </c>
      <c r="Q386" s="7">
        <f t="shared" si="109"/>
        <v>8249864.6810426032</v>
      </c>
      <c r="R386" s="7">
        <f t="shared" si="118"/>
        <v>3208453.0038913898</v>
      </c>
      <c r="S386" s="13">
        <f>IF('Calc (3)'!$AD$32="Sim",R386,Q386)</f>
        <v>3208453.0038913898</v>
      </c>
      <c r="T386" s="9">
        <f t="shared" si="111"/>
        <v>382</v>
      </c>
      <c r="U386" s="17">
        <f t="shared" ca="1" si="112"/>
        <v>57132</v>
      </c>
    </row>
    <row r="387" spans="2:21" x14ac:dyDescent="0.2">
      <c r="B387" s="17">
        <f t="shared" ca="1" si="101"/>
        <v>57132</v>
      </c>
      <c r="C387" s="9">
        <f t="shared" si="113"/>
        <v>383</v>
      </c>
      <c r="D387" s="9"/>
      <c r="E387" s="13">
        <f t="shared" si="102"/>
        <v>4745.6072771280997</v>
      </c>
      <c r="F387" s="14">
        <f t="shared" si="114"/>
        <v>958110.72135668364</v>
      </c>
      <c r="G387" s="15">
        <f t="shared" si="103"/>
        <v>0.29632478492054659</v>
      </c>
      <c r="H387" s="13">
        <f t="shared" si="116"/>
        <v>82149.507437679771</v>
      </c>
      <c r="I387" s="13">
        <f t="shared" si="105"/>
        <v>7378649.0744007304</v>
      </c>
      <c r="J387" s="15">
        <f t="shared" si="98"/>
        <v>0.70367521507945341</v>
      </c>
      <c r="K387" s="13">
        <f t="shared" si="106"/>
        <v>2275202.083083827</v>
      </c>
      <c r="L387" s="13">
        <f t="shared" si="115"/>
        <v>219218663.82403955</v>
      </c>
      <c r="M387" s="15">
        <f t="shared" si="107"/>
        <v>0.70367521507945341</v>
      </c>
      <c r="N387" s="13">
        <f t="shared" si="117"/>
        <v>30636.003266633339</v>
      </c>
      <c r="O387" s="13">
        <f t="shared" si="108"/>
        <v>5103446.9913169006</v>
      </c>
      <c r="P387" s="15">
        <f t="shared" si="100"/>
        <v>0.61216193297473342</v>
      </c>
      <c r="Q387" s="7">
        <f t="shared" si="109"/>
        <v>8336759.795757411</v>
      </c>
      <c r="R387" s="7">
        <f t="shared" si="118"/>
        <v>3233312.8044405105</v>
      </c>
      <c r="S387" s="13">
        <f>IF('Calc (3)'!$AD$32="Sim",R387,Q387)</f>
        <v>3233312.8044405105</v>
      </c>
      <c r="T387" s="9">
        <f t="shared" si="111"/>
        <v>383</v>
      </c>
      <c r="U387" s="17">
        <f t="shared" ca="1" si="112"/>
        <v>57162</v>
      </c>
    </row>
    <row r="388" spans="2:21" x14ac:dyDescent="0.2">
      <c r="B388" s="17">
        <f t="shared" ca="1" si="101"/>
        <v>57162</v>
      </c>
      <c r="C388" s="9">
        <f t="shared" si="113"/>
        <v>384</v>
      </c>
      <c r="D388" s="9">
        <v>32</v>
      </c>
      <c r="E388" s="13">
        <f t="shared" si="102"/>
        <v>4764.9414686037017</v>
      </c>
      <c r="F388" s="14">
        <f t="shared" si="114"/>
        <v>962875.66282528732</v>
      </c>
      <c r="G388" s="15">
        <f t="shared" si="103"/>
        <v>0.29551041129268829</v>
      </c>
      <c r="H388" s="13">
        <f t="shared" si="116"/>
        <v>83014.781129861105</v>
      </c>
      <c r="I388" s="13">
        <f t="shared" si="105"/>
        <v>7461663.8555305917</v>
      </c>
      <c r="J388" s="15">
        <f t="shared" si="98"/>
        <v>0.70448958870731171</v>
      </c>
      <c r="K388" s="13">
        <f t="shared" si="106"/>
        <v>2295472.0164096318</v>
      </c>
      <c r="L388" s="13">
        <f t="shared" si="115"/>
        <v>221514135.84044918</v>
      </c>
      <c r="M388" s="15">
        <f t="shared" si="107"/>
        <v>0.70448958870731171</v>
      </c>
      <c r="N388" s="13">
        <f t="shared" si="117"/>
        <v>30958.577016405918</v>
      </c>
      <c r="O388" s="13">
        <f t="shared" si="108"/>
        <v>5166191.8391209571</v>
      </c>
      <c r="P388" s="15">
        <f t="shared" si="100"/>
        <v>0.61323136153193392</v>
      </c>
      <c r="Q388" s="7">
        <f t="shared" si="109"/>
        <v>8424539.5183558762</v>
      </c>
      <c r="R388" s="7">
        <f t="shared" si="118"/>
        <v>3258347.6792349191</v>
      </c>
      <c r="S388" s="13">
        <f>IF('Calc (3)'!$AD$32="Sim",R388,Q388)</f>
        <v>3258347.6792349191</v>
      </c>
      <c r="T388" s="9">
        <f t="shared" si="111"/>
        <v>384</v>
      </c>
      <c r="U388" s="17">
        <f t="shared" ca="1" si="112"/>
        <v>57193</v>
      </c>
    </row>
    <row r="389" spans="2:21" x14ac:dyDescent="0.2">
      <c r="B389" s="17">
        <f t="shared" ca="1" si="101"/>
        <v>57193</v>
      </c>
      <c r="C389" s="9">
        <f t="shared" si="113"/>
        <v>385</v>
      </c>
      <c r="D389" s="9"/>
      <c r="E389" s="13">
        <f t="shared" si="102"/>
        <v>4784.3544299686328</v>
      </c>
      <c r="F389" s="14">
        <f t="shared" si="114"/>
        <v>967660.01725525595</v>
      </c>
      <c r="G389" s="15">
        <f t="shared" si="103"/>
        <v>0.29469854970467341</v>
      </c>
      <c r="H389" s="13">
        <f t="shared" si="116"/>
        <v>83888.863463726593</v>
      </c>
      <c r="I389" s="13">
        <f t="shared" si="105"/>
        <v>7545552.7189943185</v>
      </c>
      <c r="J389" s="15">
        <f t="shared" ref="J389:J452" si="119">1-G389</f>
        <v>0.70530145029532654</v>
      </c>
      <c r="K389" s="13">
        <f t="shared" si="106"/>
        <v>2315898.7862236826</v>
      </c>
      <c r="L389" s="13">
        <f t="shared" si="115"/>
        <v>223830034.62667286</v>
      </c>
      <c r="M389" s="15">
        <f t="shared" si="107"/>
        <v>0.70530145029532654</v>
      </c>
      <c r="N389" s="13">
        <f t="shared" si="117"/>
        <v>31284.434191088651</v>
      </c>
      <c r="O389" s="13">
        <f t="shared" si="108"/>
        <v>5229653.9327706313</v>
      </c>
      <c r="P389" s="15">
        <f t="shared" ref="P389:P452" si="120">O389/Q389</f>
        <v>0.61429851394439783</v>
      </c>
      <c r="Q389" s="7">
        <f t="shared" si="109"/>
        <v>8513212.7362495698</v>
      </c>
      <c r="R389" s="7">
        <f t="shared" si="118"/>
        <v>3283558.8034789385</v>
      </c>
      <c r="S389" s="13">
        <f>IF('Calc (3)'!$AD$32="Sim",R389,Q389)</f>
        <v>3283558.8034789385</v>
      </c>
      <c r="T389" s="9">
        <f t="shared" si="111"/>
        <v>385</v>
      </c>
      <c r="U389" s="17">
        <f t="shared" ca="1" si="112"/>
        <v>57224</v>
      </c>
    </row>
    <row r="390" spans="2:21" x14ac:dyDescent="0.2">
      <c r="B390" s="17">
        <f t="shared" ref="B390:B453" ca="1" si="121">DATE(YEAR(B389),MONTH(B389)+1,1)</f>
        <v>57224</v>
      </c>
      <c r="C390" s="9">
        <f t="shared" si="113"/>
        <v>386</v>
      </c>
      <c r="D390" s="9"/>
      <c r="E390" s="13">
        <f t="shared" ref="E390:E453" si="122">IF($AE$33,IF($AE$34,$E389*(1+Inflação_3)*(1+Crescimento_Salário_3),$E389*(1+Inflação_3)),IF($AE$34,$E389*(1+Crescimento_Salário_3),$E389))</f>
        <v>4803.8464821411717</v>
      </c>
      <c r="F390" s="14">
        <f t="shared" si="114"/>
        <v>972463.86373739713</v>
      </c>
      <c r="G390" s="15">
        <f t="shared" ref="G390:G453" si="123">IF(F390&lt;=0,0,F390/S390)</f>
        <v>0.29388919131092189</v>
      </c>
      <c r="H390" s="13">
        <f t="shared" si="116"/>
        <v>84771.842937271169</v>
      </c>
      <c r="I390" s="13">
        <f t="shared" ref="I390:I453" si="124">I389+H390</f>
        <v>7630324.5619315896</v>
      </c>
      <c r="J390" s="15">
        <f t="shared" si="119"/>
        <v>0.70611080868907816</v>
      </c>
      <c r="K390" s="13">
        <f t="shared" ref="K390:K453" si="125">R390-F390</f>
        <v>2336483.4963190435</v>
      </c>
      <c r="L390" s="13">
        <f t="shared" si="115"/>
        <v>226166518.12299192</v>
      </c>
      <c r="M390" s="15">
        <f t="shared" ref="M390:M453" si="126">K390/R390</f>
        <v>0.70611080868907816</v>
      </c>
      <c r="N390" s="13">
        <f t="shared" si="117"/>
        <v>31613.607776617719</v>
      </c>
      <c r="O390" s="13">
        <f t="shared" ref="O390:O453" si="127">Q390-R390</f>
        <v>5293841.0656125424</v>
      </c>
      <c r="P390" s="15">
        <f t="shared" si="120"/>
        <v>0.61536339192264566</v>
      </c>
      <c r="Q390" s="7">
        <f t="shared" ref="Q390:Q453" si="128">Q389+E390+H390</f>
        <v>8602788.4256689828</v>
      </c>
      <c r="R390" s="7">
        <f t="shared" si="118"/>
        <v>3308947.3600564403</v>
      </c>
      <c r="S390" s="13">
        <f>IF('Calc (3)'!$AD$32="Sim",R390,Q390)</f>
        <v>3308947.3600564403</v>
      </c>
      <c r="T390" s="9">
        <f t="shared" ref="T390:T453" si="129">C390</f>
        <v>386</v>
      </c>
      <c r="U390" s="17">
        <f t="shared" ref="U390:U453" ca="1" si="130">DATE(YEAR(U389),MONTH(U389)+1,1)</f>
        <v>57254</v>
      </c>
    </row>
    <row r="391" spans="2:21" x14ac:dyDescent="0.2">
      <c r="B391" s="17">
        <f t="shared" ca="1" si="121"/>
        <v>57254</v>
      </c>
      <c r="C391" s="9">
        <f t="shared" ref="C391:C454" si="131">C390+1</f>
        <v>387</v>
      </c>
      <c r="D391" s="9"/>
      <c r="E391" s="13">
        <f t="shared" si="122"/>
        <v>4823.4179473470585</v>
      </c>
      <c r="F391" s="14">
        <f t="shared" ref="F391:F454" si="132">F390+E391</f>
        <v>977287.28168474417</v>
      </c>
      <c r="G391" s="15">
        <f t="shared" si="123"/>
        <v>0.29308232730266337</v>
      </c>
      <c r="H391" s="13">
        <f t="shared" si="116"/>
        <v>85663.808932920118</v>
      </c>
      <c r="I391" s="13">
        <f t="shared" si="124"/>
        <v>7715988.3708645096</v>
      </c>
      <c r="J391" s="15">
        <f t="shared" si="119"/>
        <v>0.70691767269733663</v>
      </c>
      <c r="K391" s="13">
        <f t="shared" si="125"/>
        <v>2357227.2578954906</v>
      </c>
      <c r="L391" s="13">
        <f t="shared" ref="L391:L454" si="133">L390+K391</f>
        <v>228523745.38088742</v>
      </c>
      <c r="M391" s="15">
        <f t="shared" si="126"/>
        <v>0.70691767269733663</v>
      </c>
      <c r="N391" s="13">
        <f t="shared" si="117"/>
        <v>31946.131088576789</v>
      </c>
      <c r="O391" s="13">
        <f t="shared" si="127"/>
        <v>5358761.1129690148</v>
      </c>
      <c r="P391" s="15">
        <f t="shared" si="120"/>
        <v>0.61642599718986146</v>
      </c>
      <c r="Q391" s="7">
        <f t="shared" si="128"/>
        <v>8693275.6525492501</v>
      </c>
      <c r="R391" s="7">
        <f t="shared" si="118"/>
        <v>3334514.5395802348</v>
      </c>
      <c r="S391" s="13">
        <f>IF('Calc (3)'!$AD$32="Sim",R391,Q391)</f>
        <v>3334514.5395802348</v>
      </c>
      <c r="T391" s="9">
        <f t="shared" si="129"/>
        <v>387</v>
      </c>
      <c r="U391" s="17">
        <f t="shared" ca="1" si="130"/>
        <v>57285</v>
      </c>
    </row>
    <row r="392" spans="2:21" x14ac:dyDescent="0.2">
      <c r="B392" s="17">
        <f t="shared" ca="1" si="121"/>
        <v>57285</v>
      </c>
      <c r="C392" s="9">
        <f t="shared" si="131"/>
        <v>388</v>
      </c>
      <c r="D392" s="9"/>
      <c r="E392" s="13">
        <f t="shared" si="122"/>
        <v>4843.0691491248217</v>
      </c>
      <c r="F392" s="14">
        <f t="shared" si="132"/>
        <v>982130.35083386896</v>
      </c>
      <c r="G392" s="15">
        <f t="shared" si="123"/>
        <v>0.29227794890773562</v>
      </c>
      <c r="H392" s="13">
        <f t="shared" si="116"/>
        <v>86564.851726348832</v>
      </c>
      <c r="I392" s="13">
        <f t="shared" si="124"/>
        <v>7802553.2225908581</v>
      </c>
      <c r="J392" s="15">
        <f t="shared" si="119"/>
        <v>0.70772205109226438</v>
      </c>
      <c r="K392" s="13">
        <f t="shared" si="125"/>
        <v>2378131.189607902</v>
      </c>
      <c r="L392" s="13">
        <f t="shared" si="133"/>
        <v>230901876.57049531</v>
      </c>
      <c r="M392" s="15">
        <f t="shared" si="126"/>
        <v>0.70772205109226438</v>
      </c>
      <c r="N392" s="13">
        <f t="shared" si="117"/>
        <v>32282.037775484372</v>
      </c>
      <c r="O392" s="13">
        <f t="shared" si="127"/>
        <v>5424422.0329829538</v>
      </c>
      <c r="P392" s="15">
        <f t="shared" si="120"/>
        <v>0.61748633148185583</v>
      </c>
      <c r="Q392" s="7">
        <f t="shared" si="128"/>
        <v>8784683.5734247249</v>
      </c>
      <c r="R392" s="7">
        <f t="shared" si="118"/>
        <v>3360261.540441771</v>
      </c>
      <c r="S392" s="13">
        <f>IF('Calc (3)'!$AD$32="Sim",R392,Q392)</f>
        <v>3360261.540441771</v>
      </c>
      <c r="T392" s="9">
        <f t="shared" si="129"/>
        <v>388</v>
      </c>
      <c r="U392" s="17">
        <f t="shared" ca="1" si="130"/>
        <v>57315</v>
      </c>
    </row>
    <row r="393" spans="2:21" x14ac:dyDescent="0.2">
      <c r="B393" s="17">
        <f t="shared" ca="1" si="121"/>
        <v>57315</v>
      </c>
      <c r="C393" s="9">
        <f t="shared" si="131"/>
        <v>389</v>
      </c>
      <c r="D393" s="9"/>
      <c r="E393" s="13">
        <f t="shared" si="122"/>
        <v>4862.8004123311248</v>
      </c>
      <c r="F393" s="14">
        <f t="shared" si="132"/>
        <v>986993.15124620008</v>
      </c>
      <c r="G393" s="15">
        <f t="shared" si="123"/>
        <v>0.29147604739038413</v>
      </c>
      <c r="H393" s="13">
        <f t="shared" si="116"/>
        <v>87475.062495390652</v>
      </c>
      <c r="I393" s="13">
        <f t="shared" si="124"/>
        <v>7890028.285086249</v>
      </c>
      <c r="J393" s="15">
        <f t="shared" si="119"/>
        <v>0.70852395260961587</v>
      </c>
      <c r="K393" s="13">
        <f t="shared" si="125"/>
        <v>2399196.4176149601</v>
      </c>
      <c r="L393" s="13">
        <f t="shared" si="133"/>
        <v>233301072.98811027</v>
      </c>
      <c r="M393" s="15">
        <f t="shared" si="126"/>
        <v>0.70852395260961576</v>
      </c>
      <c r="N393" s="13">
        <f t="shared" si="117"/>
        <v>32621.361822113911</v>
      </c>
      <c r="O393" s="13">
        <f t="shared" si="127"/>
        <v>5490831.8674712852</v>
      </c>
      <c r="P393" s="15">
        <f t="shared" si="120"/>
        <v>0.61854439654702809</v>
      </c>
      <c r="Q393" s="7">
        <f t="shared" si="128"/>
        <v>8877021.4363324456</v>
      </c>
      <c r="R393" s="7">
        <f t="shared" si="118"/>
        <v>3386189.5688611604</v>
      </c>
      <c r="S393" s="13">
        <f>IF('Calc (3)'!$AD$32="Sim",R393,Q393)</f>
        <v>3386189.5688611604</v>
      </c>
      <c r="T393" s="9">
        <f t="shared" si="129"/>
        <v>389</v>
      </c>
      <c r="U393" s="17">
        <f t="shared" ca="1" si="130"/>
        <v>57346</v>
      </c>
    </row>
    <row r="394" spans="2:21" x14ac:dyDescent="0.2">
      <c r="B394" s="17">
        <f t="shared" ca="1" si="121"/>
        <v>57346</v>
      </c>
      <c r="C394" s="9">
        <f t="shared" si="131"/>
        <v>390</v>
      </c>
      <c r="D394" s="9"/>
      <c r="E394" s="13">
        <f t="shared" si="122"/>
        <v>4882.6120631461381</v>
      </c>
      <c r="F394" s="14">
        <f t="shared" si="132"/>
        <v>991875.76330934628</v>
      </c>
      <c r="G394" s="15">
        <f t="shared" si="123"/>
        <v>0.29067661405106388</v>
      </c>
      <c r="H394" s="13">
        <f t="shared" si="116"/>
        <v>88394.533329033293</v>
      </c>
      <c r="I394" s="13">
        <f t="shared" si="124"/>
        <v>7978422.8184152823</v>
      </c>
      <c r="J394" s="15">
        <f t="shared" si="119"/>
        <v>0.70932338594893607</v>
      </c>
      <c r="K394" s="13">
        <f t="shared" si="125"/>
        <v>2420424.0756281652</v>
      </c>
      <c r="L394" s="13">
        <f t="shared" si="133"/>
        <v>235721497.06373844</v>
      </c>
      <c r="M394" s="15">
        <f t="shared" si="126"/>
        <v>0.70932338594893618</v>
      </c>
      <c r="N394" s="13">
        <f t="shared" si="117"/>
        <v>32964.137552847009</v>
      </c>
      <c r="O394" s="13">
        <f t="shared" si="127"/>
        <v>5557998.7427871134</v>
      </c>
      <c r="P394" s="15">
        <f t="shared" si="120"/>
        <v>0.61960019414632861</v>
      </c>
      <c r="Q394" s="7">
        <f t="shared" si="128"/>
        <v>8970298.5817246251</v>
      </c>
      <c r="R394" s="7">
        <f t="shared" si="118"/>
        <v>3412299.8389375112</v>
      </c>
      <c r="S394" s="13">
        <f>IF('Calc (3)'!$AD$32="Sim",R394,Q394)</f>
        <v>3412299.8389375112</v>
      </c>
      <c r="T394" s="9">
        <f t="shared" si="129"/>
        <v>390</v>
      </c>
      <c r="U394" s="17">
        <f t="shared" ca="1" si="130"/>
        <v>57377</v>
      </c>
    </row>
    <row r="395" spans="2:21" x14ac:dyDescent="0.2">
      <c r="B395" s="17">
        <f t="shared" ca="1" si="121"/>
        <v>57377</v>
      </c>
      <c r="C395" s="9">
        <f t="shared" si="131"/>
        <v>391</v>
      </c>
      <c r="D395" s="9"/>
      <c r="E395" s="13">
        <f t="shared" si="122"/>
        <v>4902.5044290789301</v>
      </c>
      <c r="F395" s="14">
        <f t="shared" si="132"/>
        <v>996778.26773842517</v>
      </c>
      <c r="G395" s="15">
        <f t="shared" si="123"/>
        <v>0.28987964022624196</v>
      </c>
      <c r="H395" s="13">
        <f t="shared" si="116"/>
        <v>89323.357236505195</v>
      </c>
      <c r="I395" s="13">
        <f t="shared" si="124"/>
        <v>8067746.1756517878</v>
      </c>
      <c r="J395" s="15">
        <f t="shared" si="119"/>
        <v>0.71012035977375798</v>
      </c>
      <c r="K395" s="13">
        <f t="shared" si="125"/>
        <v>2441815.3049611649</v>
      </c>
      <c r="L395" s="13">
        <f t="shared" si="133"/>
        <v>238163312.36869961</v>
      </c>
      <c r="M395" s="15">
        <f t="shared" si="126"/>
        <v>0.71012035977375809</v>
      </c>
      <c r="N395" s="13">
        <f t="shared" si="117"/>
        <v>33310.399635059963</v>
      </c>
      <c r="O395" s="13">
        <f t="shared" si="127"/>
        <v>5625930.8706906196</v>
      </c>
      <c r="P395" s="15">
        <f t="shared" si="120"/>
        <v>0.62065372605321956</v>
      </c>
      <c r="Q395" s="7">
        <f t="shared" si="128"/>
        <v>9064524.4433902092</v>
      </c>
      <c r="R395" s="7">
        <f t="shared" si="118"/>
        <v>3438593.5726995901</v>
      </c>
      <c r="S395" s="13">
        <f>IF('Calc (3)'!$AD$32="Sim",R395,Q395)</f>
        <v>3438593.5726995901</v>
      </c>
      <c r="T395" s="9">
        <f t="shared" si="129"/>
        <v>391</v>
      </c>
      <c r="U395" s="17">
        <f t="shared" ca="1" si="130"/>
        <v>57405</v>
      </c>
    </row>
    <row r="396" spans="2:21" x14ac:dyDescent="0.2">
      <c r="B396" s="17">
        <f t="shared" ca="1" si="121"/>
        <v>57405</v>
      </c>
      <c r="C396" s="9">
        <f t="shared" si="131"/>
        <v>392</v>
      </c>
      <c r="D396" s="9"/>
      <c r="E396" s="13">
        <f t="shared" si="122"/>
        <v>4922.4778389728817</v>
      </c>
      <c r="F396" s="14">
        <f t="shared" si="132"/>
        <v>1001700.7455773981</v>
      </c>
      <c r="G396" s="15">
        <f t="shared" si="123"/>
        <v>0.2890851172882033</v>
      </c>
      <c r="H396" s="13">
        <f t="shared" si="116"/>
        <v>90261.628156452018</v>
      </c>
      <c r="I396" s="13">
        <f t="shared" si="124"/>
        <v>8158007.8038082402</v>
      </c>
      <c r="J396" s="15">
        <f t="shared" si="119"/>
        <v>0.7109148827117967</v>
      </c>
      <c r="K396" s="13">
        <f t="shared" si="125"/>
        <v>2463371.2545794034</v>
      </c>
      <c r="L396" s="13">
        <f t="shared" si="133"/>
        <v>240626683.62327901</v>
      </c>
      <c r="M396" s="15">
        <f t="shared" si="126"/>
        <v>0.7109148827117967</v>
      </c>
      <c r="N396" s="13">
        <f t="shared" si="117"/>
        <v>33660.183082544121</v>
      </c>
      <c r="O396" s="13">
        <f t="shared" si="127"/>
        <v>5694636.5492288321</v>
      </c>
      <c r="P396" s="15">
        <f t="shared" si="120"/>
        <v>0.62170499405363577</v>
      </c>
      <c r="Q396" s="7">
        <f t="shared" si="128"/>
        <v>9159708.5493856333</v>
      </c>
      <c r="R396" s="7">
        <f t="shared" si="118"/>
        <v>3465072.0001568017</v>
      </c>
      <c r="S396" s="13">
        <f>IF('Calc (3)'!$AD$32="Sim",R396,Q396)</f>
        <v>3465072.0001568017</v>
      </c>
      <c r="T396" s="9">
        <f t="shared" si="129"/>
        <v>392</v>
      </c>
      <c r="U396" s="17">
        <f t="shared" ca="1" si="130"/>
        <v>57436</v>
      </c>
    </row>
    <row r="397" spans="2:21" x14ac:dyDescent="0.2">
      <c r="B397" s="17">
        <f t="shared" ca="1" si="121"/>
        <v>57436</v>
      </c>
      <c r="C397" s="9">
        <f t="shared" si="131"/>
        <v>393</v>
      </c>
      <c r="D397" s="9"/>
      <c r="E397" s="13">
        <f t="shared" si="122"/>
        <v>4942.5326230111232</v>
      </c>
      <c r="F397" s="14">
        <f t="shared" si="132"/>
        <v>1006643.2782004093</v>
      </c>
      <c r="G397" s="15">
        <f t="shared" si="123"/>
        <v>0.28829303664485634</v>
      </c>
      <c r="H397" s="13">
        <f t="shared" si="116"/>
        <v>91209.4409662049</v>
      </c>
      <c r="I397" s="13">
        <f t="shared" si="124"/>
        <v>8249217.244774445</v>
      </c>
      <c r="J397" s="15">
        <f t="shared" si="119"/>
        <v>0.71170696335514361</v>
      </c>
      <c r="K397" s="13">
        <f t="shared" si="125"/>
        <v>2485093.0811500847</v>
      </c>
      <c r="L397" s="13">
        <f t="shared" si="133"/>
        <v>243111776.70442909</v>
      </c>
      <c r="M397" s="15">
        <f t="shared" si="126"/>
        <v>0.71170696335514361</v>
      </c>
      <c r="N397" s="13">
        <f t="shared" si="117"/>
        <v>34013.523258960333</v>
      </c>
      <c r="O397" s="13">
        <f t="shared" si="127"/>
        <v>5764124.1636243565</v>
      </c>
      <c r="P397" s="15">
        <f t="shared" si="120"/>
        <v>0.62275399994594516</v>
      </c>
      <c r="Q397" s="7">
        <f t="shared" si="128"/>
        <v>9255860.5229748506</v>
      </c>
      <c r="R397" s="7">
        <f t="shared" si="118"/>
        <v>3491736.3593504941</v>
      </c>
      <c r="S397" s="13">
        <f>IF('Calc (3)'!$AD$32="Sim",R397,Q397)</f>
        <v>3491736.3593504941</v>
      </c>
      <c r="T397" s="9">
        <f t="shared" si="129"/>
        <v>393</v>
      </c>
      <c r="U397" s="17">
        <f t="shared" ca="1" si="130"/>
        <v>57466</v>
      </c>
    </row>
    <row r="398" spans="2:21" x14ac:dyDescent="0.2">
      <c r="B398" s="17">
        <f t="shared" ca="1" si="121"/>
        <v>57466</v>
      </c>
      <c r="C398" s="9">
        <f t="shared" si="131"/>
        <v>394</v>
      </c>
      <c r="D398" s="9"/>
      <c r="E398" s="13">
        <f t="shared" si="122"/>
        <v>4962.669112721991</v>
      </c>
      <c r="F398" s="14">
        <f t="shared" si="132"/>
        <v>1011605.9473131313</v>
      </c>
      <c r="G398" s="15">
        <f t="shared" si="123"/>
        <v>0.28750338973954165</v>
      </c>
      <c r="H398" s="13">
        <f t="shared" si="116"/>
        <v>92166.891491140865</v>
      </c>
      <c r="I398" s="13">
        <f t="shared" si="124"/>
        <v>8341384.1362655861</v>
      </c>
      <c r="J398" s="15">
        <f t="shared" si="119"/>
        <v>0.71249661026045841</v>
      </c>
      <c r="K398" s="13">
        <f t="shared" si="125"/>
        <v>2506981.9490924622</v>
      </c>
      <c r="L398" s="13">
        <f t="shared" si="133"/>
        <v>245618758.65352154</v>
      </c>
      <c r="M398" s="15">
        <f t="shared" si="126"/>
        <v>0.71249661026045841</v>
      </c>
      <c r="N398" s="13">
        <f t="shared" si="117"/>
        <v>34370.455881327711</v>
      </c>
      <c r="O398" s="13">
        <f t="shared" si="127"/>
        <v>5834402.1871731197</v>
      </c>
      <c r="P398" s="15">
        <f t="shared" si="120"/>
        <v>0.62380074554090792</v>
      </c>
      <c r="Q398" s="7">
        <f t="shared" si="128"/>
        <v>9352990.0835787132</v>
      </c>
      <c r="R398" s="7">
        <f t="shared" si="118"/>
        <v>3518587.8964055935</v>
      </c>
      <c r="S398" s="13">
        <f>IF('Calc (3)'!$AD$32="Sim",R398,Q398)</f>
        <v>3518587.8964055935</v>
      </c>
      <c r="T398" s="9">
        <f t="shared" si="129"/>
        <v>394</v>
      </c>
      <c r="U398" s="17">
        <f t="shared" ca="1" si="130"/>
        <v>57497</v>
      </c>
    </row>
    <row r="399" spans="2:21" x14ac:dyDescent="0.2">
      <c r="B399" s="17">
        <f t="shared" ca="1" si="121"/>
        <v>57497</v>
      </c>
      <c r="C399" s="9">
        <f t="shared" si="131"/>
        <v>395</v>
      </c>
      <c r="D399" s="9"/>
      <c r="E399" s="13">
        <f t="shared" si="122"/>
        <v>4982.8876409845088</v>
      </c>
      <c r="F399" s="14">
        <f t="shared" si="132"/>
        <v>1016588.8349541158</v>
      </c>
      <c r="G399" s="15">
        <f t="shared" si="123"/>
        <v>0.28671616805084121</v>
      </c>
      <c r="H399" s="13">
        <f t="shared" si="116"/>
        <v>93134.07651413657</v>
      </c>
      <c r="I399" s="13">
        <f t="shared" si="124"/>
        <v>8434518.2127797231</v>
      </c>
      <c r="J399" s="15">
        <f t="shared" si="119"/>
        <v>0.71328383194915879</v>
      </c>
      <c r="K399" s="13">
        <f t="shared" si="125"/>
        <v>2529039.0306284484</v>
      </c>
      <c r="L399" s="13">
        <f t="shared" si="133"/>
        <v>248147797.68414998</v>
      </c>
      <c r="M399" s="15">
        <f t="shared" si="126"/>
        <v>0.7132838319491589</v>
      </c>
      <c r="N399" s="13">
        <f t="shared" si="117"/>
        <v>34731.017023547269</v>
      </c>
      <c r="O399" s="13">
        <f t="shared" si="127"/>
        <v>5905479.1821512701</v>
      </c>
      <c r="P399" s="15">
        <f t="shared" si="120"/>
        <v>0.6248452326616355</v>
      </c>
      <c r="Q399" s="7">
        <f t="shared" si="128"/>
        <v>9451107.047733834</v>
      </c>
      <c r="R399" s="7">
        <f t="shared" si="118"/>
        <v>3545627.8655825639</v>
      </c>
      <c r="S399" s="13">
        <f>IF('Calc (3)'!$AD$32="Sim",R399,Q399)</f>
        <v>3545627.8655825639</v>
      </c>
      <c r="T399" s="9">
        <f t="shared" si="129"/>
        <v>395</v>
      </c>
      <c r="U399" s="17">
        <f t="shared" ca="1" si="130"/>
        <v>57527</v>
      </c>
    </row>
    <row r="400" spans="2:21" x14ac:dyDescent="0.2">
      <c r="B400" s="17">
        <f t="shared" ca="1" si="121"/>
        <v>57527</v>
      </c>
      <c r="C400" s="9">
        <f t="shared" si="131"/>
        <v>396</v>
      </c>
      <c r="D400" s="9">
        <v>33</v>
      </c>
      <c r="E400" s="13">
        <f t="shared" si="122"/>
        <v>5003.1885420338913</v>
      </c>
      <c r="F400" s="14">
        <f t="shared" si="132"/>
        <v>1021592.0234961497</v>
      </c>
      <c r="G400" s="15">
        <f t="shared" si="123"/>
        <v>0.28593136309239003</v>
      </c>
      <c r="H400" s="13">
        <f t="shared" si="116"/>
        <v>94111.093785116216</v>
      </c>
      <c r="I400" s="13">
        <f t="shared" si="124"/>
        <v>8528629.3065648396</v>
      </c>
      <c r="J400" s="15">
        <f t="shared" si="119"/>
        <v>0.71406863690760991</v>
      </c>
      <c r="K400" s="13">
        <f t="shared" si="125"/>
        <v>2551265.5058335494</v>
      </c>
      <c r="L400" s="13">
        <f t="shared" si="133"/>
        <v>250699063.18998352</v>
      </c>
      <c r="M400" s="15">
        <f t="shared" si="126"/>
        <v>0.71406863690761002</v>
      </c>
      <c r="N400" s="13">
        <f t="shared" si="117"/>
        <v>35095.243119960636</v>
      </c>
      <c r="O400" s="13">
        <f t="shared" si="127"/>
        <v>5977363.8007312864</v>
      </c>
      <c r="P400" s="15">
        <f t="shared" si="120"/>
        <v>0.62588746314354959</v>
      </c>
      <c r="Q400" s="7">
        <f t="shared" si="128"/>
        <v>9550221.3300609849</v>
      </c>
      <c r="R400" s="7">
        <f t="shared" si="118"/>
        <v>3572857.529329699</v>
      </c>
      <c r="S400" s="13">
        <f>IF('Calc (3)'!$AD$32="Sim",R400,Q400)</f>
        <v>3572857.529329699</v>
      </c>
      <c r="T400" s="9">
        <f t="shared" si="129"/>
        <v>396</v>
      </c>
      <c r="U400" s="17">
        <f t="shared" ca="1" si="130"/>
        <v>57558</v>
      </c>
    </row>
    <row r="401" spans="2:21" x14ac:dyDescent="0.2">
      <c r="B401" s="17">
        <f t="shared" ca="1" si="121"/>
        <v>57558</v>
      </c>
      <c r="C401" s="9">
        <f t="shared" si="131"/>
        <v>397</v>
      </c>
      <c r="D401" s="9"/>
      <c r="E401" s="13">
        <f t="shared" si="122"/>
        <v>5023.5721514670686</v>
      </c>
      <c r="F401" s="14">
        <f t="shared" si="132"/>
        <v>1026615.5956476168</v>
      </c>
      <c r="G401" s="15">
        <f t="shared" si="123"/>
        <v>0.28514896641268872</v>
      </c>
      <c r="H401" s="13">
        <f t="shared" si="116"/>
        <v>95098.042030694662</v>
      </c>
      <c r="I401" s="13">
        <f t="shared" si="124"/>
        <v>8623727.3485955335</v>
      </c>
      <c r="J401" s="15">
        <f t="shared" si="119"/>
        <v>0.71485103358731128</v>
      </c>
      <c r="K401" s="13">
        <f t="shared" si="125"/>
        <v>2573662.5626881304</v>
      </c>
      <c r="L401" s="13">
        <f t="shared" si="133"/>
        <v>253272725.75267166</v>
      </c>
      <c r="M401" s="15">
        <f t="shared" si="126"/>
        <v>0.71485103358731128</v>
      </c>
      <c r="N401" s="13">
        <f t="shared" si="117"/>
        <v>35463.170968944156</v>
      </c>
      <c r="O401" s="13">
        <f t="shared" si="127"/>
        <v>6050064.7859073989</v>
      </c>
      <c r="P401" s="15">
        <f t="shared" si="120"/>
        <v>0.62692743883433988</v>
      </c>
      <c r="Q401" s="7">
        <f t="shared" si="128"/>
        <v>9650342.9442431461</v>
      </c>
      <c r="R401" s="7">
        <f t="shared" si="118"/>
        <v>3600278.1583357472</v>
      </c>
      <c r="S401" s="13">
        <f>IF('Calc (3)'!$AD$32="Sim",R401,Q401)</f>
        <v>3600278.1583357472</v>
      </c>
      <c r="T401" s="9">
        <f t="shared" si="129"/>
        <v>397</v>
      </c>
      <c r="U401" s="17">
        <f t="shared" ca="1" si="130"/>
        <v>57589</v>
      </c>
    </row>
    <row r="402" spans="2:21" x14ac:dyDescent="0.2">
      <c r="B402" s="17">
        <f t="shared" ca="1" si="121"/>
        <v>57589</v>
      </c>
      <c r="C402" s="9">
        <f t="shared" si="131"/>
        <v>398</v>
      </c>
      <c r="D402" s="9"/>
      <c r="E402" s="13">
        <f t="shared" si="122"/>
        <v>5044.0388062482343</v>
      </c>
      <c r="F402" s="14">
        <f t="shared" si="132"/>
        <v>1031659.634453865</v>
      </c>
      <c r="G402" s="15">
        <f t="shared" si="123"/>
        <v>0.28436896959491775</v>
      </c>
      <c r="H402" s="13">
        <f t="shared" si="116"/>
        <v>96095.020963916453</v>
      </c>
      <c r="I402" s="13">
        <f t="shared" si="124"/>
        <v>8719822.3695594501</v>
      </c>
      <c r="J402" s="15">
        <f t="shared" si="119"/>
        <v>0.71563103040508225</v>
      </c>
      <c r="K402" s="13">
        <f t="shared" si="125"/>
        <v>2596231.3971290085</v>
      </c>
      <c r="L402" s="13">
        <f t="shared" si="133"/>
        <v>255868957.14980066</v>
      </c>
      <c r="M402" s="15">
        <f t="shared" si="126"/>
        <v>0.71563103040508225</v>
      </c>
      <c r="N402" s="13">
        <f t="shared" si="117"/>
        <v>35834.837736538902</v>
      </c>
      <c r="O402" s="13">
        <f t="shared" si="127"/>
        <v>6123590.9724304378</v>
      </c>
      <c r="P402" s="15">
        <f t="shared" si="120"/>
        <v>0.62796516159392168</v>
      </c>
      <c r="Q402" s="7">
        <f t="shared" si="128"/>
        <v>9751482.0040133111</v>
      </c>
      <c r="R402" s="7">
        <f t="shared" si="118"/>
        <v>3627891.0315828733</v>
      </c>
      <c r="S402" s="13">
        <f>IF('Calc (3)'!$AD$32="Sim",R402,Q402)</f>
        <v>3627891.0315828733</v>
      </c>
      <c r="T402" s="9">
        <f t="shared" si="129"/>
        <v>398</v>
      </c>
      <c r="U402" s="17">
        <f t="shared" ca="1" si="130"/>
        <v>57619</v>
      </c>
    </row>
    <row r="403" spans="2:21" x14ac:dyDescent="0.2">
      <c r="B403" s="17">
        <f t="shared" ca="1" si="121"/>
        <v>57619</v>
      </c>
      <c r="C403" s="9">
        <f t="shared" si="131"/>
        <v>399</v>
      </c>
      <c r="D403" s="9"/>
      <c r="E403" s="13">
        <f t="shared" si="122"/>
        <v>5064.5888447144152</v>
      </c>
      <c r="F403" s="14">
        <f t="shared" si="132"/>
        <v>1036724.2232985795</v>
      </c>
      <c r="G403" s="15">
        <f t="shared" si="123"/>
        <v>0.28359136425675363</v>
      </c>
      <c r="H403" s="13">
        <f t="shared" si="116"/>
        <v>97102.131294092076</v>
      </c>
      <c r="I403" s="13">
        <f t="shared" si="124"/>
        <v>8816924.5008535422</v>
      </c>
      <c r="J403" s="15">
        <f t="shared" si="119"/>
        <v>0.71640863574324642</v>
      </c>
      <c r="K403" s="13">
        <f t="shared" si="125"/>
        <v>2618973.2131013731</v>
      </c>
      <c r="L403" s="13">
        <f t="shared" si="133"/>
        <v>258487930.36290205</v>
      </c>
      <c r="M403" s="15">
        <f t="shared" si="126"/>
        <v>0.71640863574324631</v>
      </c>
      <c r="N403" s="13">
        <f t="shared" si="117"/>
        <v>36210.28096011679</v>
      </c>
      <c r="O403" s="13">
        <f t="shared" si="127"/>
        <v>6197951.2877521655</v>
      </c>
      <c r="P403" s="15">
        <f t="shared" si="120"/>
        <v>0.6290006332943926</v>
      </c>
      <c r="Q403" s="7">
        <f t="shared" si="128"/>
        <v>9853648.724152118</v>
      </c>
      <c r="R403" s="7">
        <f t="shared" si="118"/>
        <v>3655697.4363999525</v>
      </c>
      <c r="S403" s="13">
        <f>IF('Calc (3)'!$AD$32="Sim",R403,Q403)</f>
        <v>3655697.4363999525</v>
      </c>
      <c r="T403" s="9">
        <f t="shared" si="129"/>
        <v>399</v>
      </c>
      <c r="U403" s="17">
        <f t="shared" ca="1" si="130"/>
        <v>57650</v>
      </c>
    </row>
    <row r="404" spans="2:21" x14ac:dyDescent="0.2">
      <c r="B404" s="17">
        <f t="shared" ca="1" si="121"/>
        <v>57650</v>
      </c>
      <c r="C404" s="9">
        <f t="shared" si="131"/>
        <v>400</v>
      </c>
      <c r="D404" s="9"/>
      <c r="E404" s="13">
        <f t="shared" si="122"/>
        <v>5085.2226065810664</v>
      </c>
      <c r="F404" s="14">
        <f t="shared" si="132"/>
        <v>1041809.4459051605</v>
      </c>
      <c r="G404" s="15">
        <f t="shared" si="123"/>
        <v>0.28281614205018574</v>
      </c>
      <c r="H404" s="13">
        <f t="shared" si="116"/>
        <v>98119.474736732111</v>
      </c>
      <c r="I404" s="13">
        <f t="shared" si="124"/>
        <v>8915043.9755902737</v>
      </c>
      <c r="J404" s="15">
        <f t="shared" si="119"/>
        <v>0.71718385794981421</v>
      </c>
      <c r="K404" s="13">
        <f t="shared" si="125"/>
        <v>2641889.2226110497</v>
      </c>
      <c r="L404" s="13">
        <f t="shared" si="133"/>
        <v>261129819.58551309</v>
      </c>
      <c r="M404" s="15">
        <f t="shared" si="126"/>
        <v>0.71718385794981421</v>
      </c>
      <c r="N404" s="13">
        <f t="shared" si="117"/>
        <v>36589.538552083235</v>
      </c>
      <c r="O404" s="13">
        <f t="shared" si="127"/>
        <v>6273154.7529792199</v>
      </c>
      <c r="P404" s="15">
        <f t="shared" si="120"/>
        <v>0.63003385581998939</v>
      </c>
      <c r="Q404" s="7">
        <f t="shared" si="128"/>
        <v>9956853.4214954302</v>
      </c>
      <c r="R404" s="7">
        <f t="shared" si="118"/>
        <v>3683698.6685162103</v>
      </c>
      <c r="S404" s="13">
        <f>IF('Calc (3)'!$AD$32="Sim",R404,Q404)</f>
        <v>3683698.6685162103</v>
      </c>
      <c r="T404" s="9">
        <f t="shared" si="129"/>
        <v>400</v>
      </c>
      <c r="U404" s="17">
        <f t="shared" ca="1" si="130"/>
        <v>57680</v>
      </c>
    </row>
    <row r="405" spans="2:21" x14ac:dyDescent="0.2">
      <c r="B405" s="17">
        <f t="shared" ca="1" si="121"/>
        <v>57680</v>
      </c>
      <c r="C405" s="9">
        <f t="shared" si="131"/>
        <v>401</v>
      </c>
      <c r="D405" s="9"/>
      <c r="E405" s="13">
        <f t="shared" si="122"/>
        <v>5105.9404329476847</v>
      </c>
      <c r="F405" s="14">
        <f t="shared" si="132"/>
        <v>1046915.3863381082</v>
      </c>
      <c r="G405" s="15">
        <f t="shared" si="123"/>
        <v>0.28204329466133543</v>
      </c>
      <c r="H405" s="13">
        <f t="shared" si="116"/>
        <v>99147.154023580297</v>
      </c>
      <c r="I405" s="13">
        <f t="shared" si="124"/>
        <v>9014191.129613854</v>
      </c>
      <c r="J405" s="15">
        <f t="shared" si="119"/>
        <v>0.71795670533866462</v>
      </c>
      <c r="K405" s="13">
        <f t="shared" si="125"/>
        <v>2664980.6457770886</v>
      </c>
      <c r="L405" s="13">
        <f t="shared" si="133"/>
        <v>263794800.23129016</v>
      </c>
      <c r="M405" s="15">
        <f t="shared" si="126"/>
        <v>0.71795670533866462</v>
      </c>
      <c r="N405" s="13">
        <f t="shared" si="117"/>
        <v>36972.648803616714</v>
      </c>
      <c r="O405" s="13">
        <f t="shared" si="127"/>
        <v>6349210.4838367607</v>
      </c>
      <c r="P405" s="15">
        <f t="shared" si="120"/>
        <v>0.63106483106704425</v>
      </c>
      <c r="Q405" s="7">
        <f t="shared" si="128"/>
        <v>10061106.515951958</v>
      </c>
      <c r="R405" s="7">
        <f t="shared" si="118"/>
        <v>3711896.0321151968</v>
      </c>
      <c r="S405" s="13">
        <f>IF('Calc (3)'!$AD$32="Sim",R405,Q405)</f>
        <v>3711896.0321151968</v>
      </c>
      <c r="T405" s="9">
        <f t="shared" si="129"/>
        <v>401</v>
      </c>
      <c r="U405" s="17">
        <f t="shared" ca="1" si="130"/>
        <v>57711</v>
      </c>
    </row>
    <row r="406" spans="2:21" x14ac:dyDescent="0.2">
      <c r="B406" s="17">
        <f t="shared" ca="1" si="121"/>
        <v>57711</v>
      </c>
      <c r="C406" s="9">
        <f t="shared" si="131"/>
        <v>402</v>
      </c>
      <c r="D406" s="9"/>
      <c r="E406" s="13">
        <f t="shared" si="122"/>
        <v>5126.7426663034485</v>
      </c>
      <c r="F406" s="14">
        <f t="shared" si="132"/>
        <v>1052042.1290044116</v>
      </c>
      <c r="G406" s="15">
        <f t="shared" si="123"/>
        <v>0.28127281381027619</v>
      </c>
      <c r="H406" s="13">
        <f t="shared" si="116"/>
        <v>100185.27291274676</v>
      </c>
      <c r="I406" s="13">
        <f t="shared" si="124"/>
        <v>9114376.4025266003</v>
      </c>
      <c r="J406" s="15">
        <f t="shared" si="119"/>
        <v>0.71872718618972375</v>
      </c>
      <c r="K406" s="13">
        <f t="shared" si="125"/>
        <v>2688248.7108846996</v>
      </c>
      <c r="L406" s="13">
        <f t="shared" si="133"/>
        <v>266483048.94217485</v>
      </c>
      <c r="M406" s="15">
        <f t="shared" si="126"/>
        <v>0.71872718618972375</v>
      </c>
      <c r="N406" s="13">
        <f t="shared" si="117"/>
        <v>37359.65038844556</v>
      </c>
      <c r="O406" s="13">
        <f t="shared" si="127"/>
        <v>6426127.691641897</v>
      </c>
      <c r="P406" s="15">
        <f t="shared" si="120"/>
        <v>0.63209356094394009</v>
      </c>
      <c r="Q406" s="7">
        <f t="shared" si="128"/>
        <v>10166418.531531008</v>
      </c>
      <c r="R406" s="7">
        <f t="shared" si="118"/>
        <v>3740290.8398891115</v>
      </c>
      <c r="S406" s="13">
        <f>IF('Calc (3)'!$AD$32="Sim",R406,Q406)</f>
        <v>3740290.8398891115</v>
      </c>
      <c r="T406" s="9">
        <f t="shared" si="129"/>
        <v>402</v>
      </c>
      <c r="U406" s="17">
        <f t="shared" ca="1" si="130"/>
        <v>57742</v>
      </c>
    </row>
    <row r="407" spans="2:21" x14ac:dyDescent="0.2">
      <c r="B407" s="17">
        <f t="shared" ca="1" si="121"/>
        <v>57742</v>
      </c>
      <c r="C407" s="9">
        <f t="shared" si="131"/>
        <v>403</v>
      </c>
      <c r="D407" s="9"/>
      <c r="E407" s="13">
        <f t="shared" si="122"/>
        <v>5147.6296505328801</v>
      </c>
      <c r="F407" s="14">
        <f t="shared" si="132"/>
        <v>1057189.7586549446</v>
      </c>
      <c r="G407" s="15">
        <f t="shared" si="123"/>
        <v>0.28050469125085553</v>
      </c>
      <c r="H407" s="13">
        <f t="shared" si="116"/>
        <v>101233.93619894201</v>
      </c>
      <c r="I407" s="13">
        <f t="shared" si="124"/>
        <v>9215610.3387255426</v>
      </c>
      <c r="J407" s="15">
        <f t="shared" si="119"/>
        <v>0.71949530874914447</v>
      </c>
      <c r="K407" s="13">
        <f t="shared" si="125"/>
        <v>2711694.6544385217</v>
      </c>
      <c r="L407" s="13">
        <f t="shared" si="133"/>
        <v>269194743.59661335</v>
      </c>
      <c r="M407" s="15">
        <f t="shared" si="126"/>
        <v>0.71949530874914447</v>
      </c>
      <c r="N407" s="13">
        <f t="shared" si="117"/>
        <v>37750.582366662406</v>
      </c>
      <c r="O407" s="13">
        <f t="shared" si="127"/>
        <v>6503915.6842870172</v>
      </c>
      <c r="P407" s="15">
        <f t="shared" si="120"/>
        <v>0.63312004737106542</v>
      </c>
      <c r="Q407" s="7">
        <f t="shared" si="128"/>
        <v>10272800.097380484</v>
      </c>
      <c r="R407" s="7">
        <f t="shared" si="118"/>
        <v>3768884.4130934663</v>
      </c>
      <c r="S407" s="13">
        <f>IF('Calc (3)'!$AD$32="Sim",R407,Q407)</f>
        <v>3768884.4130934663</v>
      </c>
      <c r="T407" s="9">
        <f t="shared" si="129"/>
        <v>403</v>
      </c>
      <c r="U407" s="17">
        <f t="shared" ca="1" si="130"/>
        <v>57770</v>
      </c>
    </row>
    <row r="408" spans="2:21" x14ac:dyDescent="0.2">
      <c r="B408" s="17">
        <f t="shared" ca="1" si="121"/>
        <v>57770</v>
      </c>
      <c r="C408" s="9">
        <f t="shared" si="131"/>
        <v>404</v>
      </c>
      <c r="D408" s="9"/>
      <c r="E408" s="13">
        <f t="shared" si="122"/>
        <v>5168.6017309215295</v>
      </c>
      <c r="F408" s="14">
        <f t="shared" si="132"/>
        <v>1062358.3603858661</v>
      </c>
      <c r="G408" s="15">
        <f t="shared" si="123"/>
        <v>0.27973891877051754</v>
      </c>
      <c r="H408" s="13">
        <f t="shared" si="116"/>
        <v>102293.24972381296</v>
      </c>
      <c r="I408" s="13">
        <f t="shared" si="124"/>
        <v>9317903.5884493552</v>
      </c>
      <c r="J408" s="15">
        <f t="shared" si="119"/>
        <v>0.72026108122948251</v>
      </c>
      <c r="K408" s="13">
        <f t="shared" si="125"/>
        <v>2735319.721216239</v>
      </c>
      <c r="L408" s="13">
        <f t="shared" si="133"/>
        <v>271930063.31782961</v>
      </c>
      <c r="M408" s="15">
        <f t="shared" si="126"/>
        <v>0.72026108122948251</v>
      </c>
      <c r="N408" s="13">
        <f t="shared" si="117"/>
        <v>38145.484188576615</v>
      </c>
      <c r="O408" s="13">
        <f t="shared" si="127"/>
        <v>6582583.8672331134</v>
      </c>
      <c r="P408" s="15">
        <f t="shared" si="120"/>
        <v>0.63414429228076974</v>
      </c>
      <c r="Q408" s="7">
        <f t="shared" si="128"/>
        <v>10380261.948835218</v>
      </c>
      <c r="R408" s="7">
        <f t="shared" si="118"/>
        <v>3797678.0816021049</v>
      </c>
      <c r="S408" s="13">
        <f>IF('Calc (3)'!$AD$32="Sim",R408,Q408)</f>
        <v>3797678.0816021049</v>
      </c>
      <c r="T408" s="9">
        <f t="shared" si="129"/>
        <v>404</v>
      </c>
      <c r="U408" s="17">
        <f t="shared" ca="1" si="130"/>
        <v>57801</v>
      </c>
    </row>
    <row r="409" spans="2:21" x14ac:dyDescent="0.2">
      <c r="B409" s="17">
        <f t="shared" ca="1" si="121"/>
        <v>57801</v>
      </c>
      <c r="C409" s="9">
        <f t="shared" si="131"/>
        <v>405</v>
      </c>
      <c r="D409" s="9"/>
      <c r="E409" s="13">
        <f t="shared" si="122"/>
        <v>5189.6592541616828</v>
      </c>
      <c r="F409" s="14">
        <f t="shared" si="132"/>
        <v>1067548.0196400278</v>
      </c>
      <c r="G409" s="15">
        <f t="shared" si="123"/>
        <v>0.27897548819012791</v>
      </c>
      <c r="H409" s="13">
        <f t="shared" si="116"/>
        <v>103363.32038638192</v>
      </c>
      <c r="I409" s="13">
        <f t="shared" si="124"/>
        <v>9421266.908835737</v>
      </c>
      <c r="J409" s="15">
        <f t="shared" si="119"/>
        <v>0.72102451180987215</v>
      </c>
      <c r="K409" s="13">
        <f t="shared" si="125"/>
        <v>2759125.1643225374</v>
      </c>
      <c r="L409" s="13">
        <f t="shared" si="133"/>
        <v>274689188.48215216</v>
      </c>
      <c r="M409" s="15">
        <f t="shared" si="126"/>
        <v>0.72102451180987215</v>
      </c>
      <c r="N409" s="13">
        <f t="shared" si="117"/>
        <v>38544.395698605113</v>
      </c>
      <c r="O409" s="13">
        <f t="shared" si="127"/>
        <v>6662141.7445131969</v>
      </c>
      <c r="P409" s="15">
        <f t="shared" si="120"/>
        <v>0.63516629761731735</v>
      </c>
      <c r="Q409" s="7">
        <f t="shared" si="128"/>
        <v>10488814.928475762</v>
      </c>
      <c r="R409" s="7">
        <f t="shared" si="118"/>
        <v>3826673.1839625649</v>
      </c>
      <c r="S409" s="13">
        <f>IF('Calc (3)'!$AD$32="Sim",R409,Q409)</f>
        <v>3826673.1839625649</v>
      </c>
      <c r="T409" s="9">
        <f t="shared" si="129"/>
        <v>405</v>
      </c>
      <c r="U409" s="17">
        <f t="shared" ca="1" si="130"/>
        <v>57831</v>
      </c>
    </row>
    <row r="410" spans="2:21" x14ac:dyDescent="0.2">
      <c r="B410" s="17">
        <f t="shared" ca="1" si="121"/>
        <v>57831</v>
      </c>
      <c r="C410" s="9">
        <f t="shared" si="131"/>
        <v>406</v>
      </c>
      <c r="D410" s="9"/>
      <c r="E410" s="13">
        <f t="shared" si="122"/>
        <v>5210.8025683580936</v>
      </c>
      <c r="F410" s="14">
        <f t="shared" si="132"/>
        <v>1072758.8222083859</v>
      </c>
      <c r="G410" s="15">
        <f t="shared" si="123"/>
        <v>0.27821439136379966</v>
      </c>
      <c r="H410" s="13">
        <f t="shared" si="116"/>
        <v>104444.2561535897</v>
      </c>
      <c r="I410" s="13">
        <f t="shared" si="124"/>
        <v>9525711.1649893261</v>
      </c>
      <c r="J410" s="15">
        <f t="shared" si="119"/>
        <v>0.72178560863620034</v>
      </c>
      <c r="K410" s="13">
        <f t="shared" si="125"/>
        <v>2783112.2452434101</v>
      </c>
      <c r="L410" s="13">
        <f t="shared" si="133"/>
        <v>277472300.72739559</v>
      </c>
      <c r="M410" s="15">
        <f t="shared" si="126"/>
        <v>0.72178560863620034</v>
      </c>
      <c r="N410" s="13">
        <f t="shared" si="117"/>
        <v>38947.357139201973</v>
      </c>
      <c r="O410" s="13">
        <f t="shared" si="127"/>
        <v>6742598.9197459128</v>
      </c>
      <c r="P410" s="15">
        <f t="shared" si="120"/>
        <v>0.6361860653368413</v>
      </c>
      <c r="Q410" s="7">
        <f t="shared" si="128"/>
        <v>10598469.987197708</v>
      </c>
      <c r="R410" s="7">
        <f t="shared" si="118"/>
        <v>3855871.067451796</v>
      </c>
      <c r="S410" s="13">
        <f>IF('Calc (3)'!$AD$32="Sim",R410,Q410)</f>
        <v>3855871.067451796</v>
      </c>
      <c r="T410" s="9">
        <f t="shared" si="129"/>
        <v>406</v>
      </c>
      <c r="U410" s="17">
        <f t="shared" ca="1" si="130"/>
        <v>57862</v>
      </c>
    </row>
    <row r="411" spans="2:21" x14ac:dyDescent="0.2">
      <c r="B411" s="17">
        <f t="shared" ca="1" si="121"/>
        <v>57862</v>
      </c>
      <c r="C411" s="9">
        <f t="shared" si="131"/>
        <v>407</v>
      </c>
      <c r="D411" s="9"/>
      <c r="E411" s="13">
        <f t="shared" si="122"/>
        <v>5232.0320230337375</v>
      </c>
      <c r="F411" s="14">
        <f t="shared" si="132"/>
        <v>1077990.8542314197</v>
      </c>
      <c r="G411" s="15">
        <f t="shared" si="123"/>
        <v>0.27745562017872011</v>
      </c>
      <c r="H411" s="13">
        <f t="shared" si="116"/>
        <v>105536.16607094355</v>
      </c>
      <c r="I411" s="13">
        <f t="shared" si="124"/>
        <v>9631247.3310602698</v>
      </c>
      <c r="J411" s="15">
        <f t="shared" si="119"/>
        <v>0.72254437982127984</v>
      </c>
      <c r="K411" s="13">
        <f t="shared" si="125"/>
        <v>2807282.2339008134</v>
      </c>
      <c r="L411" s="13">
        <f t="shared" si="133"/>
        <v>280279582.96129638</v>
      </c>
      <c r="M411" s="15">
        <f t="shared" si="126"/>
        <v>0.72254437982127995</v>
      </c>
      <c r="N411" s="13">
        <f t="shared" si="117"/>
        <v>39354.409154827175</v>
      </c>
      <c r="O411" s="13">
        <f t="shared" si="127"/>
        <v>6823965.0971594527</v>
      </c>
      <c r="P411" s="15">
        <f t="shared" si="120"/>
        <v>0.63720359740729682</v>
      </c>
      <c r="Q411" s="7">
        <f t="shared" si="128"/>
        <v>10709238.185291685</v>
      </c>
      <c r="R411" s="7">
        <f t="shared" si="118"/>
        <v>3885273.0881322329</v>
      </c>
      <c r="S411" s="13">
        <f>IF('Calc (3)'!$AD$32="Sim",R411,Q411)</f>
        <v>3885273.0881322329</v>
      </c>
      <c r="T411" s="9">
        <f t="shared" si="129"/>
        <v>407</v>
      </c>
      <c r="U411" s="17">
        <f t="shared" ca="1" si="130"/>
        <v>57892</v>
      </c>
    </row>
    <row r="412" spans="2:21" x14ac:dyDescent="0.2">
      <c r="B412" s="17">
        <f t="shared" ca="1" si="121"/>
        <v>57892</v>
      </c>
      <c r="C412" s="9">
        <f t="shared" si="131"/>
        <v>408</v>
      </c>
      <c r="D412" s="9">
        <v>34</v>
      </c>
      <c r="E412" s="13">
        <f t="shared" si="122"/>
        <v>5253.3479691355888</v>
      </c>
      <c r="F412" s="14">
        <f t="shared" si="132"/>
        <v>1083244.2022005552</v>
      </c>
      <c r="G412" s="15">
        <f t="shared" si="123"/>
        <v>0.27669916655497973</v>
      </c>
      <c r="H412" s="13">
        <f t="shared" si="116"/>
        <v>106639.16027327144</v>
      </c>
      <c r="I412" s="13">
        <f t="shared" si="124"/>
        <v>9737886.4913335405</v>
      </c>
      <c r="J412" s="15">
        <f t="shared" si="119"/>
        <v>0.72330083344502027</v>
      </c>
      <c r="K412" s="13">
        <f t="shared" si="125"/>
        <v>2831636.4087076681</v>
      </c>
      <c r="L412" s="13">
        <f t="shared" si="133"/>
        <v>283111219.37000406</v>
      </c>
      <c r="M412" s="15">
        <f t="shared" si="126"/>
        <v>0.72330083344502027</v>
      </c>
      <c r="N412" s="13">
        <f t="shared" si="117"/>
        <v>39765.592795954821</v>
      </c>
      <c r="O412" s="13">
        <f t="shared" si="127"/>
        <v>6906250.0826258678</v>
      </c>
      <c r="P412" s="15">
        <f t="shared" si="120"/>
        <v>0.63821889580841429</v>
      </c>
      <c r="Q412" s="7">
        <f t="shared" si="128"/>
        <v>10821130.693534091</v>
      </c>
      <c r="R412" s="7">
        <f t="shared" si="118"/>
        <v>3914880.6109082233</v>
      </c>
      <c r="S412" s="13">
        <f>IF('Calc (3)'!$AD$32="Sim",R412,Q412)</f>
        <v>3914880.6109082233</v>
      </c>
      <c r="T412" s="9">
        <f t="shared" si="129"/>
        <v>408</v>
      </c>
      <c r="U412" s="17">
        <f t="shared" ca="1" si="130"/>
        <v>57923</v>
      </c>
    </row>
    <row r="413" spans="2:21" x14ac:dyDescent="0.2">
      <c r="B413" s="17">
        <f t="shared" ca="1" si="121"/>
        <v>57923</v>
      </c>
      <c r="C413" s="9">
        <f t="shared" si="131"/>
        <v>409</v>
      </c>
      <c r="D413" s="9"/>
      <c r="E413" s="13">
        <f t="shared" si="122"/>
        <v>5274.7507590404248</v>
      </c>
      <c r="F413" s="14">
        <f t="shared" si="132"/>
        <v>1088518.9529595957</v>
      </c>
      <c r="G413" s="15">
        <f t="shared" si="123"/>
        <v>0.27594502244540214</v>
      </c>
      <c r="H413" s="13">
        <f t="shared" si="116"/>
        <v>107753.34999558316</v>
      </c>
      <c r="I413" s="13">
        <f t="shared" si="124"/>
        <v>9845639.8413291238</v>
      </c>
      <c r="J413" s="15">
        <f t="shared" si="119"/>
        <v>0.72405497755459791</v>
      </c>
      <c r="K413" s="13">
        <f t="shared" si="125"/>
        <v>2856176.0566232195</v>
      </c>
      <c r="L413" s="13">
        <f t="shared" si="133"/>
        <v>285967395.42662728</v>
      </c>
      <c r="M413" s="15">
        <f t="shared" si="126"/>
        <v>0.72405497755459791</v>
      </c>
      <c r="N413" s="13">
        <f t="shared" si="117"/>
        <v>40180.949523121439</v>
      </c>
      <c r="O413" s="13">
        <f t="shared" si="127"/>
        <v>6989463.7847058997</v>
      </c>
      <c r="P413" s="15">
        <f t="shared" si="120"/>
        <v>0.63923196253165226</v>
      </c>
      <c r="Q413" s="7">
        <f t="shared" si="128"/>
        <v>10934158.794288715</v>
      </c>
      <c r="R413" s="7">
        <f t="shared" si="118"/>
        <v>3944695.0095828152</v>
      </c>
      <c r="S413" s="13">
        <f>IF('Calc (3)'!$AD$32="Sim",R413,Q413)</f>
        <v>3944695.0095828152</v>
      </c>
      <c r="T413" s="9">
        <f t="shared" si="129"/>
        <v>409</v>
      </c>
      <c r="U413" s="17">
        <f t="shared" ca="1" si="130"/>
        <v>57954</v>
      </c>
    </row>
    <row r="414" spans="2:21" x14ac:dyDescent="0.2">
      <c r="B414" s="17">
        <f t="shared" ca="1" si="121"/>
        <v>57954</v>
      </c>
      <c r="C414" s="9">
        <f t="shared" si="131"/>
        <v>410</v>
      </c>
      <c r="D414" s="9"/>
      <c r="E414" s="13">
        <f t="shared" si="122"/>
        <v>5296.2407465606484</v>
      </c>
      <c r="F414" s="14">
        <f t="shared" si="132"/>
        <v>1093815.1937061565</v>
      </c>
      <c r="G414" s="15">
        <f t="shared" si="123"/>
        <v>0.275193179835375</v>
      </c>
      <c r="H414" s="13">
        <f t="shared" si="116"/>
        <v>108878.84758404002</v>
      </c>
      <c r="I414" s="13">
        <f t="shared" si="124"/>
        <v>9954518.6889131647</v>
      </c>
      <c r="J414" s="15">
        <f t="shared" si="119"/>
        <v>0.72480682016462494</v>
      </c>
      <c r="K414" s="13">
        <f t="shared" si="125"/>
        <v>2880902.4732087515</v>
      </c>
      <c r="L414" s="13">
        <f t="shared" si="133"/>
        <v>288848297.899836</v>
      </c>
      <c r="M414" s="15">
        <f t="shared" si="126"/>
        <v>0.72480682016462505</v>
      </c>
      <c r="N414" s="13">
        <f t="shared" si="117"/>
        <v>40600.521211014442</v>
      </c>
      <c r="O414" s="13">
        <f t="shared" si="127"/>
        <v>7073616.2157044094</v>
      </c>
      <c r="P414" s="15">
        <f t="shared" si="120"/>
        <v>0.64024279958014907</v>
      </c>
      <c r="Q414" s="7">
        <f t="shared" si="128"/>
        <v>11048333.882619318</v>
      </c>
      <c r="R414" s="7">
        <f t="shared" si="118"/>
        <v>3974717.6669149077</v>
      </c>
      <c r="S414" s="13">
        <f>IF('Calc (3)'!$AD$32="Sim",R414,Q414)</f>
        <v>3974717.6669149077</v>
      </c>
      <c r="T414" s="9">
        <f t="shared" si="129"/>
        <v>410</v>
      </c>
      <c r="U414" s="17">
        <f t="shared" ca="1" si="130"/>
        <v>57984</v>
      </c>
    </row>
    <row r="415" spans="2:21" x14ac:dyDescent="0.2">
      <c r="B415" s="17">
        <f t="shared" ca="1" si="121"/>
        <v>57984</v>
      </c>
      <c r="C415" s="9">
        <f t="shared" si="131"/>
        <v>411</v>
      </c>
      <c r="D415" s="9"/>
      <c r="E415" s="13">
        <f t="shared" si="122"/>
        <v>5317.8182869501388</v>
      </c>
      <c r="F415" s="14">
        <f t="shared" si="132"/>
        <v>1099133.0119931067</v>
      </c>
      <c r="G415" s="15">
        <f t="shared" si="123"/>
        <v>0.27444363074268285</v>
      </c>
      <c r="H415" s="13">
        <f t="shared" si="116"/>
        <v>110015.76650703346</v>
      </c>
      <c r="I415" s="13">
        <f t="shared" si="124"/>
        <v>10064534.455420198</v>
      </c>
      <c r="J415" s="15">
        <f t="shared" si="119"/>
        <v>0.72555636925731715</v>
      </c>
      <c r="K415" s="13">
        <f t="shared" si="125"/>
        <v>2905816.9626836572</v>
      </c>
      <c r="L415" s="13">
        <f t="shared" si="133"/>
        <v>291754114.86251968</v>
      </c>
      <c r="M415" s="15">
        <f t="shared" si="126"/>
        <v>0.72555636925731726</v>
      </c>
      <c r="N415" s="13">
        <f t="shared" si="117"/>
        <v>41024.350152601459</v>
      </c>
      <c r="O415" s="13">
        <f t="shared" si="127"/>
        <v>7158717.492736537</v>
      </c>
      <c r="P415" s="15">
        <f t="shared" si="120"/>
        <v>0.64125140896867483</v>
      </c>
      <c r="Q415" s="7">
        <f t="shared" si="128"/>
        <v>11163667.467413301</v>
      </c>
      <c r="R415" s="7">
        <f t="shared" si="118"/>
        <v>4004949.9746767636</v>
      </c>
      <c r="S415" s="13">
        <f>IF('Calc (3)'!$AD$32="Sim",R415,Q415)</f>
        <v>4004949.9746767636</v>
      </c>
      <c r="T415" s="9">
        <f t="shared" si="129"/>
        <v>411</v>
      </c>
      <c r="U415" s="17">
        <f t="shared" ca="1" si="130"/>
        <v>58015</v>
      </c>
    </row>
    <row r="416" spans="2:21" x14ac:dyDescent="0.2">
      <c r="B416" s="17">
        <f t="shared" ca="1" si="121"/>
        <v>58015</v>
      </c>
      <c r="C416" s="9">
        <f t="shared" si="131"/>
        <v>412</v>
      </c>
      <c r="D416" s="9"/>
      <c r="E416" s="13">
        <f t="shared" si="122"/>
        <v>5339.4837369101224</v>
      </c>
      <c r="F416" s="14">
        <f t="shared" si="132"/>
        <v>1104472.4957300168</v>
      </c>
      <c r="G416" s="15">
        <f t="shared" si="123"/>
        <v>0.27369636721734059</v>
      </c>
      <c r="H416" s="13">
        <f t="shared" si="116"/>
        <v>111164.22136637427</v>
      </c>
      <c r="I416" s="13">
        <f t="shared" si="124"/>
        <v>10175698.676786572</v>
      </c>
      <c r="J416" s="15">
        <f t="shared" si="119"/>
        <v>0.72630363278265941</v>
      </c>
      <c r="K416" s="13">
        <f t="shared" si="125"/>
        <v>2930920.8379818704</v>
      </c>
      <c r="L416" s="13">
        <f t="shared" si="133"/>
        <v>294685035.70050156</v>
      </c>
      <c r="M416" s="15">
        <f t="shared" si="126"/>
        <v>0.72630363278265941</v>
      </c>
      <c r="N416" s="13">
        <f t="shared" si="117"/>
        <v>41452.479063300721</v>
      </c>
      <c r="O416" s="13">
        <f t="shared" si="127"/>
        <v>7244777.8388046976</v>
      </c>
      <c r="P416" s="15">
        <f t="shared" si="120"/>
        <v>0.64225779272358341</v>
      </c>
      <c r="Q416" s="7">
        <f t="shared" si="128"/>
        <v>11280171.172516584</v>
      </c>
      <c r="R416" s="7">
        <f t="shared" si="118"/>
        <v>4035393.3337118872</v>
      </c>
      <c r="S416" s="13">
        <f>IF('Calc (3)'!$AD$32="Sim",R416,Q416)</f>
        <v>4035393.3337118872</v>
      </c>
      <c r="T416" s="9">
        <f t="shared" si="129"/>
        <v>412</v>
      </c>
      <c r="U416" s="17">
        <f t="shared" ca="1" si="130"/>
        <v>58045</v>
      </c>
    </row>
    <row r="417" spans="2:21" x14ac:dyDescent="0.2">
      <c r="B417" s="17">
        <f t="shared" ca="1" si="121"/>
        <v>58045</v>
      </c>
      <c r="C417" s="9">
        <f t="shared" si="131"/>
        <v>413</v>
      </c>
      <c r="D417" s="9"/>
      <c r="E417" s="13">
        <f t="shared" si="122"/>
        <v>5361.2374545950715</v>
      </c>
      <c r="F417" s="14">
        <f t="shared" si="132"/>
        <v>1109833.7331846119</v>
      </c>
      <c r="G417" s="15">
        <f t="shared" si="123"/>
        <v>0.27295138134142882</v>
      </c>
      <c r="H417" s="13">
        <f t="shared" si="116"/>
        <v>112324.32790859333</v>
      </c>
      <c r="I417" s="13">
        <f t="shared" si="124"/>
        <v>10288023.004695166</v>
      </c>
      <c r="J417" s="15">
        <f t="shared" si="119"/>
        <v>0.72704861865857118</v>
      </c>
      <c r="K417" s="13">
        <f t="shared" si="125"/>
        <v>2956215.4208086613</v>
      </c>
      <c r="L417" s="13">
        <f t="shared" si="133"/>
        <v>297641251.12131023</v>
      </c>
      <c r="M417" s="15">
        <f t="shared" si="126"/>
        <v>0.72704861865857118</v>
      </c>
      <c r="N417" s="13">
        <f t="shared" si="117"/>
        <v>41884.951085193097</v>
      </c>
      <c r="O417" s="13">
        <f t="shared" si="127"/>
        <v>7331807.5838865004</v>
      </c>
      <c r="P417" s="15">
        <f t="shared" si="120"/>
        <v>0.64326195288276289</v>
      </c>
      <c r="Q417" s="7">
        <f t="shared" si="128"/>
        <v>11397856.737879774</v>
      </c>
      <c r="R417" s="7">
        <f t="shared" si="118"/>
        <v>4066049.1539932732</v>
      </c>
      <c r="S417" s="13">
        <f>IF('Calc (3)'!$AD$32="Sim",R417,Q417)</f>
        <v>4066049.1539932732</v>
      </c>
      <c r="T417" s="9">
        <f t="shared" si="129"/>
        <v>413</v>
      </c>
      <c r="U417" s="17">
        <f t="shared" ca="1" si="130"/>
        <v>58076</v>
      </c>
    </row>
    <row r="418" spans="2:21" x14ac:dyDescent="0.2">
      <c r="B418" s="17">
        <f t="shared" ca="1" si="121"/>
        <v>58076</v>
      </c>
      <c r="C418" s="9">
        <f t="shared" si="131"/>
        <v>414</v>
      </c>
      <c r="D418" s="9"/>
      <c r="E418" s="13">
        <f t="shared" si="122"/>
        <v>5383.0797996186238</v>
      </c>
      <c r="F418" s="14">
        <f t="shared" si="132"/>
        <v>1115216.8129842305</v>
      </c>
      <c r="G418" s="15">
        <f t="shared" si="123"/>
        <v>0.27220866522893017</v>
      </c>
      <c r="H418" s="13">
        <f t="shared" si="116"/>
        <v>113496.20303635471</v>
      </c>
      <c r="I418" s="13">
        <f t="shared" si="124"/>
        <v>10401519.207731521</v>
      </c>
      <c r="J418" s="15">
        <f t="shared" si="119"/>
        <v>0.72779133477106983</v>
      </c>
      <c r="K418" s="13">
        <f t="shared" si="125"/>
        <v>2981702.0416977913</v>
      </c>
      <c r="L418" s="13">
        <f t="shared" si="133"/>
        <v>300622953.16300803</v>
      </c>
      <c r="M418" s="15">
        <f t="shared" si="126"/>
        <v>0.72779133477106983</v>
      </c>
      <c r="N418" s="13">
        <f t="shared" si="117"/>
        <v>42321.809791275926</v>
      </c>
      <c r="O418" s="13">
        <f t="shared" si="127"/>
        <v>7419817.1660337253</v>
      </c>
      <c r="P418" s="15">
        <f t="shared" si="120"/>
        <v>0.64426389149558672</v>
      </c>
      <c r="Q418" s="7">
        <f t="shared" si="128"/>
        <v>11516736.020715747</v>
      </c>
      <c r="R418" s="7">
        <f t="shared" si="118"/>
        <v>4096918.8546820218</v>
      </c>
      <c r="S418" s="13">
        <f>IF('Calc (3)'!$AD$32="Sim",R418,Q418)</f>
        <v>4096918.8546820218</v>
      </c>
      <c r="T418" s="9">
        <f t="shared" si="129"/>
        <v>414</v>
      </c>
      <c r="U418" s="17">
        <f t="shared" ca="1" si="130"/>
        <v>58107</v>
      </c>
    </row>
    <row r="419" spans="2:21" x14ac:dyDescent="0.2">
      <c r="B419" s="17">
        <f t="shared" ca="1" si="121"/>
        <v>58107</v>
      </c>
      <c r="C419" s="9">
        <f t="shared" si="131"/>
        <v>415</v>
      </c>
      <c r="D419" s="9"/>
      <c r="E419" s="13">
        <f t="shared" si="122"/>
        <v>5405.0111330595273</v>
      </c>
      <c r="F419" s="14">
        <f t="shared" si="132"/>
        <v>1120621.8241172901</v>
      </c>
      <c r="G419" s="15">
        <f t="shared" si="123"/>
        <v>0.27146821102556673</v>
      </c>
      <c r="H419" s="13">
        <f t="shared" si="116"/>
        <v>114679.96481998262</v>
      </c>
      <c r="I419" s="13">
        <f t="shared" si="124"/>
        <v>10516199.172551503</v>
      </c>
      <c r="J419" s="15">
        <f t="shared" si="119"/>
        <v>0.72853178897443327</v>
      </c>
      <c r="K419" s="13">
        <f t="shared" si="125"/>
        <v>3007382.0400690418</v>
      </c>
      <c r="L419" s="13">
        <f t="shared" si="133"/>
        <v>303630335.20307708</v>
      </c>
      <c r="M419" s="15">
        <f t="shared" si="126"/>
        <v>0.72853178897443327</v>
      </c>
      <c r="N419" s="13">
        <f t="shared" si="117"/>
        <v>42763.099189759399</v>
      </c>
      <c r="O419" s="13">
        <f t="shared" si="127"/>
        <v>7508817.1324824579</v>
      </c>
      <c r="P419" s="15">
        <f t="shared" si="120"/>
        <v>0.64526361062286397</v>
      </c>
      <c r="Q419" s="7">
        <f t="shared" si="128"/>
        <v>11636820.99666879</v>
      </c>
      <c r="R419" s="7">
        <f t="shared" si="118"/>
        <v>4128003.8641863321</v>
      </c>
      <c r="S419" s="13">
        <f>IF('Calc (3)'!$AD$32="Sim",R419,Q419)</f>
        <v>4128003.8641863321</v>
      </c>
      <c r="T419" s="9">
        <f t="shared" si="129"/>
        <v>415</v>
      </c>
      <c r="U419" s="17">
        <f t="shared" ca="1" si="130"/>
        <v>58135</v>
      </c>
    </row>
    <row r="420" spans="2:21" x14ac:dyDescent="0.2">
      <c r="B420" s="17">
        <f t="shared" ca="1" si="121"/>
        <v>58135</v>
      </c>
      <c r="C420" s="9">
        <f t="shared" si="131"/>
        <v>416</v>
      </c>
      <c r="D420" s="9"/>
      <c r="E420" s="13">
        <f t="shared" si="122"/>
        <v>5427.0318174676095</v>
      </c>
      <c r="F420" s="14">
        <f t="shared" si="132"/>
        <v>1126048.8559347577</v>
      </c>
      <c r="G420" s="15">
        <f t="shared" si="123"/>
        <v>0.2707300109086388</v>
      </c>
      <c r="H420" s="13">
        <f t="shared" si="116"/>
        <v>115875.73250910323</v>
      </c>
      <c r="I420" s="13">
        <f t="shared" si="124"/>
        <v>10632074.905060606</v>
      </c>
      <c r="J420" s="15">
        <f t="shared" si="119"/>
        <v>0.7292699890913612</v>
      </c>
      <c r="K420" s="13">
        <f t="shared" si="125"/>
        <v>3033256.7642861083</v>
      </c>
      <c r="L420" s="13">
        <f t="shared" si="133"/>
        <v>306663591.96736318</v>
      </c>
      <c r="M420" s="15">
        <f t="shared" si="126"/>
        <v>0.7292699890913612</v>
      </c>
      <c r="N420" s="13">
        <f t="shared" si="117"/>
        <v>43208.863728405653</v>
      </c>
      <c r="O420" s="13">
        <f t="shared" si="127"/>
        <v>7598818.140774494</v>
      </c>
      <c r="P420" s="15">
        <f t="shared" si="120"/>
        <v>0.64626111233678929</v>
      </c>
      <c r="Q420" s="7">
        <f t="shared" si="128"/>
        <v>11758123.76099536</v>
      </c>
      <c r="R420" s="7">
        <f t="shared" si="118"/>
        <v>4159305.6202208661</v>
      </c>
      <c r="S420" s="13">
        <f>IF('Calc (3)'!$AD$32="Sim",R420,Q420)</f>
        <v>4159305.6202208661</v>
      </c>
      <c r="T420" s="9">
        <f t="shared" si="129"/>
        <v>416</v>
      </c>
      <c r="U420" s="17">
        <f t="shared" ca="1" si="130"/>
        <v>58166</v>
      </c>
    </row>
    <row r="421" spans="2:21" x14ac:dyDescent="0.2">
      <c r="B421" s="17">
        <f t="shared" ca="1" si="121"/>
        <v>58166</v>
      </c>
      <c r="C421" s="9">
        <f t="shared" si="131"/>
        <v>417</v>
      </c>
      <c r="D421" s="9"/>
      <c r="E421" s="13">
        <f t="shared" si="122"/>
        <v>5449.1422168697709</v>
      </c>
      <c r="F421" s="14">
        <f t="shared" si="132"/>
        <v>1131497.9981516276</v>
      </c>
      <c r="G421" s="15">
        <f t="shared" si="123"/>
        <v>0.26999405708686502</v>
      </c>
      <c r="H421" s="13">
        <f t="shared" si="116"/>
        <v>117083.6265444024</v>
      </c>
      <c r="I421" s="13">
        <f t="shared" si="124"/>
        <v>10749158.531605009</v>
      </c>
      <c r="J421" s="15">
        <f t="shared" si="119"/>
        <v>0.73000594291313492</v>
      </c>
      <c r="K421" s="13">
        <f t="shared" si="125"/>
        <v>3059327.571714865</v>
      </c>
      <c r="L421" s="13">
        <f t="shared" si="133"/>
        <v>309722919.53907806</v>
      </c>
      <c r="M421" s="15">
        <f t="shared" si="126"/>
        <v>0.73000594291313492</v>
      </c>
      <c r="N421" s="13">
        <f t="shared" si="117"/>
        <v>43659.148298911139</v>
      </c>
      <c r="O421" s="13">
        <f t="shared" si="127"/>
        <v>7689830.9598901402</v>
      </c>
      <c r="P421" s="15">
        <f t="shared" si="120"/>
        <v>0.64725639872089302</v>
      </c>
      <c r="Q421" s="7">
        <f t="shared" si="128"/>
        <v>11880656.529756634</v>
      </c>
      <c r="R421" s="7">
        <f t="shared" si="118"/>
        <v>4190825.5698664929</v>
      </c>
      <c r="S421" s="13">
        <f>IF('Calc (3)'!$AD$32="Sim",R421,Q421)</f>
        <v>4190825.5698664929</v>
      </c>
      <c r="T421" s="9">
        <f t="shared" si="129"/>
        <v>417</v>
      </c>
      <c r="U421" s="17">
        <f t="shared" ca="1" si="130"/>
        <v>58196</v>
      </c>
    </row>
    <row r="422" spans="2:21" x14ac:dyDescent="0.2">
      <c r="B422" s="17">
        <f t="shared" ca="1" si="121"/>
        <v>58196</v>
      </c>
      <c r="C422" s="9">
        <f t="shared" si="131"/>
        <v>418</v>
      </c>
      <c r="D422" s="9"/>
      <c r="E422" s="13">
        <f t="shared" si="122"/>
        <v>5471.3426967760024</v>
      </c>
      <c r="F422" s="14">
        <f t="shared" si="132"/>
        <v>1136969.3408484035</v>
      </c>
      <c r="G422" s="15">
        <f t="shared" si="123"/>
        <v>0.26926034180022346</v>
      </c>
      <c r="H422" s="13">
        <f t="shared" si="116"/>
        <v>118303.76856950064</v>
      </c>
      <c r="I422" s="13">
        <f t="shared" si="124"/>
        <v>10867462.30017451</v>
      </c>
      <c r="J422" s="15">
        <f t="shared" si="119"/>
        <v>0.73073965819977649</v>
      </c>
      <c r="K422" s="13">
        <f t="shared" si="125"/>
        <v>3085595.8287820094</v>
      </c>
      <c r="L422" s="13">
        <f t="shared" si="133"/>
        <v>312808515.36786008</v>
      </c>
      <c r="M422" s="15">
        <f t="shared" si="126"/>
        <v>0.7307396581997766</v>
      </c>
      <c r="N422" s="13">
        <f t="shared" si="117"/>
        <v>44113.998241332571</v>
      </c>
      <c r="O422" s="13">
        <f t="shared" si="127"/>
        <v>7781866.4713924984</v>
      </c>
      <c r="P422" s="15">
        <f t="shared" si="120"/>
        <v>0.64824947186998993</v>
      </c>
      <c r="Q422" s="7">
        <f t="shared" si="128"/>
        <v>12004431.641022911</v>
      </c>
      <c r="R422" s="7">
        <f t="shared" si="118"/>
        <v>4222565.1696304129</v>
      </c>
      <c r="S422" s="13">
        <f>IF('Calc (3)'!$AD$32="Sim",R422,Q422)</f>
        <v>4222565.1696304129</v>
      </c>
      <c r="T422" s="9">
        <f t="shared" si="129"/>
        <v>418</v>
      </c>
      <c r="U422" s="17">
        <f t="shared" ca="1" si="130"/>
        <v>58227</v>
      </c>
    </row>
    <row r="423" spans="2:21" x14ac:dyDescent="0.2">
      <c r="B423" s="17">
        <f t="shared" ca="1" si="121"/>
        <v>58227</v>
      </c>
      <c r="C423" s="9">
        <f t="shared" si="131"/>
        <v>419</v>
      </c>
      <c r="D423" s="9"/>
      <c r="E423" s="13">
        <f t="shared" si="122"/>
        <v>5493.6336241854278</v>
      </c>
      <c r="F423" s="14">
        <f t="shared" si="132"/>
        <v>1142462.9744725889</v>
      </c>
      <c r="G423" s="15">
        <f t="shared" si="123"/>
        <v>0.26852885731979403</v>
      </c>
      <c r="H423" s="13">
        <f t="shared" si="116"/>
        <v>119536.28144294619</v>
      </c>
      <c r="I423" s="13">
        <f t="shared" si="124"/>
        <v>10986998.581617456</v>
      </c>
      <c r="J423" s="15">
        <f t="shared" si="119"/>
        <v>0.73147114268020597</v>
      </c>
      <c r="K423" s="13">
        <f t="shared" si="125"/>
        <v>3112062.9110340737</v>
      </c>
      <c r="L423" s="13">
        <f t="shared" si="133"/>
        <v>315920578.27889413</v>
      </c>
      <c r="M423" s="15">
        <f t="shared" si="126"/>
        <v>0.73147114268020597</v>
      </c>
      <c r="N423" s="13">
        <f t="shared" si="117"/>
        <v>44573.459348557088</v>
      </c>
      <c r="O423" s="13">
        <f t="shared" si="127"/>
        <v>7874935.6705833795</v>
      </c>
      <c r="P423" s="15">
        <f t="shared" si="120"/>
        <v>0.6492403338901287</v>
      </c>
      <c r="Q423" s="7">
        <f t="shared" si="128"/>
        <v>12129461.556090042</v>
      </c>
      <c r="R423" s="7">
        <f t="shared" si="118"/>
        <v>4254525.8855066625</v>
      </c>
      <c r="S423" s="13">
        <f>IF('Calc (3)'!$AD$32="Sim",R423,Q423)</f>
        <v>4254525.8855066625</v>
      </c>
      <c r="T423" s="9">
        <f t="shared" si="129"/>
        <v>419</v>
      </c>
      <c r="U423" s="17">
        <f t="shared" ca="1" si="130"/>
        <v>58257</v>
      </c>
    </row>
    <row r="424" spans="2:21" x14ac:dyDescent="0.2">
      <c r="B424" s="17">
        <f t="shared" ca="1" si="121"/>
        <v>58257</v>
      </c>
      <c r="C424" s="9">
        <f t="shared" si="131"/>
        <v>420</v>
      </c>
      <c r="D424" s="9">
        <v>35</v>
      </c>
      <c r="E424" s="13">
        <f t="shared" si="122"/>
        <v>5516.0153675923721</v>
      </c>
      <c r="F424" s="14">
        <f t="shared" si="132"/>
        <v>1147978.9898401813</v>
      </c>
      <c r="G424" s="15">
        <f t="shared" si="123"/>
        <v>0.26779959594760205</v>
      </c>
      <c r="H424" s="13">
        <f t="shared" si="116"/>
        <v>120781.28925032778</v>
      </c>
      <c r="I424" s="13">
        <f t="shared" si="124"/>
        <v>11107779.870867783</v>
      </c>
      <c r="J424" s="15">
        <f t="shared" si="119"/>
        <v>0.73220040405239795</v>
      </c>
      <c r="K424" s="13">
        <f t="shared" si="125"/>
        <v>3138730.2031968236</v>
      </c>
      <c r="L424" s="13">
        <f t="shared" si="133"/>
        <v>319059308.48209095</v>
      </c>
      <c r="M424" s="15">
        <f t="shared" si="126"/>
        <v>0.73220040405239784</v>
      </c>
      <c r="N424" s="13">
        <f t="shared" si="117"/>
        <v>45037.577870816851</v>
      </c>
      <c r="O424" s="13">
        <f t="shared" si="127"/>
        <v>7969049.6676709559</v>
      </c>
      <c r="P424" s="15">
        <f t="shared" si="120"/>
        <v>0.65022898689854114</v>
      </c>
      <c r="Q424" s="7">
        <f t="shared" si="128"/>
        <v>12255758.860707961</v>
      </c>
      <c r="R424" s="7">
        <f t="shared" si="118"/>
        <v>4286709.1930370051</v>
      </c>
      <c r="S424" s="13">
        <f>IF('Calc (3)'!$AD$32="Sim",R424,Q424)</f>
        <v>4286709.1930370051</v>
      </c>
      <c r="T424" s="9">
        <f t="shared" si="129"/>
        <v>420</v>
      </c>
      <c r="U424" s="17">
        <f t="shared" ca="1" si="130"/>
        <v>58288</v>
      </c>
    </row>
    <row r="425" spans="2:21" x14ac:dyDescent="0.2">
      <c r="B425" s="17">
        <f t="shared" ca="1" si="121"/>
        <v>58288</v>
      </c>
      <c r="C425" s="9">
        <f t="shared" si="131"/>
        <v>421</v>
      </c>
      <c r="D425" s="9"/>
      <c r="E425" s="13">
        <f t="shared" si="122"/>
        <v>5538.4882969924502</v>
      </c>
      <c r="F425" s="14">
        <f t="shared" si="132"/>
        <v>1153517.4781371737</v>
      </c>
      <c r="G425" s="15">
        <f t="shared" si="123"/>
        <v>0.26707255001646296</v>
      </c>
      <c r="H425" s="13">
        <f t="shared" si="116"/>
        <v>122038.91731650806</v>
      </c>
      <c r="I425" s="13">
        <f t="shared" si="124"/>
        <v>11229818.788184291</v>
      </c>
      <c r="J425" s="15">
        <f t="shared" si="119"/>
        <v>0.73292744998353698</v>
      </c>
      <c r="K425" s="13">
        <f t="shared" si="125"/>
        <v>3165599.0992350355</v>
      </c>
      <c r="L425" s="13">
        <f t="shared" si="133"/>
        <v>322224907.58132601</v>
      </c>
      <c r="M425" s="15">
        <f t="shared" si="126"/>
        <v>0.73292744998353698</v>
      </c>
      <c r="N425" s="13">
        <f t="shared" si="117"/>
        <v>45506.400520248688</v>
      </c>
      <c r="O425" s="13">
        <f t="shared" si="127"/>
        <v>8064219.6889492525</v>
      </c>
      <c r="P425" s="15">
        <f t="shared" si="120"/>
        <v>0.65121543302358964</v>
      </c>
      <c r="Q425" s="7">
        <f t="shared" si="128"/>
        <v>12383336.266321462</v>
      </c>
      <c r="R425" s="7">
        <f t="shared" si="118"/>
        <v>4319116.5773722092</v>
      </c>
      <c r="S425" s="13">
        <f>IF('Calc (3)'!$AD$32="Sim",R425,Q425)</f>
        <v>4319116.5773722092</v>
      </c>
      <c r="T425" s="9">
        <f t="shared" si="129"/>
        <v>421</v>
      </c>
      <c r="U425" s="17">
        <f t="shared" ca="1" si="130"/>
        <v>58319</v>
      </c>
    </row>
    <row r="426" spans="2:21" x14ac:dyDescent="0.2">
      <c r="B426" s="17">
        <f t="shared" ca="1" si="121"/>
        <v>58319</v>
      </c>
      <c r="C426" s="9">
        <f t="shared" si="131"/>
        <v>422</v>
      </c>
      <c r="D426" s="9"/>
      <c r="E426" s="13">
        <f t="shared" si="122"/>
        <v>5561.0527838886856</v>
      </c>
      <c r="F426" s="14">
        <f t="shared" si="132"/>
        <v>1159078.5309210625</v>
      </c>
      <c r="G426" s="15">
        <f t="shared" si="123"/>
        <v>0.26634771188982787</v>
      </c>
      <c r="H426" s="13">
        <f t="shared" si="116"/>
        <v>123309.29221797877</v>
      </c>
      <c r="I426" s="13">
        <f t="shared" si="124"/>
        <v>11353128.08040227</v>
      </c>
      <c r="J426" s="15">
        <f t="shared" si="119"/>
        <v>0.73365228811017213</v>
      </c>
      <c r="K426" s="13">
        <f t="shared" si="125"/>
        <v>3192671.0024126573</v>
      </c>
      <c r="L426" s="13">
        <f t="shared" si="133"/>
        <v>325417578.58373868</v>
      </c>
      <c r="M426" s="15">
        <f t="shared" si="126"/>
        <v>0.73365228811017213</v>
      </c>
      <c r="N426" s="13">
        <f t="shared" si="117"/>
        <v>45979.97447549909</v>
      </c>
      <c r="O426" s="13">
        <f t="shared" si="127"/>
        <v>8160457.077989609</v>
      </c>
      <c r="P426" s="15">
        <f t="shared" si="120"/>
        <v>0.65219967440471593</v>
      </c>
      <c r="Q426" s="7">
        <f t="shared" si="128"/>
        <v>12512206.611323329</v>
      </c>
      <c r="R426" s="7">
        <f t="shared" si="118"/>
        <v>4351749.5333337197</v>
      </c>
      <c r="S426" s="13">
        <f>IF('Calc (3)'!$AD$32="Sim",R426,Q426)</f>
        <v>4351749.5333337197</v>
      </c>
      <c r="T426" s="9">
        <f t="shared" si="129"/>
        <v>422</v>
      </c>
      <c r="U426" s="17">
        <f t="shared" ca="1" si="130"/>
        <v>58349</v>
      </c>
    </row>
    <row r="427" spans="2:21" x14ac:dyDescent="0.2">
      <c r="B427" s="17">
        <f t="shared" ca="1" si="121"/>
        <v>58349</v>
      </c>
      <c r="C427" s="9">
        <f t="shared" si="131"/>
        <v>423</v>
      </c>
      <c r="D427" s="9"/>
      <c r="E427" s="13">
        <f t="shared" si="122"/>
        <v>5583.70920129765</v>
      </c>
      <c r="F427" s="14">
        <f t="shared" si="132"/>
        <v>1164662.2401223602</v>
      </c>
      <c r="G427" s="15">
        <f t="shared" si="123"/>
        <v>0.26562507396163076</v>
      </c>
      <c r="H427" s="13">
        <f t="shared" si="116"/>
        <v>124592.54179533903</v>
      </c>
      <c r="I427" s="13">
        <f t="shared" si="124"/>
        <v>11477720.622197609</v>
      </c>
      <c r="J427" s="15">
        <f t="shared" si="119"/>
        <v>0.73437492603836918</v>
      </c>
      <c r="K427" s="13">
        <f t="shared" si="125"/>
        <v>3219947.3253533533</v>
      </c>
      <c r="L427" s="13">
        <f t="shared" si="133"/>
        <v>328637525.90909201</v>
      </c>
      <c r="M427" s="15">
        <f t="shared" si="126"/>
        <v>0.73437492603836918</v>
      </c>
      <c r="N427" s="13">
        <f t="shared" si="117"/>
        <v>46458.347386375157</v>
      </c>
      <c r="O427" s="13">
        <f t="shared" si="127"/>
        <v>8257773.2968442515</v>
      </c>
      <c r="P427" s="15">
        <f t="shared" si="120"/>
        <v>0.65318171319238882</v>
      </c>
      <c r="Q427" s="7">
        <f t="shared" si="128"/>
        <v>12642382.862319965</v>
      </c>
      <c r="R427" s="7">
        <f t="shared" si="118"/>
        <v>4384609.5654757135</v>
      </c>
      <c r="S427" s="13">
        <f>IF('Calc (3)'!$AD$32="Sim",R427,Q427)</f>
        <v>4384609.5654757135</v>
      </c>
      <c r="T427" s="9">
        <f t="shared" si="129"/>
        <v>423</v>
      </c>
      <c r="U427" s="17">
        <f t="shared" ca="1" si="130"/>
        <v>58380</v>
      </c>
    </row>
    <row r="428" spans="2:21" x14ac:dyDescent="0.2">
      <c r="B428" s="17">
        <f t="shared" ca="1" si="121"/>
        <v>58380</v>
      </c>
      <c r="C428" s="9">
        <f t="shared" si="131"/>
        <v>424</v>
      </c>
      <c r="D428" s="9"/>
      <c r="E428" s="13">
        <f t="shared" si="122"/>
        <v>5606.4579237556327</v>
      </c>
      <c r="F428" s="14">
        <f t="shared" si="132"/>
        <v>1170268.6980461159</v>
      </c>
      <c r="G428" s="15">
        <f t="shared" si="123"/>
        <v>0.26490462865613662</v>
      </c>
      <c r="H428" s="13">
        <f t="shared" si="116"/>
        <v>125888.79516589806</v>
      </c>
      <c r="I428" s="13">
        <f t="shared" si="124"/>
        <v>11603609.417363508</v>
      </c>
      <c r="J428" s="15">
        <f t="shared" si="119"/>
        <v>0.73509537134386338</v>
      </c>
      <c r="K428" s="13">
        <f t="shared" si="125"/>
        <v>3247429.4901014399</v>
      </c>
      <c r="L428" s="13">
        <f t="shared" si="133"/>
        <v>331884955.39919347</v>
      </c>
      <c r="M428" s="15">
        <f t="shared" si="126"/>
        <v>0.73509537134386327</v>
      </c>
      <c r="N428" s="13">
        <f t="shared" si="117"/>
        <v>46941.56737854184</v>
      </c>
      <c r="O428" s="13">
        <f t="shared" si="127"/>
        <v>8356179.9272620622</v>
      </c>
      <c r="P428" s="15">
        <f t="shared" si="120"/>
        <v>0.654161551548052</v>
      </c>
      <c r="Q428" s="7">
        <f t="shared" si="128"/>
        <v>12773878.115409618</v>
      </c>
      <c r="R428" s="7">
        <f t="shared" si="118"/>
        <v>4417698.188147556</v>
      </c>
      <c r="S428" s="13">
        <f>IF('Calc (3)'!$AD$32="Sim",R428,Q428)</f>
        <v>4417698.188147556</v>
      </c>
      <c r="T428" s="9">
        <f t="shared" si="129"/>
        <v>424</v>
      </c>
      <c r="U428" s="17">
        <f t="shared" ca="1" si="130"/>
        <v>58410</v>
      </c>
    </row>
    <row r="429" spans="2:21" x14ac:dyDescent="0.2">
      <c r="B429" s="17">
        <f t="shared" ca="1" si="121"/>
        <v>58410</v>
      </c>
      <c r="C429" s="9">
        <f t="shared" si="131"/>
        <v>425</v>
      </c>
      <c r="D429" s="9"/>
      <c r="E429" s="13">
        <f t="shared" si="122"/>
        <v>5629.2993273248294</v>
      </c>
      <c r="F429" s="14">
        <f t="shared" si="132"/>
        <v>1175897.9973734408</v>
      </c>
      <c r="G429" s="15">
        <f t="shared" si="123"/>
        <v>0.26418636842779036</v>
      </c>
      <c r="H429" s="13">
        <f t="shared" ref="H429:H492" si="134">Q428*Taxa_3</f>
        <v>127198.1827364034</v>
      </c>
      <c r="I429" s="13">
        <f t="shared" si="124"/>
        <v>11730807.600099912</v>
      </c>
      <c r="J429" s="15">
        <f t="shared" si="119"/>
        <v>0.73581363157220969</v>
      </c>
      <c r="K429" s="13">
        <f t="shared" si="125"/>
        <v>3275118.9281832124</v>
      </c>
      <c r="L429" s="13">
        <f t="shared" si="133"/>
        <v>335160074.32737666</v>
      </c>
      <c r="M429" s="15">
        <f t="shared" si="126"/>
        <v>0.73581363157220958</v>
      </c>
      <c r="N429" s="13">
        <f t="shared" ref="N429:N492" si="135">Q429*Inflação_3</f>
        <v>47429.68305826599</v>
      </c>
      <c r="O429" s="13">
        <f t="shared" si="127"/>
        <v>8455688.6719166934</v>
      </c>
      <c r="P429" s="15">
        <f t="shared" si="120"/>
        <v>0.65513919164407086</v>
      </c>
      <c r="Q429" s="7">
        <f t="shared" si="128"/>
        <v>12906705.597473348</v>
      </c>
      <c r="R429" s="7">
        <f t="shared" ref="R429:R492" si="136">(R428+E429)*(1+((1+Taxa_3)/(1+Inflação_3)-1))</f>
        <v>4451016.9255566532</v>
      </c>
      <c r="S429" s="13">
        <f>IF('Calc (3)'!$AD$32="Sim",R429,Q429)</f>
        <v>4451016.9255566532</v>
      </c>
      <c r="T429" s="9">
        <f t="shared" si="129"/>
        <v>425</v>
      </c>
      <c r="U429" s="17">
        <f t="shared" ca="1" si="130"/>
        <v>58441</v>
      </c>
    </row>
    <row r="430" spans="2:21" x14ac:dyDescent="0.2">
      <c r="B430" s="17">
        <f t="shared" ca="1" si="121"/>
        <v>58441</v>
      </c>
      <c r="C430" s="9">
        <f t="shared" si="131"/>
        <v>426</v>
      </c>
      <c r="D430" s="9"/>
      <c r="E430" s="13">
        <f t="shared" si="122"/>
        <v>5652.2337895995588</v>
      </c>
      <c r="F430" s="14">
        <f t="shared" si="132"/>
        <v>1181550.2311630403</v>
      </c>
      <c r="G430" s="15">
        <f t="shared" si="123"/>
        <v>0.26347028576106724</v>
      </c>
      <c r="H430" s="13">
        <f t="shared" si="134"/>
        <v>128520.8362158958</v>
      </c>
      <c r="I430" s="13">
        <f t="shared" si="124"/>
        <v>11859328.436315808</v>
      </c>
      <c r="J430" s="15">
        <f t="shared" si="119"/>
        <v>0.73652971423893276</v>
      </c>
      <c r="K430" s="13">
        <f t="shared" si="125"/>
        <v>3303017.0806686641</v>
      </c>
      <c r="L430" s="13">
        <f t="shared" si="133"/>
        <v>338463091.40804535</v>
      </c>
      <c r="M430" s="15">
        <f t="shared" si="126"/>
        <v>0.73652971423893276</v>
      </c>
      <c r="N430" s="13">
        <f t="shared" si="135"/>
        <v>47922.743517207658</v>
      </c>
      <c r="O430" s="13">
        <f t="shared" si="127"/>
        <v>8556311.3556471393</v>
      </c>
      <c r="P430" s="15">
        <f t="shared" si="120"/>
        <v>0.65611463566368</v>
      </c>
      <c r="Q430" s="7">
        <f t="shared" si="128"/>
        <v>13040878.667478845</v>
      </c>
      <c r="R430" s="7">
        <f t="shared" si="136"/>
        <v>4484567.3118317043</v>
      </c>
      <c r="S430" s="13">
        <f>IF('Calc (3)'!$AD$32="Sim",R430,Q430)</f>
        <v>4484567.3118317043</v>
      </c>
      <c r="T430" s="9">
        <f t="shared" si="129"/>
        <v>426</v>
      </c>
      <c r="U430" s="17">
        <f t="shared" ca="1" si="130"/>
        <v>58472</v>
      </c>
    </row>
    <row r="431" spans="2:21" x14ac:dyDescent="0.2">
      <c r="B431" s="17">
        <f t="shared" ca="1" si="121"/>
        <v>58472</v>
      </c>
      <c r="C431" s="9">
        <f t="shared" si="131"/>
        <v>427</v>
      </c>
      <c r="D431" s="9"/>
      <c r="E431" s="13">
        <f t="shared" si="122"/>
        <v>5675.2616897125072</v>
      </c>
      <c r="F431" s="14">
        <f t="shared" si="132"/>
        <v>1187225.4928527528</v>
      </c>
      <c r="G431" s="15">
        <f t="shared" si="123"/>
        <v>0.26275637317032419</v>
      </c>
      <c r="H431" s="13">
        <f t="shared" si="134"/>
        <v>129856.88862869247</v>
      </c>
      <c r="I431" s="13">
        <f t="shared" si="124"/>
        <v>11989185.324944502</v>
      </c>
      <c r="J431" s="15">
        <f t="shared" si="119"/>
        <v>0.73724362682967581</v>
      </c>
      <c r="K431" s="13">
        <f t="shared" si="125"/>
        <v>3331125.3982336009</v>
      </c>
      <c r="L431" s="13">
        <f t="shared" si="133"/>
        <v>341794216.80627894</v>
      </c>
      <c r="M431" s="15">
        <f t="shared" si="126"/>
        <v>0.73724362682967581</v>
      </c>
      <c r="N431" s="13">
        <f t="shared" si="135"/>
        <v>48420.798337259163</v>
      </c>
      <c r="O431" s="13">
        <f t="shared" si="127"/>
        <v>8658059.9267108962</v>
      </c>
      <c r="P431" s="15">
        <f t="shared" si="120"/>
        <v>0.65708788580092981</v>
      </c>
      <c r="Q431" s="7">
        <f t="shared" si="128"/>
        <v>13176410.817797251</v>
      </c>
      <c r="R431" s="7">
        <f t="shared" si="136"/>
        <v>4518350.8910863539</v>
      </c>
      <c r="S431" s="13">
        <f>IF('Calc (3)'!$AD$32="Sim",R431,Q431)</f>
        <v>4518350.8910863539</v>
      </c>
      <c r="T431" s="9">
        <f t="shared" si="129"/>
        <v>427</v>
      </c>
      <c r="U431" s="17">
        <f t="shared" ca="1" si="130"/>
        <v>58501</v>
      </c>
    </row>
    <row r="432" spans="2:21" x14ac:dyDescent="0.2">
      <c r="B432" s="17">
        <f t="shared" ca="1" si="121"/>
        <v>58501</v>
      </c>
      <c r="C432" s="9">
        <f t="shared" si="131"/>
        <v>428</v>
      </c>
      <c r="D432" s="9"/>
      <c r="E432" s="13">
        <f t="shared" si="122"/>
        <v>5698.3834083409929</v>
      </c>
      <c r="F432" s="14">
        <f t="shared" si="132"/>
        <v>1192923.8762610939</v>
      </c>
      <c r="G432" s="15">
        <f t="shared" si="123"/>
        <v>0.2620446231996521</v>
      </c>
      <c r="H432" s="13">
        <f t="shared" si="134"/>
        <v>131206.47432749931</v>
      </c>
      <c r="I432" s="13">
        <f t="shared" si="124"/>
        <v>12120391.799272001</v>
      </c>
      <c r="J432" s="15">
        <f t="shared" si="119"/>
        <v>0.73795537680034795</v>
      </c>
      <c r="K432" s="13">
        <f t="shared" si="125"/>
        <v>3359445.3412221586</v>
      </c>
      <c r="L432" s="13">
        <f t="shared" si="133"/>
        <v>345153662.14750111</v>
      </c>
      <c r="M432" s="15">
        <f t="shared" si="126"/>
        <v>0.73795537680034795</v>
      </c>
      <c r="N432" s="13">
        <f t="shared" si="135"/>
        <v>48923.897595432296</v>
      </c>
      <c r="O432" s="13">
        <f t="shared" si="127"/>
        <v>8760946.4580498394</v>
      </c>
      <c r="P432" s="15">
        <f t="shared" si="120"/>
        <v>0.65805894426063283</v>
      </c>
      <c r="Q432" s="7">
        <f t="shared" si="128"/>
        <v>13313315.675533092</v>
      </c>
      <c r="R432" s="7">
        <f t="shared" si="136"/>
        <v>4552369.2174832523</v>
      </c>
      <c r="S432" s="13">
        <f>IF('Calc (3)'!$AD$32="Sim",R432,Q432)</f>
        <v>4552369.2174832523</v>
      </c>
      <c r="T432" s="9">
        <f t="shared" si="129"/>
        <v>428</v>
      </c>
      <c r="U432" s="17">
        <f t="shared" ca="1" si="130"/>
        <v>58532</v>
      </c>
    </row>
    <row r="433" spans="2:21" x14ac:dyDescent="0.2">
      <c r="B433" s="17">
        <f t="shared" ca="1" si="121"/>
        <v>58532</v>
      </c>
      <c r="C433" s="9">
        <f t="shared" si="131"/>
        <v>429</v>
      </c>
      <c r="D433" s="9"/>
      <c r="E433" s="13">
        <f t="shared" si="122"/>
        <v>5721.599327713262</v>
      </c>
      <c r="F433" s="14">
        <f t="shared" si="132"/>
        <v>1198645.4755888071</v>
      </c>
      <c r="G433" s="15">
        <f t="shared" si="123"/>
        <v>0.26133502842272927</v>
      </c>
      <c r="H433" s="13">
        <f t="shared" si="134"/>
        <v>132569.72900665406</v>
      </c>
      <c r="I433" s="13">
        <f t="shared" si="124"/>
        <v>12252961.528278654</v>
      </c>
      <c r="J433" s="15">
        <f t="shared" si="119"/>
        <v>0.73866497157727073</v>
      </c>
      <c r="K433" s="13">
        <f t="shared" si="125"/>
        <v>3387978.3797097141</v>
      </c>
      <c r="L433" s="13">
        <f t="shared" si="133"/>
        <v>348541640.52721083</v>
      </c>
      <c r="M433" s="15">
        <f t="shared" si="126"/>
        <v>0.73866497157727073</v>
      </c>
      <c r="N433" s="13">
        <f t="shared" si="135"/>
        <v>49432.091868794327</v>
      </c>
      <c r="O433" s="13">
        <f t="shared" si="127"/>
        <v>8864983.1485689376</v>
      </c>
      <c r="P433" s="15">
        <f t="shared" si="120"/>
        <v>0.65902781325830995</v>
      </c>
      <c r="Q433" s="7">
        <f t="shared" si="128"/>
        <v>13451607.003867459</v>
      </c>
      <c r="R433" s="7">
        <f t="shared" si="136"/>
        <v>4586623.855298521</v>
      </c>
      <c r="S433" s="13">
        <f>IF('Calc (3)'!$AD$32="Sim",R433,Q433)</f>
        <v>4586623.855298521</v>
      </c>
      <c r="T433" s="9">
        <f t="shared" si="129"/>
        <v>429</v>
      </c>
      <c r="U433" s="17">
        <f t="shared" ca="1" si="130"/>
        <v>58562</v>
      </c>
    </row>
    <row r="434" spans="2:21" x14ac:dyDescent="0.2">
      <c r="B434" s="17">
        <f t="shared" ca="1" si="121"/>
        <v>58562</v>
      </c>
      <c r="C434" s="9">
        <f t="shared" si="131"/>
        <v>430</v>
      </c>
      <c r="D434" s="9"/>
      <c r="E434" s="13">
        <f t="shared" si="122"/>
        <v>5744.9098316148047</v>
      </c>
      <c r="F434" s="14">
        <f t="shared" si="132"/>
        <v>1204390.3854204218</v>
      </c>
      <c r="G434" s="15">
        <f t="shared" si="123"/>
        <v>0.26062758144267606</v>
      </c>
      <c r="H434" s="13">
        <f t="shared" si="134"/>
        <v>133946.78971550133</v>
      </c>
      <c r="I434" s="13">
        <f t="shared" si="124"/>
        <v>12386908.317994155</v>
      </c>
      <c r="J434" s="15">
        <f t="shared" si="119"/>
        <v>0.73937241855732394</v>
      </c>
      <c r="K434" s="13">
        <f t="shared" si="125"/>
        <v>3416725.9935662067</v>
      </c>
      <c r="L434" s="13">
        <f t="shared" si="133"/>
        <v>351958366.52077705</v>
      </c>
      <c r="M434" s="15">
        <f t="shared" si="126"/>
        <v>0.73937241855732394</v>
      </c>
      <c r="N434" s="13">
        <f t="shared" si="135"/>
        <v>49945.432239453068</v>
      </c>
      <c r="O434" s="13">
        <f t="shared" si="127"/>
        <v>8970182.3244279455</v>
      </c>
      <c r="P434" s="15">
        <f t="shared" si="120"/>
        <v>0.65999449502013707</v>
      </c>
      <c r="Q434" s="7">
        <f t="shared" si="128"/>
        <v>13591298.703414574</v>
      </c>
      <c r="R434" s="7">
        <f t="shared" si="136"/>
        <v>4621116.3789866287</v>
      </c>
      <c r="S434" s="13">
        <f>IF('Calc (3)'!$AD$32="Sim",R434,Q434)</f>
        <v>4621116.3789866287</v>
      </c>
      <c r="T434" s="9">
        <f t="shared" si="129"/>
        <v>430</v>
      </c>
      <c r="U434" s="17">
        <f t="shared" ca="1" si="130"/>
        <v>58593</v>
      </c>
    </row>
    <row r="435" spans="2:21" x14ac:dyDescent="0.2">
      <c r="B435" s="17">
        <f t="shared" ca="1" si="121"/>
        <v>58593</v>
      </c>
      <c r="C435" s="9">
        <f t="shared" si="131"/>
        <v>431</v>
      </c>
      <c r="D435" s="9"/>
      <c r="E435" s="13">
        <f t="shared" si="122"/>
        <v>5768.3153053947017</v>
      </c>
      <c r="F435" s="14">
        <f t="shared" si="132"/>
        <v>1210158.7007258164</v>
      </c>
      <c r="G435" s="15">
        <f t="shared" si="123"/>
        <v>0.25992227489191022</v>
      </c>
      <c r="H435" s="13">
        <f t="shared" si="134"/>
        <v>135337.79487190078</v>
      </c>
      <c r="I435" s="13">
        <f t="shared" si="124"/>
        <v>12522246.112866055</v>
      </c>
      <c r="J435" s="15">
        <f t="shared" si="119"/>
        <v>0.74007772510808978</v>
      </c>
      <c r="K435" s="13">
        <f t="shared" si="125"/>
        <v>3445689.6725198627</v>
      </c>
      <c r="L435" s="13">
        <f t="shared" si="133"/>
        <v>355404056.19329691</v>
      </c>
      <c r="M435" s="15">
        <f t="shared" si="126"/>
        <v>0.74007772510808978</v>
      </c>
      <c r="N435" s="13">
        <f t="shared" si="135"/>
        <v>50463.970299591674</v>
      </c>
      <c r="O435" s="13">
        <f t="shared" si="127"/>
        <v>9076556.4403461907</v>
      </c>
      <c r="P435" s="15">
        <f t="shared" si="120"/>
        <v>0.66095899178289019</v>
      </c>
      <c r="Q435" s="7">
        <f t="shared" si="128"/>
        <v>13732404.81359187</v>
      </c>
      <c r="R435" s="7">
        <f t="shared" si="136"/>
        <v>4655848.3732456788</v>
      </c>
      <c r="S435" s="13">
        <f>IF('Calc (3)'!$AD$32="Sim",R435,Q435)</f>
        <v>4655848.3732456788</v>
      </c>
      <c r="T435" s="9">
        <f t="shared" si="129"/>
        <v>431</v>
      </c>
      <c r="U435" s="17">
        <f t="shared" ca="1" si="130"/>
        <v>58623</v>
      </c>
    </row>
    <row r="436" spans="2:21" x14ac:dyDescent="0.2">
      <c r="B436" s="17">
        <f t="shared" ca="1" si="121"/>
        <v>58623</v>
      </c>
      <c r="C436" s="9">
        <f t="shared" si="131"/>
        <v>432</v>
      </c>
      <c r="D436" s="9">
        <v>36</v>
      </c>
      <c r="E436" s="13">
        <f t="shared" si="122"/>
        <v>5791.8161359719934</v>
      </c>
      <c r="F436" s="14">
        <f t="shared" si="132"/>
        <v>1215950.5168617885</v>
      </c>
      <c r="G436" s="15">
        <f t="shared" si="123"/>
        <v>0.25921910143200366</v>
      </c>
      <c r="H436" s="13">
        <f t="shared" si="134"/>
        <v>136742.88427586987</v>
      </c>
      <c r="I436" s="13">
        <f t="shared" si="124"/>
        <v>12658988.997141926</v>
      </c>
      <c r="J436" s="15">
        <f t="shared" si="119"/>
        <v>0.74078089856799634</v>
      </c>
      <c r="K436" s="13">
        <f t="shared" si="125"/>
        <v>3474870.9162213258</v>
      </c>
      <c r="L436" s="13">
        <f t="shared" si="133"/>
        <v>358878927.10951823</v>
      </c>
      <c r="M436" s="15">
        <f t="shared" si="126"/>
        <v>0.74078089856799634</v>
      </c>
      <c r="N436" s="13">
        <f t="shared" si="135"/>
        <v>50987.758156553566</v>
      </c>
      <c r="O436" s="13">
        <f t="shared" si="127"/>
        <v>9184118.0809205994</v>
      </c>
      <c r="P436" s="15">
        <f t="shared" si="120"/>
        <v>0.66192130579389152</v>
      </c>
      <c r="Q436" s="7">
        <f t="shared" si="128"/>
        <v>13874939.514003713</v>
      </c>
      <c r="R436" s="7">
        <f t="shared" si="136"/>
        <v>4690821.4330831142</v>
      </c>
      <c r="S436" s="13">
        <f>IF('Calc (3)'!$AD$32="Sim",R436,Q436)</f>
        <v>4690821.4330831142</v>
      </c>
      <c r="T436" s="9">
        <f t="shared" si="129"/>
        <v>432</v>
      </c>
      <c r="U436" s="17">
        <f t="shared" ca="1" si="130"/>
        <v>58654</v>
      </c>
    </row>
    <row r="437" spans="2:21" x14ac:dyDescent="0.2">
      <c r="B437" s="17">
        <f t="shared" ca="1" si="121"/>
        <v>58654</v>
      </c>
      <c r="C437" s="9">
        <f t="shared" si="131"/>
        <v>433</v>
      </c>
      <c r="D437" s="9"/>
      <c r="E437" s="13">
        <f t="shared" si="122"/>
        <v>5815.4127118420756</v>
      </c>
      <c r="F437" s="14">
        <f t="shared" si="132"/>
        <v>1221765.9295736304</v>
      </c>
      <c r="G437" s="15">
        <f t="shared" si="123"/>
        <v>0.25851805375353948</v>
      </c>
      <c r="H437" s="13">
        <f t="shared" si="134"/>
        <v>138162.19912336266</v>
      </c>
      <c r="I437" s="13">
        <f t="shared" si="124"/>
        <v>12797151.196265288</v>
      </c>
      <c r="J437" s="15">
        <f t="shared" si="119"/>
        <v>0.74148194624646058</v>
      </c>
      <c r="K437" s="13">
        <f t="shared" si="125"/>
        <v>3504271.2343082079</v>
      </c>
      <c r="L437" s="13">
        <f t="shared" si="133"/>
        <v>362383198.34382641</v>
      </c>
      <c r="M437" s="15">
        <f t="shared" si="126"/>
        <v>0.74148194624646047</v>
      </c>
      <c r="N437" s="13">
        <f t="shared" si="135"/>
        <v>51516.84843797802</v>
      </c>
      <c r="O437" s="13">
        <f t="shared" si="127"/>
        <v>9292879.9619570784</v>
      </c>
      <c r="P437" s="15">
        <f t="shared" si="120"/>
        <v>0.66288143931095367</v>
      </c>
      <c r="Q437" s="7">
        <f t="shared" si="128"/>
        <v>14018917.125838917</v>
      </c>
      <c r="R437" s="7">
        <f t="shared" si="136"/>
        <v>4726037.1638818383</v>
      </c>
      <c r="S437" s="13">
        <f>IF('Calc (3)'!$AD$32="Sim",R437,Q437)</f>
        <v>4726037.1638818383</v>
      </c>
      <c r="T437" s="9">
        <f t="shared" si="129"/>
        <v>433</v>
      </c>
      <c r="U437" s="17">
        <f t="shared" ca="1" si="130"/>
        <v>58685</v>
      </c>
    </row>
    <row r="438" spans="2:21" x14ac:dyDescent="0.2">
      <c r="B438" s="17">
        <f t="shared" ca="1" si="121"/>
        <v>58685</v>
      </c>
      <c r="C438" s="9">
        <f t="shared" si="131"/>
        <v>434</v>
      </c>
      <c r="D438" s="9"/>
      <c r="E438" s="13">
        <f t="shared" si="122"/>
        <v>5839.1054230831223</v>
      </c>
      <c r="F438" s="14">
        <f t="shared" si="132"/>
        <v>1227605.0349967135</v>
      </c>
      <c r="G438" s="15">
        <f t="shared" si="123"/>
        <v>0.25781912457597117</v>
      </c>
      <c r="H438" s="13">
        <f t="shared" si="134"/>
        <v>139595.88202018573</v>
      </c>
      <c r="I438" s="13">
        <f t="shared" si="124"/>
        <v>12936747.078285474</v>
      </c>
      <c r="J438" s="15">
        <f t="shared" si="119"/>
        <v>0.74218087542402889</v>
      </c>
      <c r="K438" s="13">
        <f t="shared" si="125"/>
        <v>3533892.1464700438</v>
      </c>
      <c r="L438" s="13">
        <f t="shared" si="133"/>
        <v>365917090.49029648</v>
      </c>
      <c r="M438" s="15">
        <f t="shared" si="126"/>
        <v>0.74218087542402877</v>
      </c>
      <c r="N438" s="13">
        <f t="shared" si="135"/>
        <v>52051.294296986962</v>
      </c>
      <c r="O438" s="13">
        <f t="shared" si="127"/>
        <v>9402854.9318154305</v>
      </c>
      <c r="P438" s="15">
        <f t="shared" si="120"/>
        <v>0.66383939460232644</v>
      </c>
      <c r="Q438" s="7">
        <f t="shared" si="128"/>
        <v>14164352.113282187</v>
      </c>
      <c r="R438" s="7">
        <f t="shared" si="136"/>
        <v>4761497.1814667573</v>
      </c>
      <c r="S438" s="13">
        <f>IF('Calc (3)'!$AD$32="Sim",R438,Q438)</f>
        <v>4761497.1814667573</v>
      </c>
      <c r="T438" s="9">
        <f t="shared" si="129"/>
        <v>434</v>
      </c>
      <c r="U438" s="17">
        <f t="shared" ca="1" si="130"/>
        <v>58715</v>
      </c>
    </row>
    <row r="439" spans="2:21" x14ac:dyDescent="0.2">
      <c r="B439" s="17">
        <f t="shared" ca="1" si="121"/>
        <v>58715</v>
      </c>
      <c r="C439" s="9">
        <f t="shared" si="131"/>
        <v>435</v>
      </c>
      <c r="D439" s="9"/>
      <c r="E439" s="13">
        <f t="shared" si="122"/>
        <v>5862.8946613625358</v>
      </c>
      <c r="F439" s="14">
        <f t="shared" si="132"/>
        <v>1233467.929658076</v>
      </c>
      <c r="G439" s="15">
        <f t="shared" si="123"/>
        <v>0.25712230664748159</v>
      </c>
      <c r="H439" s="13">
        <f t="shared" si="134"/>
        <v>141044.0769960529</v>
      </c>
      <c r="I439" s="13">
        <f t="shared" si="124"/>
        <v>13077791.155281527</v>
      </c>
      <c r="J439" s="15">
        <f t="shared" si="119"/>
        <v>0.74287769335251841</v>
      </c>
      <c r="K439" s="13">
        <f t="shared" si="125"/>
        <v>3563735.1825136673</v>
      </c>
      <c r="L439" s="13">
        <f t="shared" si="133"/>
        <v>369480825.67281014</v>
      </c>
      <c r="M439" s="15">
        <f t="shared" si="126"/>
        <v>0.74287769335251841</v>
      </c>
      <c r="N439" s="13">
        <f t="shared" si="135"/>
        <v>52591.149417423345</v>
      </c>
      <c r="O439" s="13">
        <f t="shared" si="127"/>
        <v>9514055.9727678597</v>
      </c>
      <c r="P439" s="15">
        <f t="shared" si="120"/>
        <v>0.66479517394664034</v>
      </c>
      <c r="Q439" s="7">
        <f t="shared" si="128"/>
        <v>14311259.084939603</v>
      </c>
      <c r="R439" s="7">
        <f t="shared" si="136"/>
        <v>4797203.1121717431</v>
      </c>
      <c r="S439" s="13">
        <f>IF('Calc (3)'!$AD$32="Sim",R439,Q439)</f>
        <v>4797203.1121717431</v>
      </c>
      <c r="T439" s="9">
        <f t="shared" si="129"/>
        <v>435</v>
      </c>
      <c r="U439" s="17">
        <f t="shared" ca="1" si="130"/>
        <v>58746</v>
      </c>
    </row>
    <row r="440" spans="2:21" x14ac:dyDescent="0.2">
      <c r="B440" s="17">
        <f t="shared" ca="1" si="121"/>
        <v>58746</v>
      </c>
      <c r="C440" s="9">
        <f t="shared" si="131"/>
        <v>436</v>
      </c>
      <c r="D440" s="9"/>
      <c r="E440" s="13">
        <f t="shared" si="122"/>
        <v>5886.7808199434176</v>
      </c>
      <c r="F440" s="14">
        <f t="shared" si="132"/>
        <v>1239354.7104780194</v>
      </c>
      <c r="G440" s="15">
        <f t="shared" si="123"/>
        <v>0.25642759274484378</v>
      </c>
      <c r="H440" s="13">
        <f t="shared" si="134"/>
        <v>142506.92951877968</v>
      </c>
      <c r="I440" s="13">
        <f t="shared" si="124"/>
        <v>13220298.084800307</v>
      </c>
      <c r="J440" s="15">
        <f t="shared" si="119"/>
        <v>0.74357240725515616</v>
      </c>
      <c r="K440" s="13">
        <f t="shared" si="125"/>
        <v>3593801.882429006</v>
      </c>
      <c r="L440" s="13">
        <f t="shared" si="133"/>
        <v>373074627.55523914</v>
      </c>
      <c r="M440" s="15">
        <f t="shared" si="126"/>
        <v>0.74357240725515628</v>
      </c>
      <c r="N440" s="13">
        <f t="shared" si="135"/>
        <v>53136.468019141786</v>
      </c>
      <c r="O440" s="13">
        <f t="shared" si="127"/>
        <v>9626496.2023712993</v>
      </c>
      <c r="P440" s="15">
        <f t="shared" si="120"/>
        <v>0.66574877963285173</v>
      </c>
      <c r="Q440" s="7">
        <f t="shared" si="128"/>
        <v>14459652.795278326</v>
      </c>
      <c r="R440" s="7">
        <f t="shared" si="136"/>
        <v>4833156.5929070255</v>
      </c>
      <c r="S440" s="13">
        <f>IF('Calc (3)'!$AD$32="Sim",R440,Q440)</f>
        <v>4833156.5929070255</v>
      </c>
      <c r="T440" s="9">
        <f t="shared" si="129"/>
        <v>436</v>
      </c>
      <c r="U440" s="17">
        <f t="shared" ca="1" si="130"/>
        <v>58776</v>
      </c>
    </row>
    <row r="441" spans="2:21" x14ac:dyDescent="0.2">
      <c r="B441" s="17">
        <f t="shared" ca="1" si="121"/>
        <v>58776</v>
      </c>
      <c r="C441" s="9">
        <f t="shared" si="131"/>
        <v>437</v>
      </c>
      <c r="D441" s="9"/>
      <c r="E441" s="13">
        <f t="shared" si="122"/>
        <v>5910.7642936910743</v>
      </c>
      <c r="F441" s="14">
        <f t="shared" si="132"/>
        <v>1245265.4747717106</v>
      </c>
      <c r="G441" s="15">
        <f t="shared" si="123"/>
        <v>0.25573497567328213</v>
      </c>
      <c r="H441" s="13">
        <f t="shared" si="134"/>
        <v>143984.58650861957</v>
      </c>
      <c r="I441" s="13">
        <f t="shared" si="124"/>
        <v>13364282.671308925</v>
      </c>
      <c r="J441" s="15">
        <f t="shared" si="119"/>
        <v>0.74426502432671793</v>
      </c>
      <c r="K441" s="13">
        <f t="shared" si="125"/>
        <v>3624093.7964553009</v>
      </c>
      <c r="L441" s="13">
        <f t="shared" si="133"/>
        <v>376698721.35169446</v>
      </c>
      <c r="M441" s="15">
        <f t="shared" si="126"/>
        <v>0.74426502432671782</v>
      </c>
      <c r="N441" s="13">
        <f t="shared" si="135"/>
        <v>53687.304863351892</v>
      </c>
      <c r="O441" s="13">
        <f t="shared" si="127"/>
        <v>9740188.874853624</v>
      </c>
      <c r="P441" s="15">
        <f t="shared" si="120"/>
        <v>0.66670021396018775</v>
      </c>
      <c r="Q441" s="7">
        <f t="shared" si="128"/>
        <v>14609548.146080635</v>
      </c>
      <c r="R441" s="7">
        <f t="shared" si="136"/>
        <v>4869359.2712270115</v>
      </c>
      <c r="S441" s="13">
        <f>IF('Calc (3)'!$AD$32="Sim",R441,Q441)</f>
        <v>4869359.2712270115</v>
      </c>
      <c r="T441" s="9">
        <f t="shared" si="129"/>
        <v>437</v>
      </c>
      <c r="U441" s="17">
        <f t="shared" ca="1" si="130"/>
        <v>58807</v>
      </c>
    </row>
    <row r="442" spans="2:21" x14ac:dyDescent="0.2">
      <c r="B442" s="17">
        <f t="shared" ca="1" si="121"/>
        <v>58807</v>
      </c>
      <c r="C442" s="9">
        <f t="shared" si="131"/>
        <v>438</v>
      </c>
      <c r="D442" s="9"/>
      <c r="E442" s="13">
        <f t="shared" si="122"/>
        <v>5934.8454790795404</v>
      </c>
      <c r="F442" s="14">
        <f t="shared" si="132"/>
        <v>1251200.3202507901</v>
      </c>
      <c r="G442" s="15">
        <f t="shared" si="123"/>
        <v>0.2550444482663351</v>
      </c>
      <c r="H442" s="13">
        <f t="shared" si="134"/>
        <v>145477.1963527427</v>
      </c>
      <c r="I442" s="13">
        <f t="shared" si="124"/>
        <v>13509759.867661668</v>
      </c>
      <c r="J442" s="15">
        <f t="shared" si="119"/>
        <v>0.7449555517336649</v>
      </c>
      <c r="K442" s="13">
        <f t="shared" si="125"/>
        <v>3654612.4851477421</v>
      </c>
      <c r="L442" s="13">
        <f t="shared" si="133"/>
        <v>380353333.83684218</v>
      </c>
      <c r="M442" s="15">
        <f t="shared" si="126"/>
        <v>0.7449555517336649</v>
      </c>
      <c r="N442" s="13">
        <f t="shared" si="135"/>
        <v>54243.715258014818</v>
      </c>
      <c r="O442" s="13">
        <f t="shared" si="127"/>
        <v>9855147.3825139254</v>
      </c>
      <c r="P442" s="15">
        <f t="shared" si="120"/>
        <v>0.66764947923808959</v>
      </c>
      <c r="Q442" s="7">
        <f t="shared" si="128"/>
        <v>14760960.187912459</v>
      </c>
      <c r="R442" s="7">
        <f t="shared" si="136"/>
        <v>4905812.8053985322</v>
      </c>
      <c r="S442" s="13">
        <f>IF('Calc (3)'!$AD$32="Sim",R442,Q442)</f>
        <v>4905812.8053985322</v>
      </c>
      <c r="T442" s="9">
        <f t="shared" si="129"/>
        <v>438</v>
      </c>
      <c r="U442" s="17">
        <f t="shared" ca="1" si="130"/>
        <v>58838</v>
      </c>
    </row>
    <row r="443" spans="2:21" x14ac:dyDescent="0.2">
      <c r="B443" s="17">
        <f t="shared" ca="1" si="121"/>
        <v>58838</v>
      </c>
      <c r="C443" s="9">
        <f t="shared" si="131"/>
        <v>439</v>
      </c>
      <c r="D443" s="9"/>
      <c r="E443" s="13">
        <f t="shared" si="122"/>
        <v>5959.0247741981366</v>
      </c>
      <c r="F443" s="14">
        <f t="shared" si="132"/>
        <v>1257159.3450249883</v>
      </c>
      <c r="G443" s="15">
        <f t="shared" si="123"/>
        <v>0.25435600338571834</v>
      </c>
      <c r="H443" s="13">
        <f t="shared" si="134"/>
        <v>146984.9089198591</v>
      </c>
      <c r="I443" s="13">
        <f t="shared" si="124"/>
        <v>13656744.776581528</v>
      </c>
      <c r="J443" s="15">
        <f t="shared" si="119"/>
        <v>0.7456439966142816</v>
      </c>
      <c r="K443" s="13">
        <f t="shared" si="125"/>
        <v>3685359.5194445411</v>
      </c>
      <c r="L443" s="13">
        <f t="shared" si="133"/>
        <v>384038693.3562867</v>
      </c>
      <c r="M443" s="15">
        <f t="shared" si="126"/>
        <v>0.74564399661428171</v>
      </c>
      <c r="N443" s="13">
        <f t="shared" si="135"/>
        <v>54805.755063293531</v>
      </c>
      <c r="O443" s="13">
        <f t="shared" si="127"/>
        <v>9971385.2571369857</v>
      </c>
      <c r="P443" s="15">
        <f t="shared" si="120"/>
        <v>0.66859657778615744</v>
      </c>
      <c r="Q443" s="7">
        <f t="shared" si="128"/>
        <v>14913904.121606516</v>
      </c>
      <c r="R443" s="7">
        <f t="shared" si="136"/>
        <v>4942518.8644695291</v>
      </c>
      <c r="S443" s="13">
        <f>IF('Calc (3)'!$AD$32="Sim",R443,Q443)</f>
        <v>4942518.8644695291</v>
      </c>
      <c r="T443" s="9">
        <f t="shared" si="129"/>
        <v>439</v>
      </c>
      <c r="U443" s="17">
        <f t="shared" ca="1" si="130"/>
        <v>58866</v>
      </c>
    </row>
    <row r="444" spans="2:21" x14ac:dyDescent="0.2">
      <c r="B444" s="17">
        <f t="shared" ca="1" si="121"/>
        <v>58866</v>
      </c>
      <c r="C444" s="9">
        <f t="shared" si="131"/>
        <v>440</v>
      </c>
      <c r="D444" s="9"/>
      <c r="E444" s="13">
        <f t="shared" si="122"/>
        <v>5983.3025787580473</v>
      </c>
      <c r="F444" s="14">
        <f t="shared" si="132"/>
        <v>1263142.6476037463</v>
      </c>
      <c r="G444" s="15">
        <f t="shared" si="123"/>
        <v>0.25366963392118907</v>
      </c>
      <c r="H444" s="13">
        <f t="shared" si="134"/>
        <v>148507.87557498732</v>
      </c>
      <c r="I444" s="13">
        <f t="shared" si="124"/>
        <v>13805252.652156515</v>
      </c>
      <c r="J444" s="15">
        <f t="shared" si="119"/>
        <v>0.74633036607881098</v>
      </c>
      <c r="K444" s="13">
        <f t="shared" si="125"/>
        <v>3716336.4807344275</v>
      </c>
      <c r="L444" s="13">
        <f t="shared" si="133"/>
        <v>387755029.83702111</v>
      </c>
      <c r="M444" s="15">
        <f t="shared" si="126"/>
        <v>0.74633036607881087</v>
      </c>
      <c r="N444" s="13">
        <f t="shared" si="135"/>
        <v>55373.480697057479</v>
      </c>
      <c r="O444" s="13">
        <f t="shared" si="127"/>
        <v>10088916.171422087</v>
      </c>
      <c r="P444" s="15">
        <f t="shared" si="120"/>
        <v>0.66954151193409439</v>
      </c>
      <c r="Q444" s="7">
        <f t="shared" si="128"/>
        <v>15068395.299760262</v>
      </c>
      <c r="R444" s="7">
        <f t="shared" si="136"/>
        <v>4979479.128338174</v>
      </c>
      <c r="S444" s="13">
        <f>IF('Calc (3)'!$AD$32="Sim",R444,Q444)</f>
        <v>4979479.128338174</v>
      </c>
      <c r="T444" s="9">
        <f t="shared" si="129"/>
        <v>440</v>
      </c>
      <c r="U444" s="17">
        <f t="shared" ca="1" si="130"/>
        <v>58897</v>
      </c>
    </row>
    <row r="445" spans="2:21" x14ac:dyDescent="0.2">
      <c r="B445" s="17">
        <f t="shared" ca="1" si="121"/>
        <v>58897</v>
      </c>
      <c r="C445" s="9">
        <f t="shared" si="131"/>
        <v>441</v>
      </c>
      <c r="D445" s="9"/>
      <c r="E445" s="13">
        <f t="shared" si="122"/>
        <v>6007.6792940989299</v>
      </c>
      <c r="F445" s="14">
        <f t="shared" si="132"/>
        <v>1269150.3268978451</v>
      </c>
      <c r="G445" s="15">
        <f t="shared" si="123"/>
        <v>0.2529853327904113</v>
      </c>
      <c r="H445" s="13">
        <f t="shared" si="134"/>
        <v>150046.24919437052</v>
      </c>
      <c r="I445" s="13">
        <f t="shared" si="124"/>
        <v>13955298.901350886</v>
      </c>
      <c r="J445" s="15">
        <f t="shared" si="119"/>
        <v>0.74701466720958876</v>
      </c>
      <c r="K445" s="13">
        <f t="shared" si="125"/>
        <v>3747544.960924583</v>
      </c>
      <c r="L445" s="13">
        <f t="shared" si="133"/>
        <v>391502574.79794568</v>
      </c>
      <c r="M445" s="15">
        <f t="shared" si="126"/>
        <v>0.74701466720958876</v>
      </c>
      <c r="N445" s="13">
        <f t="shared" si="135"/>
        <v>55946.949140442004</v>
      </c>
      <c r="O445" s="13">
        <f t="shared" si="127"/>
        <v>10207753.940426301</v>
      </c>
      <c r="P445" s="15">
        <f t="shared" si="120"/>
        <v>0.67048428402164928</v>
      </c>
      <c r="Q445" s="7">
        <f t="shared" si="128"/>
        <v>15224449.22824873</v>
      </c>
      <c r="R445" s="7">
        <f t="shared" si="136"/>
        <v>5016695.2878224282</v>
      </c>
      <c r="S445" s="13">
        <f>IF('Calc (3)'!$AD$32="Sim",R445,Q445)</f>
        <v>5016695.2878224282</v>
      </c>
      <c r="T445" s="9">
        <f t="shared" si="129"/>
        <v>441</v>
      </c>
      <c r="U445" s="17">
        <f t="shared" ca="1" si="130"/>
        <v>58927</v>
      </c>
    </row>
    <row r="446" spans="2:21" x14ac:dyDescent="0.2">
      <c r="B446" s="17">
        <f t="shared" ca="1" si="121"/>
        <v>58927</v>
      </c>
      <c r="C446" s="9">
        <f t="shared" si="131"/>
        <v>442</v>
      </c>
      <c r="D446" s="9"/>
      <c r="E446" s="13">
        <f t="shared" si="122"/>
        <v>6032.1553231955504</v>
      </c>
      <c r="F446" s="14">
        <f t="shared" si="132"/>
        <v>1275182.4822210406</v>
      </c>
      <c r="G446" s="15">
        <f t="shared" si="123"/>
        <v>0.2523030929388218</v>
      </c>
      <c r="H446" s="13">
        <f t="shared" si="134"/>
        <v>151600.18418054079</v>
      </c>
      <c r="I446" s="13">
        <f t="shared" si="124"/>
        <v>14106899.085531427</v>
      </c>
      <c r="J446" s="15">
        <f t="shared" si="119"/>
        <v>0.7476969070611782</v>
      </c>
      <c r="K446" s="13">
        <f t="shared" si="125"/>
        <v>3778986.5625090031</v>
      </c>
      <c r="L446" s="13">
        <f t="shared" si="133"/>
        <v>395281561.36045468</v>
      </c>
      <c r="M446" s="15">
        <f t="shared" si="126"/>
        <v>0.74769690706117808</v>
      </c>
      <c r="N446" s="13">
        <f t="shared" si="135"/>
        <v>56526.217943463191</v>
      </c>
      <c r="O446" s="13">
        <f t="shared" si="127"/>
        <v>10327912.523022424</v>
      </c>
      <c r="P446" s="15">
        <f t="shared" si="120"/>
        <v>0.67142489639856162</v>
      </c>
      <c r="Q446" s="7">
        <f t="shared" si="128"/>
        <v>15382081.567752467</v>
      </c>
      <c r="R446" s="7">
        <f t="shared" si="136"/>
        <v>5054169.044730044</v>
      </c>
      <c r="S446" s="13">
        <f>IF('Calc (3)'!$AD$32="Sim",R446,Q446)</f>
        <v>5054169.044730044</v>
      </c>
      <c r="T446" s="9">
        <f t="shared" si="129"/>
        <v>442</v>
      </c>
      <c r="U446" s="17">
        <f t="shared" ca="1" si="130"/>
        <v>58958</v>
      </c>
    </row>
    <row r="447" spans="2:21" x14ac:dyDescent="0.2">
      <c r="B447" s="17">
        <f t="shared" ca="1" si="121"/>
        <v>58958</v>
      </c>
      <c r="C447" s="9">
        <f t="shared" si="131"/>
        <v>443</v>
      </c>
      <c r="D447" s="9"/>
      <c r="E447" s="13">
        <f t="shared" si="122"/>
        <v>6056.7310706644421</v>
      </c>
      <c r="F447" s="14">
        <f t="shared" si="132"/>
        <v>1281239.2132917051</v>
      </c>
      <c r="G447" s="15">
        <f t="shared" si="123"/>
        <v>0.25162290733949738</v>
      </c>
      <c r="H447" s="13">
        <f t="shared" si="134"/>
        <v>153169.83647753394</v>
      </c>
      <c r="I447" s="13">
        <f t="shared" si="124"/>
        <v>14260068.922008961</v>
      </c>
      <c r="J447" s="15">
        <f t="shared" si="119"/>
        <v>0.74837709266050267</v>
      </c>
      <c r="K447" s="13">
        <f t="shared" si="125"/>
        <v>3810662.8986373083</v>
      </c>
      <c r="L447" s="13">
        <f t="shared" si="133"/>
        <v>399092224.25909197</v>
      </c>
      <c r="M447" s="15">
        <f t="shared" si="126"/>
        <v>0.74837709266050267</v>
      </c>
      <c r="N447" s="13">
        <f t="shared" si="135"/>
        <v>57111.345230688603</v>
      </c>
      <c r="O447" s="13">
        <f t="shared" si="127"/>
        <v>10449406.023371652</v>
      </c>
      <c r="P447" s="15">
        <f t="shared" si="120"/>
        <v>0.67236335142450321</v>
      </c>
      <c r="Q447" s="7">
        <f t="shared" si="128"/>
        <v>15541308.135300666</v>
      </c>
      <c r="R447" s="7">
        <f t="shared" si="136"/>
        <v>5091902.1119290134</v>
      </c>
      <c r="S447" s="13">
        <f>IF('Calc (3)'!$AD$32="Sim",R447,Q447)</f>
        <v>5091902.1119290134</v>
      </c>
      <c r="T447" s="9">
        <f t="shared" si="129"/>
        <v>443</v>
      </c>
      <c r="U447" s="17">
        <f t="shared" ca="1" si="130"/>
        <v>58988</v>
      </c>
    </row>
    <row r="448" spans="2:21" x14ac:dyDescent="0.2">
      <c r="B448" s="17">
        <f t="shared" ca="1" si="121"/>
        <v>58988</v>
      </c>
      <c r="C448" s="9">
        <f t="shared" si="131"/>
        <v>444</v>
      </c>
      <c r="D448" s="9">
        <v>37</v>
      </c>
      <c r="E448" s="13">
        <f t="shared" si="122"/>
        <v>6081.4069427705981</v>
      </c>
      <c r="F448" s="14">
        <f t="shared" si="132"/>
        <v>1287320.6202344757</v>
      </c>
      <c r="G448" s="15">
        <f t="shared" si="123"/>
        <v>0.25094476899302243</v>
      </c>
      <c r="H448" s="13">
        <f t="shared" si="134"/>
        <v>154755.36358625544</v>
      </c>
      <c r="I448" s="13">
        <f t="shared" si="124"/>
        <v>14414824.285595218</v>
      </c>
      <c r="J448" s="15">
        <f t="shared" si="119"/>
        <v>0.74905523100697757</v>
      </c>
      <c r="K448" s="13">
        <f t="shared" si="125"/>
        <v>3842575.593183984</v>
      </c>
      <c r="L448" s="13">
        <f t="shared" si="133"/>
        <v>402934799.85227597</v>
      </c>
      <c r="M448" s="15">
        <f t="shared" si="126"/>
        <v>0.74905523100697768</v>
      </c>
      <c r="N448" s="13">
        <f t="shared" si="135"/>
        <v>57702.389706964575</v>
      </c>
      <c r="O448" s="13">
        <f t="shared" si="127"/>
        <v>10572248.692411233</v>
      </c>
      <c r="P448" s="15">
        <f t="shared" si="120"/>
        <v>0.67329965146902337</v>
      </c>
      <c r="Q448" s="7">
        <f t="shared" si="128"/>
        <v>15702144.905829692</v>
      </c>
      <c r="R448" s="7">
        <f t="shared" si="136"/>
        <v>5129896.2134184595</v>
      </c>
      <c r="S448" s="13">
        <f>IF('Calc (3)'!$AD$32="Sim",R448,Q448)</f>
        <v>5129896.2134184595</v>
      </c>
      <c r="T448" s="9">
        <f t="shared" si="129"/>
        <v>444</v>
      </c>
      <c r="U448" s="17">
        <f t="shared" ca="1" si="130"/>
        <v>59019</v>
      </c>
    </row>
    <row r="449" spans="2:21" x14ac:dyDescent="0.2">
      <c r="B449" s="17">
        <f t="shared" ca="1" si="121"/>
        <v>59019</v>
      </c>
      <c r="C449" s="9">
        <f t="shared" si="131"/>
        <v>445</v>
      </c>
      <c r="D449" s="9"/>
      <c r="E449" s="13">
        <f t="shared" si="122"/>
        <v>6106.1833474341838</v>
      </c>
      <c r="F449" s="14">
        <f t="shared" si="132"/>
        <v>1293426.80358191</v>
      </c>
      <c r="G449" s="15">
        <f t="shared" si="123"/>
        <v>0.25026867092735811</v>
      </c>
      <c r="H449" s="13">
        <f t="shared" si="134"/>
        <v>156356.92457999973</v>
      </c>
      <c r="I449" s="13">
        <f t="shared" si="124"/>
        <v>14571181.210175218</v>
      </c>
      <c r="J449" s="15">
        <f t="shared" si="119"/>
        <v>0.74973132907264195</v>
      </c>
      <c r="K449" s="13">
        <f t="shared" si="125"/>
        <v>3874726.2808180721</v>
      </c>
      <c r="L449" s="13">
        <f t="shared" si="133"/>
        <v>406809526.13309401</v>
      </c>
      <c r="M449" s="15">
        <f t="shared" si="126"/>
        <v>0.74973132907264184</v>
      </c>
      <c r="N449" s="13">
        <f t="shared" si="135"/>
        <v>58299.410663200491</v>
      </c>
      <c r="O449" s="13">
        <f t="shared" si="127"/>
        <v>10696454.929357145</v>
      </c>
      <c r="P449" s="15">
        <f t="shared" si="120"/>
        <v>0.6742337989114906</v>
      </c>
      <c r="Q449" s="7">
        <f t="shared" si="128"/>
        <v>15864608.013757126</v>
      </c>
      <c r="R449" s="7">
        <f t="shared" si="136"/>
        <v>5168153.0843999824</v>
      </c>
      <c r="S449" s="13">
        <f>IF('Calc (3)'!$AD$32="Sim",R449,Q449)</f>
        <v>5168153.0843999824</v>
      </c>
      <c r="T449" s="9">
        <f t="shared" si="129"/>
        <v>445</v>
      </c>
      <c r="U449" s="17">
        <f t="shared" ca="1" si="130"/>
        <v>59050</v>
      </c>
    </row>
    <row r="450" spans="2:21" x14ac:dyDescent="0.2">
      <c r="B450" s="17">
        <f t="shared" ca="1" si="121"/>
        <v>59050</v>
      </c>
      <c r="C450" s="9">
        <f t="shared" si="131"/>
        <v>446</v>
      </c>
      <c r="D450" s="9"/>
      <c r="E450" s="13">
        <f t="shared" si="122"/>
        <v>6131.0606942372833</v>
      </c>
      <c r="F450" s="14">
        <f t="shared" si="132"/>
        <v>1299557.8642761472</v>
      </c>
      <c r="G450" s="15">
        <f t="shared" si="123"/>
        <v>0.2495946061977117</v>
      </c>
      <c r="H450" s="13">
        <f t="shared" si="134"/>
        <v>157974.68012012413</v>
      </c>
      <c r="I450" s="13">
        <f t="shared" si="124"/>
        <v>14729155.890295342</v>
      </c>
      <c r="J450" s="15">
        <f t="shared" si="119"/>
        <v>0.75040539380228832</v>
      </c>
      <c r="K450" s="13">
        <f t="shared" si="125"/>
        <v>3907116.6070733126</v>
      </c>
      <c r="L450" s="13">
        <f t="shared" si="133"/>
        <v>410716642.74016732</v>
      </c>
      <c r="M450" s="15">
        <f t="shared" si="126"/>
        <v>0.75040539380228821</v>
      </c>
      <c r="N450" s="13">
        <f t="shared" si="135"/>
        <v>58902.467982210765</v>
      </c>
      <c r="O450" s="13">
        <f t="shared" si="127"/>
        <v>10822039.283222027</v>
      </c>
      <c r="P450" s="15">
        <f t="shared" si="120"/>
        <v>0.67516579614103567</v>
      </c>
      <c r="Q450" s="7">
        <f t="shared" si="128"/>
        <v>16028713.754571488</v>
      </c>
      <c r="R450" s="7">
        <f t="shared" si="136"/>
        <v>5206674.4713494601</v>
      </c>
      <c r="S450" s="13">
        <f>IF('Calc (3)'!$AD$32="Sim",R450,Q450)</f>
        <v>5206674.4713494601</v>
      </c>
      <c r="T450" s="9">
        <f t="shared" si="129"/>
        <v>446</v>
      </c>
      <c r="U450" s="17">
        <f t="shared" ca="1" si="130"/>
        <v>59080</v>
      </c>
    </row>
    <row r="451" spans="2:21" x14ac:dyDescent="0.2">
      <c r="B451" s="17">
        <f t="shared" ca="1" si="121"/>
        <v>59080</v>
      </c>
      <c r="C451" s="9">
        <f t="shared" si="131"/>
        <v>447</v>
      </c>
      <c r="D451" s="9"/>
      <c r="E451" s="13">
        <f t="shared" si="122"/>
        <v>6156.039394430667</v>
      </c>
      <c r="F451" s="14">
        <f t="shared" si="132"/>
        <v>1305713.9036705778</v>
      </c>
      <c r="G451" s="15">
        <f t="shared" si="123"/>
        <v>0.24892256788640738</v>
      </c>
      <c r="H451" s="13">
        <f t="shared" si="134"/>
        <v>159608.7924718787</v>
      </c>
      <c r="I451" s="13">
        <f t="shared" si="124"/>
        <v>14888764.68276722</v>
      </c>
      <c r="J451" s="15">
        <f t="shared" si="119"/>
        <v>0.75107743211359268</v>
      </c>
      <c r="K451" s="13">
        <f t="shared" si="125"/>
        <v>3939748.2284187214</v>
      </c>
      <c r="L451" s="13">
        <f t="shared" si="133"/>
        <v>414656390.96858603</v>
      </c>
      <c r="M451" s="15">
        <f t="shared" si="126"/>
        <v>0.75107743211359257</v>
      </c>
      <c r="N451" s="13">
        <f t="shared" si="135"/>
        <v>59511.622144614914</v>
      </c>
      <c r="O451" s="13">
        <f t="shared" si="127"/>
        <v>10949016.454348497</v>
      </c>
      <c r="P451" s="15">
        <f t="shared" si="120"/>
        <v>0.67609564555649504</v>
      </c>
      <c r="Q451" s="7">
        <f t="shared" si="128"/>
        <v>16194478.586437797</v>
      </c>
      <c r="R451" s="7">
        <f t="shared" si="136"/>
        <v>5245462.1320892991</v>
      </c>
      <c r="S451" s="13">
        <f>IF('Calc (3)'!$AD$32="Sim",R451,Q451)</f>
        <v>5245462.1320892991</v>
      </c>
      <c r="T451" s="9">
        <f t="shared" si="129"/>
        <v>447</v>
      </c>
      <c r="U451" s="17">
        <f t="shared" ca="1" si="130"/>
        <v>59111</v>
      </c>
    </row>
    <row r="452" spans="2:21" x14ac:dyDescent="0.2">
      <c r="B452" s="17">
        <f t="shared" ca="1" si="121"/>
        <v>59111</v>
      </c>
      <c r="C452" s="9">
        <f t="shared" si="131"/>
        <v>448</v>
      </c>
      <c r="D452" s="9"/>
      <c r="E452" s="13">
        <f t="shared" si="122"/>
        <v>6181.1198609405928</v>
      </c>
      <c r="F452" s="14">
        <f t="shared" si="132"/>
        <v>1311895.0235315184</v>
      </c>
      <c r="G452" s="15">
        <f t="shared" si="123"/>
        <v>0.24825254910275754</v>
      </c>
      <c r="H452" s="13">
        <f t="shared" si="134"/>
        <v>161259.42552039388</v>
      </c>
      <c r="I452" s="13">
        <f t="shared" si="124"/>
        <v>15050024.108287614</v>
      </c>
      <c r="J452" s="15">
        <f t="shared" si="119"/>
        <v>0.75174745089724249</v>
      </c>
      <c r="K452" s="13">
        <f t="shared" si="125"/>
        <v>3972622.8123296327</v>
      </c>
      <c r="L452" s="13">
        <f t="shared" si="133"/>
        <v>418629013.78091568</v>
      </c>
      <c r="M452" s="15">
        <f t="shared" si="126"/>
        <v>0.75174745089724249</v>
      </c>
      <c r="N452" s="13">
        <f t="shared" si="135"/>
        <v>60126.934234796507</v>
      </c>
      <c r="O452" s="13">
        <f t="shared" si="127"/>
        <v>11077401.295957979</v>
      </c>
      <c r="P452" s="15">
        <f t="shared" si="120"/>
        <v>0.67702334956635279</v>
      </c>
      <c r="Q452" s="7">
        <f t="shared" si="128"/>
        <v>16361919.131819131</v>
      </c>
      <c r="R452" s="7">
        <f t="shared" si="136"/>
        <v>5284517.8358611511</v>
      </c>
      <c r="S452" s="13">
        <f>IF('Calc (3)'!$AD$32="Sim",R452,Q452)</f>
        <v>5284517.8358611511</v>
      </c>
      <c r="T452" s="9">
        <f t="shared" si="129"/>
        <v>448</v>
      </c>
      <c r="U452" s="17">
        <f t="shared" ca="1" si="130"/>
        <v>59141</v>
      </c>
    </row>
    <row r="453" spans="2:21" x14ac:dyDescent="0.2">
      <c r="B453" s="17">
        <f t="shared" ca="1" si="121"/>
        <v>59141</v>
      </c>
      <c r="C453" s="9">
        <f t="shared" si="131"/>
        <v>449</v>
      </c>
      <c r="D453" s="9"/>
      <c r="E453" s="13">
        <f t="shared" si="122"/>
        <v>6206.302508375632</v>
      </c>
      <c r="F453" s="14">
        <f t="shared" si="132"/>
        <v>1318101.326039894</v>
      </c>
      <c r="G453" s="15">
        <f t="shared" si="123"/>
        <v>0.24758454298293489</v>
      </c>
      <c r="H453" s="13">
        <f t="shared" si="134"/>
        <v>162926.74478682753</v>
      </c>
      <c r="I453" s="13">
        <f t="shared" si="124"/>
        <v>15212950.853074441</v>
      </c>
      <c r="J453" s="15">
        <f t="shared" ref="J453:J516" si="137">1-G453</f>
        <v>0.75241545701706514</v>
      </c>
      <c r="K453" s="13">
        <f t="shared" si="125"/>
        <v>4005742.0373591934</v>
      </c>
      <c r="L453" s="13">
        <f t="shared" si="133"/>
        <v>422634755.81827486</v>
      </c>
      <c r="M453" s="15">
        <f t="shared" si="126"/>
        <v>0.75241545701706514</v>
      </c>
      <c r="N453" s="13">
        <f t="shared" si="135"/>
        <v>60748.465946921453</v>
      </c>
      <c r="O453" s="13">
        <f t="shared" si="127"/>
        <v>11207208.815715246</v>
      </c>
      <c r="P453" s="15">
        <f t="shared" ref="P453:P516" si="138">O453/Q453</f>
        <v>0.67794891058868356</v>
      </c>
      <c r="Q453" s="7">
        <f t="shared" si="128"/>
        <v>16531052.179114334</v>
      </c>
      <c r="R453" s="7">
        <f t="shared" si="136"/>
        <v>5323843.3633990875</v>
      </c>
      <c r="S453" s="13">
        <f>IF('Calc (3)'!$AD$32="Sim",R453,Q453)</f>
        <v>5323843.3633990875</v>
      </c>
      <c r="T453" s="9">
        <f t="shared" si="129"/>
        <v>449</v>
      </c>
      <c r="U453" s="17">
        <f t="shared" ca="1" si="130"/>
        <v>59172</v>
      </c>
    </row>
    <row r="454" spans="2:21" x14ac:dyDescent="0.2">
      <c r="B454" s="17">
        <f t="shared" ref="B454:B517" ca="1" si="139">DATE(YEAR(B453),MONTH(B453)+1,1)</f>
        <v>59172</v>
      </c>
      <c r="C454" s="9">
        <f t="shared" si="131"/>
        <v>450</v>
      </c>
      <c r="D454" s="9"/>
      <c r="E454" s="13">
        <f t="shared" ref="E454:E517" si="140">IF($AE$33,IF($AE$34,$E453*(1+Inflação_3)*(1+Crescimento_Salário_3),$E453*(1+Inflação_3)),IF($AE$34,$E453*(1+Crescimento_Salário_3),$E453))</f>
        <v>6231.5877530335219</v>
      </c>
      <c r="F454" s="14">
        <f t="shared" si="132"/>
        <v>1324332.9137929275</v>
      </c>
      <c r="G454" s="15">
        <f t="shared" ref="G454:G517" si="141">IF(F454&lt;=0,0,F454/S454)</f>
        <v>0.24691854268984578</v>
      </c>
      <c r="H454" s="13">
        <f t="shared" si="134"/>
        <v>164610.91744467276</v>
      </c>
      <c r="I454" s="13">
        <f t="shared" ref="I454:I517" si="142">I453+H454</f>
        <v>15377561.770519113</v>
      </c>
      <c r="J454" s="15">
        <f t="shared" si="137"/>
        <v>0.75308145731015419</v>
      </c>
      <c r="K454" s="13">
        <f t="shared" ref="K454:K517" si="143">R454-F454</f>
        <v>4039107.5932103116</v>
      </c>
      <c r="L454" s="13">
        <f t="shared" si="133"/>
        <v>426673863.4114852</v>
      </c>
      <c r="M454" s="15">
        <f t="shared" ref="M454:M517" si="144">K454/R454</f>
        <v>0.75308145731015419</v>
      </c>
      <c r="N454" s="13">
        <f t="shared" si="135"/>
        <v>61376.279591016166</v>
      </c>
      <c r="O454" s="13">
        <f t="shared" ref="O454:O517" si="145">Q454-R454</f>
        <v>11338454.177308802</v>
      </c>
      <c r="P454" s="15">
        <f t="shared" si="138"/>
        <v>0.67887233105109468</v>
      </c>
      <c r="Q454" s="7">
        <f t="shared" ref="Q454:Q517" si="146">Q453+E454+H454</f>
        <v>16701894.68431204</v>
      </c>
      <c r="R454" s="7">
        <f t="shared" si="136"/>
        <v>5363440.5070032394</v>
      </c>
      <c r="S454" s="13">
        <f>IF('Calc (3)'!$AD$32="Sim",R454,Q454)</f>
        <v>5363440.5070032394</v>
      </c>
      <c r="T454" s="9">
        <f t="shared" ref="T454:T517" si="147">C454</f>
        <v>450</v>
      </c>
      <c r="U454" s="17">
        <f t="shared" ref="U454:U517" ca="1" si="148">DATE(YEAR(U453),MONTH(U453)+1,1)</f>
        <v>59203</v>
      </c>
    </row>
    <row r="455" spans="2:21" x14ac:dyDescent="0.2">
      <c r="B455" s="17">
        <f t="shared" ca="1" si="139"/>
        <v>59203</v>
      </c>
      <c r="C455" s="9">
        <f t="shared" ref="C455:C518" si="149">C454+1</f>
        <v>451</v>
      </c>
      <c r="D455" s="9"/>
      <c r="E455" s="13">
        <f t="shared" si="140"/>
        <v>6256.9760129080478</v>
      </c>
      <c r="F455" s="14">
        <f t="shared" ref="F455:F518" si="150">F454+E455</f>
        <v>1330589.8898058357</v>
      </c>
      <c r="G455" s="15">
        <f t="shared" si="141"/>
        <v>0.24625454141300396</v>
      </c>
      <c r="H455" s="13">
        <f t="shared" si="134"/>
        <v>166312.11233622787</v>
      </c>
      <c r="I455" s="13">
        <f t="shared" si="142"/>
        <v>15543873.882855341</v>
      </c>
      <c r="J455" s="15">
        <f t="shared" si="137"/>
        <v>0.75374545858699604</v>
      </c>
      <c r="K455" s="13">
        <f t="shared" si="143"/>
        <v>4072721.1808080738</v>
      </c>
      <c r="L455" s="13">
        <f t="shared" ref="L455:L518" si="151">L454+K455</f>
        <v>430746584.59229326</v>
      </c>
      <c r="M455" s="15">
        <f t="shared" si="144"/>
        <v>0.75374545858699604</v>
      </c>
      <c r="N455" s="13">
        <f t="shared" si="135"/>
        <v>62010.438099106388</v>
      </c>
      <c r="O455" s="13">
        <f t="shared" si="145"/>
        <v>11471152.702047266</v>
      </c>
      <c r="P455" s="15">
        <f t="shared" si="138"/>
        <v>0.67979361339066813</v>
      </c>
      <c r="Q455" s="7">
        <f t="shared" si="146"/>
        <v>16874463.772661176</v>
      </c>
      <c r="R455" s="7">
        <f t="shared" si="136"/>
        <v>5403311.0706139095</v>
      </c>
      <c r="S455" s="13">
        <f>IF('Calc (3)'!$AD$32="Sim",R455,Q455)</f>
        <v>5403311.0706139095</v>
      </c>
      <c r="T455" s="9">
        <f t="shared" si="147"/>
        <v>451</v>
      </c>
      <c r="U455" s="17">
        <f t="shared" ca="1" si="148"/>
        <v>59231</v>
      </c>
    </row>
    <row r="456" spans="2:21" x14ac:dyDescent="0.2">
      <c r="B456" s="17">
        <f t="shared" ca="1" si="139"/>
        <v>59231</v>
      </c>
      <c r="C456" s="9">
        <f t="shared" si="149"/>
        <v>452</v>
      </c>
      <c r="D456" s="9"/>
      <c r="E456" s="13">
        <f t="shared" si="140"/>
        <v>6282.4677076959533</v>
      </c>
      <c r="F456" s="14">
        <f t="shared" si="150"/>
        <v>1336872.3575135316</v>
      </c>
      <c r="G456" s="15">
        <f t="shared" si="141"/>
        <v>0.24559253236840523</v>
      </c>
      <c r="H456" s="13">
        <f t="shared" si="134"/>
        <v>168030.49998923109</v>
      </c>
      <c r="I456" s="13">
        <f t="shared" si="142"/>
        <v>15711904.382844571</v>
      </c>
      <c r="J456" s="15">
        <f t="shared" si="137"/>
        <v>0.75440746763159483</v>
      </c>
      <c r="K456" s="13">
        <f t="shared" si="143"/>
        <v>4106584.5123726162</v>
      </c>
      <c r="L456" s="13">
        <f t="shared" si="151"/>
        <v>434853169.10466588</v>
      </c>
      <c r="M456" s="15">
        <f t="shared" si="144"/>
        <v>0.75440746763159472</v>
      </c>
      <c r="N456" s="13">
        <f t="shared" si="135"/>
        <v>62651.005031417102</v>
      </c>
      <c r="O456" s="13">
        <f t="shared" si="145"/>
        <v>11605319.870471954</v>
      </c>
      <c r="P456" s="15">
        <f t="shared" si="138"/>
        <v>0.68071276005390335</v>
      </c>
      <c r="Q456" s="7">
        <f t="shared" si="146"/>
        <v>17048776.740358103</v>
      </c>
      <c r="R456" s="7">
        <f t="shared" si="136"/>
        <v>5443456.8698861478</v>
      </c>
      <c r="S456" s="13">
        <f>IF('Calc (3)'!$AD$32="Sim",R456,Q456)</f>
        <v>5443456.8698861478</v>
      </c>
      <c r="T456" s="9">
        <f t="shared" si="147"/>
        <v>452</v>
      </c>
      <c r="U456" s="17">
        <f t="shared" ca="1" si="148"/>
        <v>59262</v>
      </c>
    </row>
    <row r="457" spans="2:21" x14ac:dyDescent="0.2">
      <c r="B457" s="17">
        <f t="shared" ca="1" si="139"/>
        <v>59262</v>
      </c>
      <c r="C457" s="9">
        <f t="shared" si="149"/>
        <v>453</v>
      </c>
      <c r="D457" s="9"/>
      <c r="E457" s="13">
        <f t="shared" si="140"/>
        <v>6308.0632588038798</v>
      </c>
      <c r="F457" s="14">
        <f t="shared" si="150"/>
        <v>1343180.4207723355</v>
      </c>
      <c r="G457" s="15">
        <f t="shared" si="141"/>
        <v>0.24493250879840342</v>
      </c>
      <c r="H457" s="13">
        <f t="shared" si="134"/>
        <v>169766.2526336603</v>
      </c>
      <c r="I457" s="13">
        <f t="shared" si="142"/>
        <v>15881670.635478232</v>
      </c>
      <c r="J457" s="15">
        <f t="shared" si="137"/>
        <v>0.75506749120159655</v>
      </c>
      <c r="K457" s="13">
        <f t="shared" si="143"/>
        <v>4140699.3114924692</v>
      </c>
      <c r="L457" s="13">
        <f t="shared" si="151"/>
        <v>438993868.41615832</v>
      </c>
      <c r="M457" s="15">
        <f t="shared" si="144"/>
        <v>0.75506749120159655</v>
      </c>
      <c r="N457" s="13">
        <f t="shared" si="135"/>
        <v>63298.044582634218</v>
      </c>
      <c r="O457" s="13">
        <f t="shared" si="145"/>
        <v>11740971.323985763</v>
      </c>
      <c r="P457" s="15">
        <f t="shared" si="138"/>
        <v>0.68162977349665899</v>
      </c>
      <c r="Q457" s="7">
        <f t="shared" si="146"/>
        <v>17224851.056250568</v>
      </c>
      <c r="R457" s="7">
        <f t="shared" si="136"/>
        <v>5483879.7322648047</v>
      </c>
      <c r="S457" s="13">
        <f>IF('Calc (3)'!$AD$32="Sim",R457,Q457)</f>
        <v>5483879.7322648047</v>
      </c>
      <c r="T457" s="9">
        <f t="shared" si="147"/>
        <v>453</v>
      </c>
      <c r="U457" s="17">
        <f t="shared" ca="1" si="148"/>
        <v>59292</v>
      </c>
    </row>
    <row r="458" spans="2:21" x14ac:dyDescent="0.2">
      <c r="B458" s="17">
        <f t="shared" ca="1" si="139"/>
        <v>59292</v>
      </c>
      <c r="C458" s="9">
        <f t="shared" si="149"/>
        <v>454</v>
      </c>
      <c r="D458" s="9"/>
      <c r="E458" s="13">
        <f t="shared" si="140"/>
        <v>6333.7630893553314</v>
      </c>
      <c r="F458" s="14">
        <f t="shared" si="150"/>
        <v>1349514.1838616908</v>
      </c>
      <c r="G458" s="15">
        <f t="shared" si="141"/>
        <v>0.2442744639715862</v>
      </c>
      <c r="H458" s="13">
        <f t="shared" si="134"/>
        <v>171519.54421870052</v>
      </c>
      <c r="I458" s="13">
        <f t="shared" si="142"/>
        <v>16053190.179696932</v>
      </c>
      <c r="J458" s="15">
        <f t="shared" si="137"/>
        <v>0.75572553602841386</v>
      </c>
      <c r="K458" s="13">
        <f t="shared" si="143"/>
        <v>4175067.3131983755</v>
      </c>
      <c r="L458" s="13">
        <f t="shared" si="151"/>
        <v>443168935.72935671</v>
      </c>
      <c r="M458" s="15">
        <f t="shared" si="144"/>
        <v>0.75572553602841386</v>
      </c>
      <c r="N458" s="13">
        <f t="shared" si="135"/>
        <v>63951.621588228649</v>
      </c>
      <c r="O458" s="13">
        <f t="shared" si="145"/>
        <v>11878122.866498558</v>
      </c>
      <c r="P458" s="15">
        <f t="shared" si="138"/>
        <v>0.68254465618409421</v>
      </c>
      <c r="Q458" s="7">
        <f t="shared" si="146"/>
        <v>17402704.363558624</v>
      </c>
      <c r="R458" s="7">
        <f t="shared" si="136"/>
        <v>5524581.4970600661</v>
      </c>
      <c r="S458" s="13">
        <f>IF('Calc (3)'!$AD$32="Sim",R458,Q458)</f>
        <v>5524581.4970600661</v>
      </c>
      <c r="T458" s="9">
        <f t="shared" si="147"/>
        <v>454</v>
      </c>
      <c r="U458" s="17">
        <f t="shared" ca="1" si="148"/>
        <v>59323</v>
      </c>
    </row>
    <row r="459" spans="2:21" x14ac:dyDescent="0.2">
      <c r="B459" s="17">
        <f t="shared" ca="1" si="139"/>
        <v>59323</v>
      </c>
      <c r="C459" s="9">
        <f t="shared" si="149"/>
        <v>455</v>
      </c>
      <c r="D459" s="9"/>
      <c r="E459" s="13">
        <f t="shared" si="140"/>
        <v>6359.567624197668</v>
      </c>
      <c r="F459" s="14">
        <f t="shared" si="150"/>
        <v>1355873.7514858884</v>
      </c>
      <c r="G459" s="15">
        <f t="shared" si="141"/>
        <v>0.24361839118265249</v>
      </c>
      <c r="H459" s="13">
        <f t="shared" si="134"/>
        <v>173290.55042988027</v>
      </c>
      <c r="I459" s="13">
        <f t="shared" si="142"/>
        <v>16226480.730126813</v>
      </c>
      <c r="J459" s="15">
        <f t="shared" si="137"/>
        <v>0.75638160881734751</v>
      </c>
      <c r="K459" s="13">
        <f t="shared" si="143"/>
        <v>4209690.2640375718</v>
      </c>
      <c r="L459" s="13">
        <f t="shared" si="151"/>
        <v>447378625.99339426</v>
      </c>
      <c r="M459" s="15">
        <f t="shared" si="144"/>
        <v>0.75638160881734762</v>
      </c>
      <c r="N459" s="13">
        <f t="shared" si="135"/>
        <v>64611.801530843361</v>
      </c>
      <c r="O459" s="13">
        <f t="shared" si="145"/>
        <v>12016790.466089241</v>
      </c>
      <c r="P459" s="15">
        <f t="shared" si="138"/>
        <v>0.68345741059061105</v>
      </c>
      <c r="Q459" s="7">
        <f t="shared" si="146"/>
        <v>17582354.481612701</v>
      </c>
      <c r="R459" s="7">
        <f t="shared" si="136"/>
        <v>5565564.0155234598</v>
      </c>
      <c r="S459" s="13">
        <f>IF('Calc (3)'!$AD$32="Sim",R459,Q459)</f>
        <v>5565564.0155234598</v>
      </c>
      <c r="T459" s="9">
        <f t="shared" si="147"/>
        <v>455</v>
      </c>
      <c r="U459" s="17">
        <f t="shared" ca="1" si="148"/>
        <v>59353</v>
      </c>
    </row>
    <row r="460" spans="2:21" x14ac:dyDescent="0.2">
      <c r="B460" s="17">
        <f t="shared" ca="1" si="139"/>
        <v>59353</v>
      </c>
      <c r="C460" s="9">
        <f t="shared" si="149"/>
        <v>456</v>
      </c>
      <c r="D460" s="9">
        <v>38</v>
      </c>
      <c r="E460" s="13">
        <f t="shared" si="140"/>
        <v>6385.4772899091322</v>
      </c>
      <c r="F460" s="14">
        <f t="shared" si="150"/>
        <v>1362259.2287757974</v>
      </c>
      <c r="G460" s="15">
        <f t="shared" si="141"/>
        <v>0.24296428375229051</v>
      </c>
      <c r="H460" s="13">
        <f t="shared" si="134"/>
        <v>175079.44870637884</v>
      </c>
      <c r="I460" s="13">
        <f t="shared" si="142"/>
        <v>16401560.178833192</v>
      </c>
      <c r="J460" s="15">
        <f t="shared" si="137"/>
        <v>0.75703571624770949</v>
      </c>
      <c r="K460" s="13">
        <f t="shared" si="143"/>
        <v>4244569.9221485509</v>
      </c>
      <c r="L460" s="13">
        <f t="shared" si="151"/>
        <v>451623195.91554278</v>
      </c>
      <c r="M460" s="15">
        <f t="shared" si="144"/>
        <v>0.75703571624770949</v>
      </c>
      <c r="N460" s="13">
        <f t="shared" si="135"/>
        <v>65278.65054674408</v>
      </c>
      <c r="O460" s="13">
        <f t="shared" si="145"/>
        <v>12156990.256684639</v>
      </c>
      <c r="P460" s="15">
        <f t="shared" si="138"/>
        <v>0.68436803919979572</v>
      </c>
      <c r="Q460" s="7">
        <f t="shared" si="146"/>
        <v>17763819.407608986</v>
      </c>
      <c r="R460" s="7">
        <f t="shared" si="136"/>
        <v>5606829.1509243483</v>
      </c>
      <c r="S460" s="13">
        <f>IF('Calc (3)'!$AD$32="Sim",R460,Q460)</f>
        <v>5606829.1509243483</v>
      </c>
      <c r="T460" s="9">
        <f t="shared" si="147"/>
        <v>456</v>
      </c>
      <c r="U460" s="17">
        <f t="shared" ca="1" si="148"/>
        <v>59384</v>
      </c>
    </row>
    <row r="461" spans="2:21" x14ac:dyDescent="0.2">
      <c r="B461" s="17">
        <f t="shared" ca="1" si="139"/>
        <v>59384</v>
      </c>
      <c r="C461" s="9">
        <f t="shared" si="149"/>
        <v>457</v>
      </c>
      <c r="D461" s="9"/>
      <c r="E461" s="13">
        <f t="shared" si="140"/>
        <v>6411.4925148058974</v>
      </c>
      <c r="F461" s="14">
        <f t="shared" si="150"/>
        <v>1368670.7212906033</v>
      </c>
      <c r="G461" s="15">
        <f t="shared" si="141"/>
        <v>0.24231213502705642</v>
      </c>
      <c r="H461" s="13">
        <f t="shared" si="134"/>
        <v>176886.41825850558</v>
      </c>
      <c r="I461" s="13">
        <f t="shared" si="142"/>
        <v>16578446.597091697</v>
      </c>
      <c r="J461" s="15">
        <f t="shared" si="137"/>
        <v>0.7576878649729436</v>
      </c>
      <c r="K461" s="13">
        <f t="shared" si="143"/>
        <v>4279708.0573363043</v>
      </c>
      <c r="L461" s="13">
        <f t="shared" si="151"/>
        <v>455902903.97287911</v>
      </c>
      <c r="M461" s="15">
        <f t="shared" si="144"/>
        <v>0.7576878649729436</v>
      </c>
      <c r="N461" s="13">
        <f t="shared" si="135"/>
        <v>65952.235432334288</v>
      </c>
      <c r="O461" s="13">
        <f t="shared" si="145"/>
        <v>12298738.539755393</v>
      </c>
      <c r="P461" s="15">
        <f t="shared" si="138"/>
        <v>0.68527654450436082</v>
      </c>
      <c r="Q461" s="7">
        <f t="shared" si="146"/>
        <v>17947117.3183823</v>
      </c>
      <c r="R461" s="7">
        <f t="shared" si="136"/>
        <v>5648378.7786269076</v>
      </c>
      <c r="S461" s="13">
        <f>IF('Calc (3)'!$AD$32="Sim",R461,Q461)</f>
        <v>5648378.7786269076</v>
      </c>
      <c r="T461" s="9">
        <f t="shared" si="147"/>
        <v>457</v>
      </c>
      <c r="U461" s="17">
        <f t="shared" ca="1" si="148"/>
        <v>59415</v>
      </c>
    </row>
    <row r="462" spans="2:21" x14ac:dyDescent="0.2">
      <c r="B462" s="17">
        <f t="shared" ca="1" si="139"/>
        <v>59415</v>
      </c>
      <c r="C462" s="9">
        <f t="shared" si="149"/>
        <v>458</v>
      </c>
      <c r="D462" s="9"/>
      <c r="E462" s="13">
        <f t="shared" si="140"/>
        <v>6437.6137289491517</v>
      </c>
      <c r="F462" s="14">
        <f t="shared" si="150"/>
        <v>1375108.3350195524</v>
      </c>
      <c r="G462" s="15">
        <f t="shared" si="141"/>
        <v>0.24166193837925376</v>
      </c>
      <c r="H462" s="13">
        <f t="shared" si="134"/>
        <v>178711.64008535387</v>
      </c>
      <c r="I462" s="13">
        <f t="shared" si="142"/>
        <v>16757158.237177052</v>
      </c>
      <c r="J462" s="15">
        <f t="shared" si="137"/>
        <v>0.75833806162074624</v>
      </c>
      <c r="K462" s="13">
        <f t="shared" si="143"/>
        <v>4315106.4511480443</v>
      </c>
      <c r="L462" s="13">
        <f t="shared" si="151"/>
        <v>460218010.42402714</v>
      </c>
      <c r="M462" s="15">
        <f t="shared" si="144"/>
        <v>0.75833806162074624</v>
      </c>
      <c r="N462" s="13">
        <f t="shared" si="135"/>
        <v>66632.623650734968</v>
      </c>
      <c r="O462" s="13">
        <f t="shared" si="145"/>
        <v>12442051.786029007</v>
      </c>
      <c r="P462" s="15">
        <f t="shared" si="138"/>
        <v>0.68618292900608602</v>
      </c>
      <c r="Q462" s="7">
        <f t="shared" si="146"/>
        <v>18132266.572196603</v>
      </c>
      <c r="R462" s="7">
        <f t="shared" si="136"/>
        <v>5690214.7861675965</v>
      </c>
      <c r="S462" s="13">
        <f>IF('Calc (3)'!$AD$32="Sim",R462,Q462)</f>
        <v>5690214.7861675965</v>
      </c>
      <c r="T462" s="9">
        <f t="shared" si="147"/>
        <v>458</v>
      </c>
      <c r="U462" s="17">
        <f t="shared" ca="1" si="148"/>
        <v>59445</v>
      </c>
    </row>
    <row r="463" spans="2:21" x14ac:dyDescent="0.2">
      <c r="B463" s="17">
        <f t="shared" ca="1" si="139"/>
        <v>59445</v>
      </c>
      <c r="C463" s="9">
        <f t="shared" si="149"/>
        <v>459</v>
      </c>
      <c r="D463" s="9"/>
      <c r="E463" s="13">
        <f t="shared" si="140"/>
        <v>6463.8413641522047</v>
      </c>
      <c r="F463" s="14">
        <f t="shared" si="150"/>
        <v>1381572.1763837046</v>
      </c>
      <c r="G463" s="15">
        <f t="shared" si="141"/>
        <v>0.24101368720681382</v>
      </c>
      <c r="H463" s="13">
        <f t="shared" si="134"/>
        <v>180555.29699263014</v>
      </c>
      <c r="I463" s="13">
        <f t="shared" si="142"/>
        <v>16937713.534169681</v>
      </c>
      <c r="J463" s="15">
        <f t="shared" si="137"/>
        <v>0.75898631279318618</v>
      </c>
      <c r="K463" s="13">
        <f t="shared" si="143"/>
        <v>4350766.8969494114</v>
      </c>
      <c r="L463" s="13">
        <f t="shared" si="151"/>
        <v>464568777.32097656</v>
      </c>
      <c r="M463" s="15">
        <f t="shared" si="144"/>
        <v>0.75898631279318618</v>
      </c>
      <c r="N463" s="13">
        <f t="shared" si="135"/>
        <v>67319.883338430067</v>
      </c>
      <c r="O463" s="13">
        <f t="shared" si="145"/>
        <v>12586946.637220269</v>
      </c>
      <c r="P463" s="15">
        <f t="shared" si="138"/>
        <v>0.68708719521575956</v>
      </c>
      <c r="Q463" s="7">
        <f t="shared" si="146"/>
        <v>18319285.710553385</v>
      </c>
      <c r="R463" s="7">
        <f t="shared" si="136"/>
        <v>5732339.0733331162</v>
      </c>
      <c r="S463" s="13">
        <f>IF('Calc (3)'!$AD$32="Sim",R463,Q463)</f>
        <v>5732339.0733331162</v>
      </c>
      <c r="T463" s="9">
        <f t="shared" si="147"/>
        <v>459</v>
      </c>
      <c r="U463" s="17">
        <f t="shared" ca="1" si="148"/>
        <v>59476</v>
      </c>
    </row>
    <row r="464" spans="2:21" x14ac:dyDescent="0.2">
      <c r="B464" s="17">
        <f t="shared" ca="1" si="139"/>
        <v>59476</v>
      </c>
      <c r="C464" s="9">
        <f t="shared" si="149"/>
        <v>460</v>
      </c>
      <c r="D464" s="9"/>
      <c r="E464" s="13">
        <f t="shared" si="140"/>
        <v>6490.1758539876273</v>
      </c>
      <c r="F464" s="14">
        <f t="shared" si="150"/>
        <v>1388062.3522376923</v>
      </c>
      <c r="G464" s="15">
        <f t="shared" si="141"/>
        <v>0.24036737493317659</v>
      </c>
      <c r="H464" s="13">
        <f t="shared" si="134"/>
        <v>182417.57361066158</v>
      </c>
      <c r="I464" s="13">
        <f t="shared" si="142"/>
        <v>17120131.107780345</v>
      </c>
      <c r="J464" s="15">
        <f t="shared" si="137"/>
        <v>0.75963262506682339</v>
      </c>
      <c r="K464" s="13">
        <f t="shared" si="143"/>
        <v>4386691.2000011718</v>
      </c>
      <c r="L464" s="13">
        <f t="shared" si="151"/>
        <v>468955468.52097774</v>
      </c>
      <c r="M464" s="15">
        <f t="shared" si="144"/>
        <v>0.7596326250668235</v>
      </c>
      <c r="N464" s="13">
        <f t="shared" si="135"/>
        <v>68014.083311978131</v>
      </c>
      <c r="O464" s="13">
        <f t="shared" si="145"/>
        <v>12733439.907779172</v>
      </c>
      <c r="P464" s="15">
        <f t="shared" si="138"/>
        <v>0.68798934565312053</v>
      </c>
      <c r="Q464" s="7">
        <f t="shared" si="146"/>
        <v>18508193.460018035</v>
      </c>
      <c r="R464" s="7">
        <f t="shared" si="136"/>
        <v>5774753.5522388639</v>
      </c>
      <c r="S464" s="13">
        <f>IF('Calc (3)'!$AD$32="Sim",R464,Q464)</f>
        <v>5774753.5522388639</v>
      </c>
      <c r="T464" s="9">
        <f t="shared" si="147"/>
        <v>460</v>
      </c>
      <c r="U464" s="17">
        <f t="shared" ca="1" si="148"/>
        <v>59506</v>
      </c>
    </row>
    <row r="465" spans="2:21" x14ac:dyDescent="0.2">
      <c r="B465" s="17">
        <f t="shared" ca="1" si="139"/>
        <v>59506</v>
      </c>
      <c r="C465" s="9">
        <f t="shared" si="149"/>
        <v>461</v>
      </c>
      <c r="D465" s="9"/>
      <c r="E465" s="13">
        <f t="shared" si="140"/>
        <v>6516.6176337944189</v>
      </c>
      <c r="F465" s="14">
        <f t="shared" si="150"/>
        <v>1394578.9698714868</v>
      </c>
      <c r="G465" s="15">
        <f t="shared" si="141"/>
        <v>0.23972299500717256</v>
      </c>
      <c r="H465" s="13">
        <f t="shared" si="134"/>
        <v>184298.6564125822</v>
      </c>
      <c r="I465" s="13">
        <f t="shared" si="142"/>
        <v>17304429.764192928</v>
      </c>
      <c r="J465" s="15">
        <f t="shared" si="137"/>
        <v>0.76027700499282747</v>
      </c>
      <c r="K465" s="13">
        <f t="shared" si="143"/>
        <v>4422881.1775364028</v>
      </c>
      <c r="L465" s="13">
        <f t="shared" si="151"/>
        <v>473378349.69851416</v>
      </c>
      <c r="M465" s="15">
        <f t="shared" si="144"/>
        <v>0.76027700499282747</v>
      </c>
      <c r="N465" s="13">
        <f t="shared" si="135"/>
        <v>68715.293074790694</v>
      </c>
      <c r="O465" s="13">
        <f t="shared" si="145"/>
        <v>12881548.586656522</v>
      </c>
      <c r="P465" s="15">
        <f t="shared" si="138"/>
        <v>0.68888938284679824</v>
      </c>
      <c r="Q465" s="7">
        <f t="shared" si="146"/>
        <v>18699008.734064411</v>
      </c>
      <c r="R465" s="7">
        <f t="shared" si="136"/>
        <v>5817460.1474078894</v>
      </c>
      <c r="S465" s="13">
        <f>IF('Calc (3)'!$AD$32="Sim",R465,Q465)</f>
        <v>5817460.1474078894</v>
      </c>
      <c r="T465" s="9">
        <f t="shared" si="147"/>
        <v>461</v>
      </c>
      <c r="U465" s="17">
        <f t="shared" ca="1" si="148"/>
        <v>59537</v>
      </c>
    </row>
    <row r="466" spans="2:21" x14ac:dyDescent="0.2">
      <c r="B466" s="17">
        <f t="shared" ca="1" si="139"/>
        <v>59537</v>
      </c>
      <c r="C466" s="9">
        <f t="shared" si="149"/>
        <v>462</v>
      </c>
      <c r="D466" s="9"/>
      <c r="E466" s="13">
        <f t="shared" si="140"/>
        <v>6543.1671406852029</v>
      </c>
      <c r="F466" s="14">
        <f t="shared" si="150"/>
        <v>1401122.137012172</v>
      </c>
      <c r="G466" s="15">
        <f t="shared" si="141"/>
        <v>0.23908054090290534</v>
      </c>
      <c r="H466" s="13">
        <f t="shared" si="134"/>
        <v>186198.7337327007</v>
      </c>
      <c r="I466" s="13">
        <f t="shared" si="142"/>
        <v>17490628.497925628</v>
      </c>
      <c r="J466" s="15">
        <f t="shared" si="137"/>
        <v>0.76091945909709469</v>
      </c>
      <c r="K466" s="13">
        <f t="shared" si="143"/>
        <v>4459338.6588381752</v>
      </c>
      <c r="L466" s="13">
        <f t="shared" si="151"/>
        <v>477837688.35735232</v>
      </c>
      <c r="M466" s="15">
        <f t="shared" si="144"/>
        <v>0.76091945909709469</v>
      </c>
      <c r="N466" s="13">
        <f t="shared" si="135"/>
        <v>69423.582823978271</v>
      </c>
      <c r="O466" s="13">
        <f t="shared" si="145"/>
        <v>13031289.839087449</v>
      </c>
      <c r="P466" s="15">
        <f t="shared" si="138"/>
        <v>0.68978730933425514</v>
      </c>
      <c r="Q466" s="7">
        <f t="shared" si="146"/>
        <v>18891750.634937797</v>
      </c>
      <c r="R466" s="7">
        <f t="shared" si="136"/>
        <v>5860460.7958503468</v>
      </c>
      <c r="S466" s="13">
        <f>IF('Calc (3)'!$AD$32="Sim",R466,Q466)</f>
        <v>5860460.7958503468</v>
      </c>
      <c r="T466" s="9">
        <f t="shared" si="147"/>
        <v>462</v>
      </c>
      <c r="U466" s="17">
        <f t="shared" ca="1" si="148"/>
        <v>59568</v>
      </c>
    </row>
    <row r="467" spans="2:21" x14ac:dyDescent="0.2">
      <c r="B467" s="17">
        <f t="shared" ca="1" si="139"/>
        <v>59568</v>
      </c>
      <c r="C467" s="9">
        <f t="shared" si="149"/>
        <v>463</v>
      </c>
      <c r="D467" s="9"/>
      <c r="E467" s="13">
        <f t="shared" si="140"/>
        <v>6569.824813553455</v>
      </c>
      <c r="F467" s="14">
        <f t="shared" si="150"/>
        <v>1407691.9618257254</v>
      </c>
      <c r="G467" s="15">
        <f t="shared" si="141"/>
        <v>0.23844000611963487</v>
      </c>
      <c r="H467" s="13">
        <f t="shared" si="134"/>
        <v>188117.99578505105</v>
      </c>
      <c r="I467" s="13">
        <f t="shared" si="142"/>
        <v>17678746.493710678</v>
      </c>
      <c r="J467" s="15">
        <f t="shared" si="137"/>
        <v>0.7615599938803651</v>
      </c>
      <c r="K467" s="13">
        <f t="shared" si="143"/>
        <v>4496065.4853177294</v>
      </c>
      <c r="L467" s="13">
        <f t="shared" si="151"/>
        <v>482333753.84267002</v>
      </c>
      <c r="M467" s="15">
        <f t="shared" si="144"/>
        <v>0.7615599938803651</v>
      </c>
      <c r="N467" s="13">
        <f t="shared" si="135"/>
        <v>70139.023457264586</v>
      </c>
      <c r="O467" s="13">
        <f t="shared" si="145"/>
        <v>13182681.008392945</v>
      </c>
      <c r="P467" s="15">
        <f t="shared" si="138"/>
        <v>0.69068312766172713</v>
      </c>
      <c r="Q467" s="7">
        <f t="shared" si="146"/>
        <v>19086438.455536399</v>
      </c>
      <c r="R467" s="7">
        <f t="shared" si="136"/>
        <v>5903757.447143455</v>
      </c>
      <c r="S467" s="13">
        <f>IF('Calc (3)'!$AD$32="Sim",R467,Q467)</f>
        <v>5903757.447143455</v>
      </c>
      <c r="T467" s="9">
        <f t="shared" si="147"/>
        <v>463</v>
      </c>
      <c r="U467" s="17">
        <f t="shared" ca="1" si="148"/>
        <v>59596</v>
      </c>
    </row>
    <row r="468" spans="2:21" x14ac:dyDescent="0.2">
      <c r="B468" s="17">
        <f t="shared" ca="1" si="139"/>
        <v>59596</v>
      </c>
      <c r="C468" s="9">
        <f t="shared" si="149"/>
        <v>464</v>
      </c>
      <c r="D468" s="9"/>
      <c r="E468" s="13">
        <f t="shared" si="140"/>
        <v>6596.5910930807559</v>
      </c>
      <c r="F468" s="14">
        <f t="shared" si="150"/>
        <v>1414288.5529188062</v>
      </c>
      <c r="G468" s="15">
        <f t="shared" si="141"/>
        <v>0.23780138418166144</v>
      </c>
      <c r="H468" s="13">
        <f t="shared" si="134"/>
        <v>190056.63468212803</v>
      </c>
      <c r="I468" s="13">
        <f t="shared" si="142"/>
        <v>17868803.128392804</v>
      </c>
      <c r="J468" s="15">
        <f t="shared" si="137"/>
        <v>0.76219861581833859</v>
      </c>
      <c r="K468" s="13">
        <f t="shared" si="143"/>
        <v>4533063.510593161</v>
      </c>
      <c r="L468" s="13">
        <f t="shared" si="151"/>
        <v>486866817.3532632</v>
      </c>
      <c r="M468" s="15">
        <f t="shared" si="144"/>
        <v>0.76219861581833859</v>
      </c>
      <c r="N468" s="13">
        <f t="shared" si="135"/>
        <v>70861.686579969552</v>
      </c>
      <c r="O468" s="13">
        <f t="shared" si="145"/>
        <v>13335739.61779964</v>
      </c>
      <c r="P468" s="15">
        <f t="shared" si="138"/>
        <v>0.69157684038416412</v>
      </c>
      <c r="Q468" s="7">
        <f t="shared" si="146"/>
        <v>19283091.681311607</v>
      </c>
      <c r="R468" s="7">
        <f t="shared" si="136"/>
        <v>5947352.0635119667</v>
      </c>
      <c r="S468" s="13">
        <f>IF('Calc (3)'!$AD$32="Sim",R468,Q468)</f>
        <v>5947352.0635119667</v>
      </c>
      <c r="T468" s="9">
        <f t="shared" si="147"/>
        <v>464</v>
      </c>
      <c r="U468" s="17">
        <f t="shared" ca="1" si="148"/>
        <v>59627</v>
      </c>
    </row>
    <row r="469" spans="2:21" x14ac:dyDescent="0.2">
      <c r="B469" s="17">
        <f t="shared" ca="1" si="139"/>
        <v>59627</v>
      </c>
      <c r="C469" s="9">
        <f t="shared" si="149"/>
        <v>465</v>
      </c>
      <c r="D469" s="9"/>
      <c r="E469" s="13">
        <f t="shared" si="140"/>
        <v>6623.4664217440786</v>
      </c>
      <c r="F469" s="14">
        <f t="shared" si="150"/>
        <v>1420912.0193405503</v>
      </c>
      <c r="G469" s="15">
        <f t="shared" si="141"/>
        <v>0.23716466863821037</v>
      </c>
      <c r="H469" s="13">
        <f t="shared" si="134"/>
        <v>192014.84445380908</v>
      </c>
      <c r="I469" s="13">
        <f t="shared" si="142"/>
        <v>18060817.972846612</v>
      </c>
      <c r="J469" s="15">
        <f t="shared" si="137"/>
        <v>0.7628353313617896</v>
      </c>
      <c r="K469" s="13">
        <f t="shared" si="143"/>
        <v>4570334.6005685944</v>
      </c>
      <c r="L469" s="13">
        <f t="shared" si="151"/>
        <v>491437151.95383179</v>
      </c>
      <c r="M469" s="15">
        <f t="shared" si="144"/>
        <v>0.7628353313617896</v>
      </c>
      <c r="N469" s="13">
        <f t="shared" si="135"/>
        <v>71591.644512061932</v>
      </c>
      <c r="O469" s="13">
        <f t="shared" si="145"/>
        <v>13490483.372278016</v>
      </c>
      <c r="P469" s="15">
        <f t="shared" si="138"/>
        <v>0.69246845006517188</v>
      </c>
      <c r="Q469" s="7">
        <f t="shared" si="146"/>
        <v>19481729.992187161</v>
      </c>
      <c r="R469" s="7">
        <f t="shared" si="136"/>
        <v>5991246.6199091449</v>
      </c>
      <c r="S469" s="13">
        <f>IF('Calc (3)'!$AD$32="Sim",R469,Q469)</f>
        <v>5991246.6199091449</v>
      </c>
      <c r="T469" s="9">
        <f t="shared" si="147"/>
        <v>465</v>
      </c>
      <c r="U469" s="17">
        <f t="shared" ca="1" si="148"/>
        <v>59657</v>
      </c>
    </row>
    <row r="470" spans="2:21" x14ac:dyDescent="0.2">
      <c r="B470" s="17">
        <f t="shared" ca="1" si="139"/>
        <v>59657</v>
      </c>
      <c r="C470" s="9">
        <f t="shared" si="149"/>
        <v>466</v>
      </c>
      <c r="D470" s="9"/>
      <c r="E470" s="13">
        <f t="shared" si="140"/>
        <v>6650.4512438231022</v>
      </c>
      <c r="F470" s="14">
        <f t="shared" si="150"/>
        <v>1427562.4705843735</v>
      </c>
      <c r="G470" s="15">
        <f t="shared" si="141"/>
        <v>0.23652985306331745</v>
      </c>
      <c r="H470" s="13">
        <f t="shared" si="134"/>
        <v>193992.82106646514</v>
      </c>
      <c r="I470" s="13">
        <f t="shared" si="142"/>
        <v>18254810.793913078</v>
      </c>
      <c r="J470" s="15">
        <f t="shared" si="137"/>
        <v>0.76347014693668258</v>
      </c>
      <c r="K470" s="13">
        <f t="shared" si="143"/>
        <v>4607880.6335138846</v>
      </c>
      <c r="L470" s="13">
        <f t="shared" si="151"/>
        <v>496045032.58734566</v>
      </c>
      <c r="M470" s="15">
        <f t="shared" si="144"/>
        <v>0.76347014693668258</v>
      </c>
      <c r="N470" s="13">
        <f t="shared" si="135"/>
        <v>72328.970295282183</v>
      </c>
      <c r="O470" s="13">
        <f t="shared" si="145"/>
        <v>13646930.160399191</v>
      </c>
      <c r="P470" s="15">
        <f t="shared" si="138"/>
        <v>0.6933579592769521</v>
      </c>
      <c r="Q470" s="7">
        <f t="shared" si="146"/>
        <v>19682373.264497448</v>
      </c>
      <c r="R470" s="7">
        <f t="shared" si="136"/>
        <v>6035443.1040982576</v>
      </c>
      <c r="S470" s="13">
        <f>IF('Calc (3)'!$AD$32="Sim",R470,Q470)</f>
        <v>6035443.1040982576</v>
      </c>
      <c r="T470" s="9">
        <f t="shared" si="147"/>
        <v>466</v>
      </c>
      <c r="U470" s="17">
        <f t="shared" ca="1" si="148"/>
        <v>59688</v>
      </c>
    </row>
    <row r="471" spans="2:21" x14ac:dyDescent="0.2">
      <c r="B471" s="17">
        <f t="shared" ca="1" si="139"/>
        <v>59688</v>
      </c>
      <c r="C471" s="9">
        <f t="shared" si="149"/>
        <v>467</v>
      </c>
      <c r="D471" s="9"/>
      <c r="E471" s="13">
        <f t="shared" si="140"/>
        <v>6677.5460054075556</v>
      </c>
      <c r="F471" s="14">
        <f t="shared" si="150"/>
        <v>1434240.016589781</v>
      </c>
      <c r="G471" s="15">
        <f t="shared" si="141"/>
        <v>0.23589693105571519</v>
      </c>
      <c r="H471" s="13">
        <f t="shared" si="134"/>
        <v>195990.7624422613</v>
      </c>
      <c r="I471" s="13">
        <f t="shared" si="142"/>
        <v>18450801.556355339</v>
      </c>
      <c r="J471" s="15">
        <f t="shared" si="137"/>
        <v>0.76410306894428481</v>
      </c>
      <c r="K471" s="13">
        <f t="shared" si="143"/>
        <v>4645703.5001448039</v>
      </c>
      <c r="L471" s="13">
        <f t="shared" si="151"/>
        <v>500690736.08749044</v>
      </c>
      <c r="M471" s="15">
        <f t="shared" si="144"/>
        <v>0.76410306894428481</v>
      </c>
      <c r="N471" s="13">
        <f t="shared" si="135"/>
        <v>73073.737700336307</v>
      </c>
      <c r="O471" s="13">
        <f t="shared" si="145"/>
        <v>13805098.056210533</v>
      </c>
      <c r="P471" s="15">
        <f t="shared" si="138"/>
        <v>0.69424537060024349</v>
      </c>
      <c r="Q471" s="7">
        <f t="shared" si="146"/>
        <v>19885041.572945118</v>
      </c>
      <c r="R471" s="7">
        <f t="shared" si="136"/>
        <v>6079943.5167345852</v>
      </c>
      <c r="S471" s="13">
        <f>IF('Calc (3)'!$AD$32="Sim",R471,Q471)</f>
        <v>6079943.5167345852</v>
      </c>
      <c r="T471" s="9">
        <f t="shared" si="147"/>
        <v>467</v>
      </c>
      <c r="U471" s="17">
        <f t="shared" ca="1" si="148"/>
        <v>59718</v>
      </c>
    </row>
    <row r="472" spans="2:21" x14ac:dyDescent="0.2">
      <c r="B472" s="17">
        <f t="shared" ca="1" si="139"/>
        <v>59718</v>
      </c>
      <c r="C472" s="9">
        <f t="shared" si="149"/>
        <v>468</v>
      </c>
      <c r="D472" s="9">
        <v>39</v>
      </c>
      <c r="E472" s="13">
        <f t="shared" si="140"/>
        <v>6704.7511544045929</v>
      </c>
      <c r="F472" s="14">
        <f t="shared" si="150"/>
        <v>1440944.7677441856</v>
      </c>
      <c r="G472" s="15">
        <f t="shared" si="141"/>
        <v>0.2352658962387196</v>
      </c>
      <c r="H472" s="13">
        <f t="shared" si="134"/>
        <v>198008.86847865023</v>
      </c>
      <c r="I472" s="13">
        <f t="shared" si="142"/>
        <v>18648810.424833991</v>
      </c>
      <c r="J472" s="15">
        <f t="shared" si="137"/>
        <v>0.76473410376128037</v>
      </c>
      <c r="K472" s="13">
        <f t="shared" si="143"/>
        <v>4683805.1037037689</v>
      </c>
      <c r="L472" s="13">
        <f t="shared" si="151"/>
        <v>505374541.19119424</v>
      </c>
      <c r="M472" s="15">
        <f t="shared" si="144"/>
        <v>0.76473410376128048</v>
      </c>
      <c r="N472" s="13">
        <f t="shared" si="135"/>
        <v>73826.021234161322</v>
      </c>
      <c r="O472" s="13">
        <f t="shared" si="145"/>
        <v>13965005.32113022</v>
      </c>
      <c r="P472" s="15">
        <f t="shared" si="138"/>
        <v>0.69513068662426303</v>
      </c>
      <c r="Q472" s="7">
        <f t="shared" si="146"/>
        <v>20089755.192578174</v>
      </c>
      <c r="R472" s="7">
        <f t="shared" si="136"/>
        <v>6124749.8714479543</v>
      </c>
      <c r="S472" s="13">
        <f>IF('Calc (3)'!$AD$32="Sim",R472,Q472)</f>
        <v>6124749.8714479543</v>
      </c>
      <c r="T472" s="9">
        <f t="shared" si="147"/>
        <v>468</v>
      </c>
      <c r="U472" s="17">
        <f t="shared" ca="1" si="148"/>
        <v>59749</v>
      </c>
    </row>
    <row r="473" spans="2:21" x14ac:dyDescent="0.2">
      <c r="B473" s="17">
        <f t="shared" ca="1" si="139"/>
        <v>59749</v>
      </c>
      <c r="C473" s="9">
        <f t="shared" si="149"/>
        <v>469</v>
      </c>
      <c r="D473" s="9"/>
      <c r="E473" s="13">
        <f t="shared" si="140"/>
        <v>6732.0671405461962</v>
      </c>
      <c r="F473" s="14">
        <f t="shared" si="150"/>
        <v>1447676.8348847318</v>
      </c>
      <c r="G473" s="15">
        <f t="shared" si="141"/>
        <v>0.23463674226011766</v>
      </c>
      <c r="H473" s="13">
        <f t="shared" si="134"/>
        <v>200047.34106805938</v>
      </c>
      <c r="I473" s="13">
        <f t="shared" si="142"/>
        <v>18848857.76590205</v>
      </c>
      <c r="J473" s="15">
        <f t="shared" si="137"/>
        <v>0.76536325773988234</v>
      </c>
      <c r="K473" s="13">
        <f t="shared" si="143"/>
        <v>4722187.3600410614</v>
      </c>
      <c r="L473" s="13">
        <f t="shared" si="151"/>
        <v>510096728.55123532</v>
      </c>
      <c r="M473" s="15">
        <f t="shared" si="144"/>
        <v>0.76536325773988234</v>
      </c>
      <c r="N473" s="13">
        <f t="shared" si="135"/>
        <v>74585.896147263076</v>
      </c>
      <c r="O473" s="13">
        <f t="shared" si="145"/>
        <v>14126670.405860987</v>
      </c>
      <c r="P473" s="15">
        <f t="shared" si="138"/>
        <v>0.69601390994664569</v>
      </c>
      <c r="Q473" s="7">
        <f t="shared" si="146"/>
        <v>20296534.600786779</v>
      </c>
      <c r="R473" s="7">
        <f t="shared" si="136"/>
        <v>6169864.1949257934</v>
      </c>
      <c r="S473" s="13">
        <f>IF('Calc (3)'!$AD$32="Sim",R473,Q473)</f>
        <v>6169864.1949257934</v>
      </c>
      <c r="T473" s="9">
        <f t="shared" si="147"/>
        <v>469</v>
      </c>
      <c r="U473" s="17">
        <f t="shared" ca="1" si="148"/>
        <v>59780</v>
      </c>
    </row>
    <row r="474" spans="2:21" x14ac:dyDescent="0.2">
      <c r="B474" s="17">
        <f t="shared" ca="1" si="139"/>
        <v>59780</v>
      </c>
      <c r="C474" s="9">
        <f t="shared" si="149"/>
        <v>470</v>
      </c>
      <c r="D474" s="9"/>
      <c r="E474" s="13">
        <f t="shared" si="140"/>
        <v>6759.4944153966135</v>
      </c>
      <c r="F474" s="14">
        <f t="shared" si="150"/>
        <v>1454436.3293001284</v>
      </c>
      <c r="G474" s="15">
        <f t="shared" si="141"/>
        <v>0.23400946279205578</v>
      </c>
      <c r="H474" s="13">
        <f t="shared" si="134"/>
        <v>202106.38411777461</v>
      </c>
      <c r="I474" s="13">
        <f t="shared" si="142"/>
        <v>19050964.150019825</v>
      </c>
      <c r="J474" s="15">
        <f t="shared" si="137"/>
        <v>0.76599053720794419</v>
      </c>
      <c r="K474" s="13">
        <f t="shared" si="143"/>
        <v>4760852.1976965833</v>
      </c>
      <c r="L474" s="13">
        <f t="shared" si="151"/>
        <v>514857580.74893188</v>
      </c>
      <c r="M474" s="15">
        <f t="shared" si="144"/>
        <v>0.76599053720794408</v>
      </c>
      <c r="N474" s="13">
        <f t="shared" si="135"/>
        <v>75353.438441127262</v>
      </c>
      <c r="O474" s="13">
        <f t="shared" si="145"/>
        <v>14290111.952323236</v>
      </c>
      <c r="P474" s="15">
        <f t="shared" si="138"/>
        <v>0.69689504317338546</v>
      </c>
      <c r="Q474" s="7">
        <f t="shared" si="146"/>
        <v>20505400.479319949</v>
      </c>
      <c r="R474" s="7">
        <f t="shared" si="136"/>
        <v>6215288.5269967122</v>
      </c>
      <c r="S474" s="13">
        <f>IF('Calc (3)'!$AD$32="Sim",R474,Q474)</f>
        <v>6215288.5269967122</v>
      </c>
      <c r="T474" s="9">
        <f t="shared" si="147"/>
        <v>470</v>
      </c>
      <c r="U474" s="17">
        <f t="shared" ca="1" si="148"/>
        <v>59810</v>
      </c>
    </row>
    <row r="475" spans="2:21" x14ac:dyDescent="0.2">
      <c r="B475" s="17">
        <f t="shared" ca="1" si="139"/>
        <v>59810</v>
      </c>
      <c r="C475" s="9">
        <f t="shared" si="149"/>
        <v>471</v>
      </c>
      <c r="D475" s="9"/>
      <c r="E475" s="13">
        <f t="shared" si="140"/>
        <v>6787.033432359819</v>
      </c>
      <c r="F475" s="14">
        <f t="shared" si="150"/>
        <v>1461223.3627324882</v>
      </c>
      <c r="G475" s="15">
        <f t="shared" si="141"/>
        <v>0.23338405153092859</v>
      </c>
      <c r="H475" s="13">
        <f t="shared" si="134"/>
        <v>204186.20357002164</v>
      </c>
      <c r="I475" s="13">
        <f t="shared" si="142"/>
        <v>19255150.353589848</v>
      </c>
      <c r="J475" s="15">
        <f t="shared" si="137"/>
        <v>0.76661594846907144</v>
      </c>
      <c r="K475" s="13">
        <f t="shared" si="143"/>
        <v>4799801.5579821281</v>
      </c>
      <c r="L475" s="13">
        <f t="shared" si="151"/>
        <v>519657382.30691403</v>
      </c>
      <c r="M475" s="15">
        <f t="shared" si="144"/>
        <v>0.76661594846907133</v>
      </c>
      <c r="N475" s="13">
        <f t="shared" si="135"/>
        <v>76128.724875704225</v>
      </c>
      <c r="O475" s="13">
        <f t="shared" si="145"/>
        <v>14455348.795607716</v>
      </c>
      <c r="P475" s="15">
        <f t="shared" si="138"/>
        <v>0.69777408891877712</v>
      </c>
      <c r="Q475" s="7">
        <f t="shared" si="146"/>
        <v>20716373.716322333</v>
      </c>
      <c r="R475" s="7">
        <f t="shared" si="136"/>
        <v>6261024.9207146168</v>
      </c>
      <c r="S475" s="13">
        <f>IF('Calc (3)'!$AD$32="Sim",R475,Q475)</f>
        <v>6261024.9207146168</v>
      </c>
      <c r="T475" s="9">
        <f t="shared" si="147"/>
        <v>471</v>
      </c>
      <c r="U475" s="17">
        <f t="shared" ca="1" si="148"/>
        <v>59841</v>
      </c>
    </row>
    <row r="476" spans="2:21" x14ac:dyDescent="0.2">
      <c r="B476" s="17">
        <f t="shared" ca="1" si="139"/>
        <v>59841</v>
      </c>
      <c r="C476" s="9">
        <f t="shared" si="149"/>
        <v>472</v>
      </c>
      <c r="D476" s="9"/>
      <c r="E476" s="13">
        <f t="shared" si="140"/>
        <v>6814.6846466870129</v>
      </c>
      <c r="F476" s="14">
        <f t="shared" si="150"/>
        <v>1468038.0473791752</v>
      </c>
      <c r="G476" s="15">
        <f t="shared" si="141"/>
        <v>0.23276050219726846</v>
      </c>
      <c r="H476" s="13">
        <f t="shared" si="134"/>
        <v>206287.00742224779</v>
      </c>
      <c r="I476" s="13">
        <f t="shared" si="142"/>
        <v>19461437.361012094</v>
      </c>
      <c r="J476" s="15">
        <f t="shared" si="137"/>
        <v>0.76723949780273148</v>
      </c>
      <c r="K476" s="13">
        <f t="shared" si="143"/>
        <v>4839037.3950641826</v>
      </c>
      <c r="L476" s="13">
        <f t="shared" si="151"/>
        <v>524496419.70197821</v>
      </c>
      <c r="M476" s="15">
        <f t="shared" si="144"/>
        <v>0.76723949780273148</v>
      </c>
      <c r="N476" s="13">
        <f t="shared" si="135"/>
        <v>76911.832976968144</v>
      </c>
      <c r="O476" s="13">
        <f t="shared" si="145"/>
        <v>14622399.965947909</v>
      </c>
      <c r="P476" s="15">
        <f t="shared" si="138"/>
        <v>0.69865104980535453</v>
      </c>
      <c r="Q476" s="7">
        <f t="shared" si="146"/>
        <v>20929475.408391267</v>
      </c>
      <c r="R476" s="7">
        <f t="shared" si="136"/>
        <v>6307075.4424433578</v>
      </c>
      <c r="S476" s="13">
        <f>IF('Calc (3)'!$AD$32="Sim",R476,Q476)</f>
        <v>6307075.4424433578</v>
      </c>
      <c r="T476" s="9">
        <f t="shared" si="147"/>
        <v>472</v>
      </c>
      <c r="U476" s="17">
        <f t="shared" ca="1" si="148"/>
        <v>59871</v>
      </c>
    </row>
    <row r="477" spans="2:21" x14ac:dyDescent="0.2">
      <c r="B477" s="17">
        <f t="shared" ca="1" si="139"/>
        <v>59871</v>
      </c>
      <c r="C477" s="9">
        <f t="shared" si="149"/>
        <v>473</v>
      </c>
      <c r="D477" s="9"/>
      <c r="E477" s="13">
        <f t="shared" si="140"/>
        <v>6842.4485154841441</v>
      </c>
      <c r="F477" s="14">
        <f t="shared" si="150"/>
        <v>1474880.4958946593</v>
      </c>
      <c r="G477" s="15">
        <f t="shared" si="141"/>
        <v>0.23213880853563601</v>
      </c>
      <c r="H477" s="13">
        <f t="shared" si="134"/>
        <v>208409.00574760535</v>
      </c>
      <c r="I477" s="13">
        <f t="shared" si="142"/>
        <v>19669846.366759699</v>
      </c>
      <c r="J477" s="15">
        <f t="shared" si="137"/>
        <v>0.76786119146436405</v>
      </c>
      <c r="K477" s="13">
        <f t="shared" si="143"/>
        <v>4878561.6760472544</v>
      </c>
      <c r="L477" s="13">
        <f t="shared" si="151"/>
        <v>529374981.37802547</v>
      </c>
      <c r="M477" s="15">
        <f t="shared" si="144"/>
        <v>0.76786119146436393</v>
      </c>
      <c r="N477" s="13">
        <f t="shared" si="135"/>
        <v>77702.841044551853</v>
      </c>
      <c r="O477" s="13">
        <f t="shared" si="145"/>
        <v>14791284.690712444</v>
      </c>
      <c r="P477" s="15">
        <f t="shared" si="138"/>
        <v>0.69952592846383321</v>
      </c>
      <c r="Q477" s="7">
        <f t="shared" si="146"/>
        <v>21144726.862654358</v>
      </c>
      <c r="R477" s="7">
        <f t="shared" si="136"/>
        <v>6353442.1719419137</v>
      </c>
      <c r="S477" s="13">
        <f>IF('Calc (3)'!$AD$32="Sim",R477,Q477)</f>
        <v>6353442.1719419137</v>
      </c>
      <c r="T477" s="9">
        <f t="shared" si="147"/>
        <v>473</v>
      </c>
      <c r="U477" s="17">
        <f t="shared" ca="1" si="148"/>
        <v>59902</v>
      </c>
    </row>
    <row r="478" spans="2:21" x14ac:dyDescent="0.2">
      <c r="B478" s="17">
        <f t="shared" ca="1" si="139"/>
        <v>59902</v>
      </c>
      <c r="C478" s="9">
        <f t="shared" si="149"/>
        <v>474</v>
      </c>
      <c r="D478" s="9"/>
      <c r="E478" s="13">
        <f t="shared" si="140"/>
        <v>6870.3254977194674</v>
      </c>
      <c r="F478" s="14">
        <f t="shared" si="150"/>
        <v>1481750.8213923788</v>
      </c>
      <c r="G478" s="15">
        <f t="shared" si="141"/>
        <v>0.23151896431451086</v>
      </c>
      <c r="H478" s="13">
        <f t="shared" si="134"/>
        <v>210552.41071563962</v>
      </c>
      <c r="I478" s="13">
        <f t="shared" si="142"/>
        <v>19880398.777475338</v>
      </c>
      <c r="J478" s="15">
        <f t="shared" si="137"/>
        <v>0.7684810356854892</v>
      </c>
      <c r="K478" s="13">
        <f t="shared" si="143"/>
        <v>4918376.3810577383</v>
      </c>
      <c r="L478" s="13">
        <f t="shared" si="151"/>
        <v>534293357.75908321</v>
      </c>
      <c r="M478" s="15">
        <f t="shared" si="144"/>
        <v>0.7684810356854892</v>
      </c>
      <c r="N478" s="13">
        <f t="shared" si="135"/>
        <v>78501.828159457407</v>
      </c>
      <c r="O478" s="13">
        <f t="shared" si="145"/>
        <v>14962022.396417601</v>
      </c>
      <c r="P478" s="15">
        <f t="shared" si="138"/>
        <v>0.70039872753304988</v>
      </c>
      <c r="Q478" s="7">
        <f t="shared" si="146"/>
        <v>21362149.598867718</v>
      </c>
      <c r="R478" s="7">
        <f t="shared" si="136"/>
        <v>6400127.2024501171</v>
      </c>
      <c r="S478" s="13">
        <f>IF('Calc (3)'!$AD$32="Sim",R478,Q478)</f>
        <v>6400127.2024501171</v>
      </c>
      <c r="T478" s="9">
        <f t="shared" si="147"/>
        <v>474</v>
      </c>
      <c r="U478" s="17">
        <f t="shared" ca="1" si="148"/>
        <v>59933</v>
      </c>
    </row>
    <row r="479" spans="2:21" x14ac:dyDescent="0.2">
      <c r="B479" s="17">
        <f t="shared" ca="1" si="139"/>
        <v>59933</v>
      </c>
      <c r="C479" s="9">
        <f t="shared" si="149"/>
        <v>475</v>
      </c>
      <c r="D479" s="9"/>
      <c r="E479" s="13">
        <f t="shared" si="140"/>
        <v>6898.3160542311316</v>
      </c>
      <c r="F479" s="14">
        <f t="shared" si="150"/>
        <v>1488649.1374466098</v>
      </c>
      <c r="G479" s="15">
        <f t="shared" si="141"/>
        <v>0.23090096332618318</v>
      </c>
      <c r="H479" s="13">
        <f t="shared" si="134"/>
        <v>212717.43661318233</v>
      </c>
      <c r="I479" s="13">
        <f t="shared" si="142"/>
        <v>20093116.214088522</v>
      </c>
      <c r="J479" s="15">
        <f t="shared" si="137"/>
        <v>0.76909903667381685</v>
      </c>
      <c r="K479" s="13">
        <f t="shared" si="143"/>
        <v>4958483.5033283159</v>
      </c>
      <c r="L479" s="13">
        <f t="shared" si="151"/>
        <v>539251841.26241148</v>
      </c>
      <c r="M479" s="15">
        <f t="shared" si="144"/>
        <v>0.76909903667381674</v>
      </c>
      <c r="N479" s="13">
        <f t="shared" si="135"/>
        <v>79308.874191843643</v>
      </c>
      <c r="O479" s="13">
        <f t="shared" si="145"/>
        <v>15134632.710760208</v>
      </c>
      <c r="P479" s="15">
        <f t="shared" si="138"/>
        <v>0.70126944965990301</v>
      </c>
      <c r="Q479" s="7">
        <f t="shared" si="146"/>
        <v>21581765.351535134</v>
      </c>
      <c r="R479" s="7">
        <f t="shared" si="136"/>
        <v>6447132.6407749262</v>
      </c>
      <c r="S479" s="13">
        <f>IF('Calc (3)'!$AD$32="Sim",R479,Q479)</f>
        <v>6447132.6407749262</v>
      </c>
      <c r="T479" s="9">
        <f t="shared" si="147"/>
        <v>475</v>
      </c>
      <c r="U479" s="17">
        <f t="shared" ca="1" si="148"/>
        <v>59962</v>
      </c>
    </row>
    <row r="480" spans="2:21" x14ac:dyDescent="0.2">
      <c r="B480" s="17">
        <f t="shared" ca="1" si="139"/>
        <v>59962</v>
      </c>
      <c r="C480" s="9">
        <f t="shared" si="149"/>
        <v>476</v>
      </c>
      <c r="D480" s="9"/>
      <c r="E480" s="13">
        <f t="shared" si="140"/>
        <v>6926.420647734798</v>
      </c>
      <c r="F480" s="14">
        <f t="shared" si="150"/>
        <v>1495575.5580943446</v>
      </c>
      <c r="G480" s="15">
        <f t="shared" si="141"/>
        <v>0.23028479938664628</v>
      </c>
      <c r="H480" s="13">
        <f t="shared" si="134"/>
        <v>214904.29986545371</v>
      </c>
      <c r="I480" s="13">
        <f t="shared" si="142"/>
        <v>20308020.513953976</v>
      </c>
      <c r="J480" s="15">
        <f t="shared" si="137"/>
        <v>0.76971520061335374</v>
      </c>
      <c r="K480" s="13">
        <f t="shared" si="143"/>
        <v>4998885.0492828954</v>
      </c>
      <c r="L480" s="13">
        <f t="shared" si="151"/>
        <v>544250726.31169438</v>
      </c>
      <c r="M480" s="15">
        <f t="shared" si="144"/>
        <v>0.76971520061335374</v>
      </c>
      <c r="N480" s="13">
        <f t="shared" si="135"/>
        <v>80124.059808891194</v>
      </c>
      <c r="O480" s="13">
        <f t="shared" si="145"/>
        <v>15309135.464671087</v>
      </c>
      <c r="P480" s="15">
        <f t="shared" si="138"/>
        <v>0.70213809749929379</v>
      </c>
      <c r="Q480" s="7">
        <f t="shared" si="146"/>
        <v>21803596.072048325</v>
      </c>
      <c r="R480" s="7">
        <f t="shared" si="136"/>
        <v>6494460.6073772395</v>
      </c>
      <c r="S480" s="13">
        <f>IF('Calc (3)'!$AD$32="Sim",R480,Q480)</f>
        <v>6494460.6073772395</v>
      </c>
      <c r="T480" s="9">
        <f t="shared" si="147"/>
        <v>476</v>
      </c>
      <c r="U480" s="17">
        <f t="shared" ca="1" si="148"/>
        <v>59993</v>
      </c>
    </row>
    <row r="481" spans="2:21" x14ac:dyDescent="0.2">
      <c r="B481" s="17">
        <f t="shared" ca="1" si="139"/>
        <v>59993</v>
      </c>
      <c r="C481" s="9">
        <f t="shared" si="149"/>
        <v>477</v>
      </c>
      <c r="D481" s="9"/>
      <c r="E481" s="13">
        <f t="shared" si="140"/>
        <v>6954.6397428312875</v>
      </c>
      <c r="F481" s="14">
        <f t="shared" si="150"/>
        <v>1502530.1978371758</v>
      </c>
      <c r="G481" s="15">
        <f t="shared" si="141"/>
        <v>0.22967046633548913</v>
      </c>
      <c r="H481" s="13">
        <f t="shared" si="134"/>
        <v>217113.21905737446</v>
      </c>
      <c r="I481" s="13">
        <f t="shared" si="142"/>
        <v>20525133.73301135</v>
      </c>
      <c r="J481" s="15">
        <f t="shared" si="137"/>
        <v>0.77032953366451085</v>
      </c>
      <c r="K481" s="13">
        <f t="shared" si="143"/>
        <v>5039583.0386220906</v>
      </c>
      <c r="L481" s="13">
        <f t="shared" si="151"/>
        <v>549290309.35031652</v>
      </c>
      <c r="M481" s="15">
        <f t="shared" si="144"/>
        <v>0.77032953366451085</v>
      </c>
      <c r="N481" s="13">
        <f t="shared" si="135"/>
        <v>80947.466482745949</v>
      </c>
      <c r="O481" s="13">
        <f t="shared" si="145"/>
        <v>15485550.694389265</v>
      </c>
      <c r="P481" s="15">
        <f t="shared" si="138"/>
        <v>0.70300467371406572</v>
      </c>
      <c r="Q481" s="7">
        <f t="shared" si="146"/>
        <v>22027663.930848531</v>
      </c>
      <c r="R481" s="7">
        <f t="shared" si="136"/>
        <v>6542113.2364592664</v>
      </c>
      <c r="S481" s="13">
        <f>IF('Calc (3)'!$AD$32="Sim",R481,Q481)</f>
        <v>6542113.2364592664</v>
      </c>
      <c r="T481" s="9">
        <f t="shared" si="147"/>
        <v>477</v>
      </c>
      <c r="U481" s="17">
        <f t="shared" ca="1" si="148"/>
        <v>60023</v>
      </c>
    </row>
    <row r="482" spans="2:21" x14ac:dyDescent="0.2">
      <c r="B482" s="17">
        <f t="shared" ca="1" si="139"/>
        <v>60023</v>
      </c>
      <c r="C482" s="9">
        <f t="shared" si="149"/>
        <v>478</v>
      </c>
      <c r="D482" s="9"/>
      <c r="E482" s="13">
        <f t="shared" si="140"/>
        <v>6982.9738060142627</v>
      </c>
      <c r="F482" s="14">
        <f t="shared" si="150"/>
        <v>1509513.1716431901</v>
      </c>
      <c r="G482" s="15">
        <f t="shared" si="141"/>
        <v>0.22905795803579013</v>
      </c>
      <c r="H482" s="13">
        <f t="shared" si="134"/>
        <v>219344.41495509024</v>
      </c>
      <c r="I482" s="13">
        <f t="shared" si="142"/>
        <v>20744478.147966441</v>
      </c>
      <c r="J482" s="15">
        <f t="shared" si="137"/>
        <v>0.7709420419642099</v>
      </c>
      <c r="K482" s="13">
        <f t="shared" si="143"/>
        <v>5080579.5044092601</v>
      </c>
      <c r="L482" s="13">
        <f t="shared" si="151"/>
        <v>554370888.85472584</v>
      </c>
      <c r="M482" s="15">
        <f t="shared" si="144"/>
        <v>0.7709420419642099</v>
      </c>
      <c r="N482" s="13">
        <f t="shared" si="135"/>
        <v>81779.176498541579</v>
      </c>
      <c r="O482" s="13">
        <f t="shared" si="145"/>
        <v>15663898.643557183</v>
      </c>
      <c r="P482" s="15">
        <f t="shared" si="138"/>
        <v>0.70386918097494566</v>
      </c>
      <c r="Q482" s="7">
        <f t="shared" si="146"/>
        <v>22253991.319609635</v>
      </c>
      <c r="R482" s="7">
        <f t="shared" si="136"/>
        <v>6590092.6760524502</v>
      </c>
      <c r="S482" s="13">
        <f>IF('Calc (3)'!$AD$32="Sim",R482,Q482)</f>
        <v>6590092.6760524502</v>
      </c>
      <c r="T482" s="9">
        <f t="shared" si="147"/>
        <v>478</v>
      </c>
      <c r="U482" s="17">
        <f t="shared" ca="1" si="148"/>
        <v>60054</v>
      </c>
    </row>
    <row r="483" spans="2:21" x14ac:dyDescent="0.2">
      <c r="B483" s="17">
        <f t="shared" ca="1" si="139"/>
        <v>60054</v>
      </c>
      <c r="C483" s="9">
        <f t="shared" si="149"/>
        <v>479</v>
      </c>
      <c r="D483" s="9"/>
      <c r="E483" s="13">
        <f t="shared" si="140"/>
        <v>7011.4233056779385</v>
      </c>
      <c r="F483" s="14">
        <f t="shared" si="150"/>
        <v>1516524.594948868</v>
      </c>
      <c r="G483" s="15">
        <f t="shared" si="141"/>
        <v>0.22844726837401116</v>
      </c>
      <c r="H483" s="13">
        <f t="shared" si="134"/>
        <v>221598.11052771035</v>
      </c>
      <c r="I483" s="13">
        <f t="shared" si="142"/>
        <v>20966076.25849415</v>
      </c>
      <c r="J483" s="15">
        <f t="shared" si="137"/>
        <v>0.77155273162598881</v>
      </c>
      <c r="K483" s="13">
        <f t="shared" si="143"/>
        <v>5121876.4931570832</v>
      </c>
      <c r="L483" s="13">
        <f t="shared" si="151"/>
        <v>559492765.34788287</v>
      </c>
      <c r="M483" s="15">
        <f t="shared" si="144"/>
        <v>0.77155273162598881</v>
      </c>
      <c r="N483" s="13">
        <f t="shared" si="135"/>
        <v>82619.272962502</v>
      </c>
      <c r="O483" s="13">
        <f t="shared" si="145"/>
        <v>15844199.765337072</v>
      </c>
      <c r="P483" s="15">
        <f t="shared" si="138"/>
        <v>0.70473162196048444</v>
      </c>
      <c r="Q483" s="7">
        <f t="shared" si="146"/>
        <v>22482600.853443023</v>
      </c>
      <c r="R483" s="7">
        <f t="shared" si="136"/>
        <v>6638401.0881059514</v>
      </c>
      <c r="S483" s="13">
        <f>IF('Calc (3)'!$AD$32="Sim",R483,Q483)</f>
        <v>6638401.0881059514</v>
      </c>
      <c r="T483" s="9">
        <f t="shared" si="147"/>
        <v>479</v>
      </c>
      <c r="U483" s="17">
        <f t="shared" ca="1" si="148"/>
        <v>60084</v>
      </c>
    </row>
    <row r="484" spans="2:21" x14ac:dyDescent="0.2">
      <c r="B484" s="17">
        <f t="shared" ca="1" si="139"/>
        <v>60084</v>
      </c>
      <c r="C484" s="9">
        <f t="shared" si="149"/>
        <v>480</v>
      </c>
      <c r="D484" s="9">
        <v>40</v>
      </c>
      <c r="E484" s="13">
        <f t="shared" si="140"/>
        <v>7039.9887121248275</v>
      </c>
      <c r="F484" s="14">
        <f t="shared" si="150"/>
        <v>1523564.5836609928</v>
      </c>
      <c r="G484" s="15">
        <f t="shared" si="141"/>
        <v>0.22783839125989255</v>
      </c>
      <c r="H484" s="13">
        <f t="shared" si="134"/>
        <v>223874.53096926323</v>
      </c>
      <c r="I484" s="13">
        <f t="shared" si="142"/>
        <v>21189950.789463412</v>
      </c>
      <c r="J484" s="15">
        <f t="shared" si="137"/>
        <v>0.77216160874010742</v>
      </c>
      <c r="K484" s="13">
        <f t="shared" si="143"/>
        <v>5163476.0649146931</v>
      </c>
      <c r="L484" s="13">
        <f t="shared" si="151"/>
        <v>564656241.41279757</v>
      </c>
      <c r="M484" s="15">
        <f t="shared" si="144"/>
        <v>0.77216160874010742</v>
      </c>
      <c r="N484" s="13">
        <f t="shared" si="135"/>
        <v>83467.839810124526</v>
      </c>
      <c r="O484" s="13">
        <f t="shared" si="145"/>
        <v>16026474.724548724</v>
      </c>
      <c r="P484" s="15">
        <f t="shared" si="138"/>
        <v>0.70559199935699624</v>
      </c>
      <c r="Q484" s="7">
        <f t="shared" si="146"/>
        <v>22713515.373124409</v>
      </c>
      <c r="R484" s="7">
        <f t="shared" si="136"/>
        <v>6687040.6485756859</v>
      </c>
      <c r="S484" s="13">
        <f>IF('Calc (3)'!$AD$32="Sim",R484,Q484)</f>
        <v>6687040.6485756859</v>
      </c>
      <c r="T484" s="9">
        <f t="shared" si="147"/>
        <v>480</v>
      </c>
      <c r="U484" s="17">
        <f t="shared" ca="1" si="148"/>
        <v>60115</v>
      </c>
    </row>
    <row r="485" spans="2:21" x14ac:dyDescent="0.2">
      <c r="B485" s="17">
        <f t="shared" ca="1" si="139"/>
        <v>60115</v>
      </c>
      <c r="C485" s="9">
        <f t="shared" si="149"/>
        <v>481</v>
      </c>
      <c r="D485" s="9"/>
      <c r="E485" s="13">
        <f t="shared" si="140"/>
        <v>7068.6704975735111</v>
      </c>
      <c r="F485" s="14">
        <f t="shared" si="150"/>
        <v>1530633.2541585662</v>
      </c>
      <c r="G485" s="15">
        <f t="shared" si="141"/>
        <v>0.22723132062634827</v>
      </c>
      <c r="H485" s="13">
        <f t="shared" si="134"/>
        <v>226173.90372087024</v>
      </c>
      <c r="I485" s="13">
        <f t="shared" si="142"/>
        <v>21416124.693184283</v>
      </c>
      <c r="J485" s="15">
        <f t="shared" si="137"/>
        <v>0.77276867937365168</v>
      </c>
      <c r="K485" s="13">
        <f t="shared" si="143"/>
        <v>5205380.2933553755</v>
      </c>
      <c r="L485" s="13">
        <f t="shared" si="151"/>
        <v>569861621.70615292</v>
      </c>
      <c r="M485" s="15">
        <f t="shared" si="144"/>
        <v>0.77276867937365168</v>
      </c>
      <c r="N485" s="13">
        <f t="shared" si="135"/>
        <v>84324.961814444556</v>
      </c>
      <c r="O485" s="13">
        <f t="shared" si="145"/>
        <v>16210744.399828911</v>
      </c>
      <c r="P485" s="15">
        <f t="shared" si="138"/>
        <v>0.70645031585850027</v>
      </c>
      <c r="Q485" s="7">
        <f t="shared" si="146"/>
        <v>22946757.947342854</v>
      </c>
      <c r="R485" s="7">
        <f t="shared" si="136"/>
        <v>6736013.5475139422</v>
      </c>
      <c r="S485" s="13">
        <f>IF('Calc (3)'!$AD$32="Sim",R485,Q485)</f>
        <v>6736013.5475139422</v>
      </c>
      <c r="T485" s="9">
        <f t="shared" si="147"/>
        <v>481</v>
      </c>
      <c r="U485" s="17">
        <f t="shared" ca="1" si="148"/>
        <v>60146</v>
      </c>
    </row>
    <row r="486" spans="2:21" x14ac:dyDescent="0.2">
      <c r="B486" s="17">
        <f t="shared" ca="1" si="139"/>
        <v>60146</v>
      </c>
      <c r="C486" s="9">
        <f t="shared" si="149"/>
        <v>482</v>
      </c>
      <c r="D486" s="9"/>
      <c r="E486" s="13">
        <f t="shared" si="140"/>
        <v>7097.4691361664491</v>
      </c>
      <c r="F486" s="14">
        <f t="shared" si="150"/>
        <v>1537730.7232947326</v>
      </c>
      <c r="G486" s="15">
        <f t="shared" si="141"/>
        <v>0.22662605042936226</v>
      </c>
      <c r="H486" s="13">
        <f t="shared" si="134"/>
        <v>228496.45849314076</v>
      </c>
      <c r="I486" s="13">
        <f t="shared" si="142"/>
        <v>21644621.151677422</v>
      </c>
      <c r="J486" s="15">
        <f t="shared" si="137"/>
        <v>0.77337394957063776</v>
      </c>
      <c r="K486" s="13">
        <f t="shared" si="143"/>
        <v>5247591.2658648156</v>
      </c>
      <c r="L486" s="13">
        <f t="shared" si="151"/>
        <v>575109212.97201777</v>
      </c>
      <c r="M486" s="15">
        <f t="shared" si="144"/>
        <v>0.77337394957063765</v>
      </c>
      <c r="N486" s="13">
        <f t="shared" si="135"/>
        <v>85190.724594382569</v>
      </c>
      <c r="O486" s="13">
        <f t="shared" si="145"/>
        <v>16397029.885812612</v>
      </c>
      <c r="P486" s="15">
        <f t="shared" si="138"/>
        <v>0.70730657416666021</v>
      </c>
      <c r="Q486" s="7">
        <f t="shared" si="146"/>
        <v>23182351.874972161</v>
      </c>
      <c r="R486" s="7">
        <f t="shared" si="136"/>
        <v>6785321.9891595487</v>
      </c>
      <c r="S486" s="13">
        <f>IF('Calc (3)'!$AD$32="Sim",R486,Q486)</f>
        <v>6785321.9891595487</v>
      </c>
      <c r="T486" s="9">
        <f t="shared" si="147"/>
        <v>482</v>
      </c>
      <c r="U486" s="17">
        <f t="shared" ca="1" si="148"/>
        <v>60176</v>
      </c>
    </row>
    <row r="487" spans="2:21" x14ac:dyDescent="0.2">
      <c r="B487" s="17">
        <f t="shared" ca="1" si="139"/>
        <v>60176</v>
      </c>
      <c r="C487" s="9">
        <f t="shared" si="149"/>
        <v>483</v>
      </c>
      <c r="D487" s="9"/>
      <c r="E487" s="13">
        <f t="shared" si="140"/>
        <v>7126.3851039778147</v>
      </c>
      <c r="F487" s="14">
        <f t="shared" si="150"/>
        <v>1544857.1083987104</v>
      </c>
      <c r="G487" s="15">
        <f t="shared" si="141"/>
        <v>0.22602257464788494</v>
      </c>
      <c r="H487" s="13">
        <f t="shared" si="134"/>
        <v>230842.42728879018</v>
      </c>
      <c r="I487" s="13">
        <f t="shared" si="142"/>
        <v>21875463.578966212</v>
      </c>
      <c r="J487" s="15">
        <f t="shared" si="137"/>
        <v>0.773977425352115</v>
      </c>
      <c r="K487" s="13">
        <f t="shared" si="143"/>
        <v>5290111.0836299201</v>
      </c>
      <c r="L487" s="13">
        <f t="shared" si="151"/>
        <v>580399324.05564773</v>
      </c>
      <c r="M487" s="15">
        <f t="shared" si="144"/>
        <v>0.773977425352115</v>
      </c>
      <c r="N487" s="13">
        <f t="shared" si="135"/>
        <v>86065.214623174295</v>
      </c>
      <c r="O487" s="13">
        <f t="shared" si="145"/>
        <v>16585352.495336298</v>
      </c>
      <c r="P487" s="15">
        <f t="shared" si="138"/>
        <v>0.70816077699072499</v>
      </c>
      <c r="Q487" s="7">
        <f t="shared" si="146"/>
        <v>23420320.687364928</v>
      </c>
      <c r="R487" s="7">
        <f t="shared" si="136"/>
        <v>6834968.1920286305</v>
      </c>
      <c r="S487" s="13">
        <f>IF('Calc (3)'!$AD$32="Sim",R487,Q487)</f>
        <v>6834968.1920286305</v>
      </c>
      <c r="T487" s="9">
        <f t="shared" si="147"/>
        <v>483</v>
      </c>
      <c r="U487" s="17">
        <f t="shared" ca="1" si="148"/>
        <v>60207</v>
      </c>
    </row>
    <row r="488" spans="2:21" x14ac:dyDescent="0.2">
      <c r="B488" s="17">
        <f t="shared" ca="1" si="139"/>
        <v>60207</v>
      </c>
      <c r="C488" s="9">
        <f t="shared" si="149"/>
        <v>484</v>
      </c>
      <c r="D488" s="9"/>
      <c r="E488" s="13">
        <f t="shared" si="140"/>
        <v>7155.4188790213684</v>
      </c>
      <c r="F488" s="14">
        <f t="shared" si="150"/>
        <v>1552012.5272777318</v>
      </c>
      <c r="G488" s="15">
        <f t="shared" si="141"/>
        <v>0.2254208872837305</v>
      </c>
      <c r="H488" s="13">
        <f t="shared" si="134"/>
        <v>233212.04442548298</v>
      </c>
      <c r="I488" s="13">
        <f t="shared" si="142"/>
        <v>22108675.623391695</v>
      </c>
      <c r="J488" s="15">
        <f t="shared" si="137"/>
        <v>0.77457911271626956</v>
      </c>
      <c r="K488" s="13">
        <f t="shared" si="143"/>
        <v>5332941.8617282007</v>
      </c>
      <c r="L488" s="13">
        <f t="shared" si="151"/>
        <v>585732265.91737592</v>
      </c>
      <c r="M488" s="15">
        <f t="shared" si="144"/>
        <v>0.77457911271626956</v>
      </c>
      <c r="N488" s="13">
        <f t="shared" si="135"/>
        <v>86948.519236884851</v>
      </c>
      <c r="O488" s="13">
        <f t="shared" si="145"/>
        <v>16775733.7616635</v>
      </c>
      <c r="P488" s="15">
        <f t="shared" si="138"/>
        <v>0.70901292704746899</v>
      </c>
      <c r="Q488" s="7">
        <f t="shared" si="146"/>
        <v>23660688.150669433</v>
      </c>
      <c r="R488" s="7">
        <f t="shared" si="136"/>
        <v>6884954.389005932</v>
      </c>
      <c r="S488" s="13">
        <f>IF('Calc (3)'!$AD$32="Sim",R488,Q488)</f>
        <v>6884954.389005932</v>
      </c>
      <c r="T488" s="9">
        <f t="shared" si="147"/>
        <v>484</v>
      </c>
      <c r="U488" s="17">
        <f t="shared" ca="1" si="148"/>
        <v>60237</v>
      </c>
    </row>
    <row r="489" spans="2:21" x14ac:dyDescent="0.2">
      <c r="B489" s="17">
        <f t="shared" ca="1" si="139"/>
        <v>60237</v>
      </c>
      <c r="C489" s="9">
        <f t="shared" si="149"/>
        <v>485</v>
      </c>
      <c r="D489" s="9"/>
      <c r="E489" s="13">
        <f t="shared" si="140"/>
        <v>7184.5709412583556</v>
      </c>
      <c r="F489" s="14">
        <f t="shared" si="150"/>
        <v>1559197.0982189903</v>
      </c>
      <c r="G489" s="15">
        <f t="shared" si="141"/>
        <v>0.22482098236147469</v>
      </c>
      <c r="H489" s="13">
        <f t="shared" si="134"/>
        <v>235605.54655890394</v>
      </c>
      <c r="I489" s="13">
        <f t="shared" si="142"/>
        <v>22344281.169950601</v>
      </c>
      <c r="J489" s="15">
        <f t="shared" si="137"/>
        <v>0.77517901763852537</v>
      </c>
      <c r="K489" s="13">
        <f t="shared" si="143"/>
        <v>5376085.7292177342</v>
      </c>
      <c r="L489" s="13">
        <f t="shared" si="151"/>
        <v>591108351.64659369</v>
      </c>
      <c r="M489" s="15">
        <f t="shared" si="144"/>
        <v>0.77517901763852526</v>
      </c>
      <c r="N489" s="13">
        <f t="shared" si="135"/>
        <v>87840.726643007627</v>
      </c>
      <c r="O489" s="13">
        <f t="shared" si="145"/>
        <v>16968195.440732874</v>
      </c>
      <c r="P489" s="15">
        <f t="shared" si="138"/>
        <v>0.7098630270611328</v>
      </c>
      <c r="Q489" s="7">
        <f t="shared" si="146"/>
        <v>23903478.268169597</v>
      </c>
      <c r="R489" s="7">
        <f t="shared" si="136"/>
        <v>6935282.8274367247</v>
      </c>
      <c r="S489" s="13">
        <f>IF('Calc (3)'!$AD$32="Sim",R489,Q489)</f>
        <v>6935282.8274367247</v>
      </c>
      <c r="T489" s="9">
        <f t="shared" si="147"/>
        <v>485</v>
      </c>
      <c r="U489" s="17">
        <f t="shared" ca="1" si="148"/>
        <v>60268</v>
      </c>
    </row>
    <row r="490" spans="2:21" x14ac:dyDescent="0.2">
      <c r="B490" s="17">
        <f t="shared" ca="1" si="139"/>
        <v>60268</v>
      </c>
      <c r="C490" s="9">
        <f t="shared" si="149"/>
        <v>486</v>
      </c>
      <c r="D490" s="9"/>
      <c r="E490" s="13">
        <f t="shared" si="140"/>
        <v>7213.8417726054449</v>
      </c>
      <c r="F490" s="14">
        <f t="shared" si="150"/>
        <v>1566410.9399915957</v>
      </c>
      <c r="G490" s="15">
        <f t="shared" si="141"/>
        <v>0.22422285392835348</v>
      </c>
      <c r="H490" s="13">
        <f t="shared" si="134"/>
        <v>238023.17270605842</v>
      </c>
      <c r="I490" s="13">
        <f t="shared" si="142"/>
        <v>22582304.342656661</v>
      </c>
      <c r="J490" s="15">
        <f t="shared" si="137"/>
        <v>0.7757771460716465</v>
      </c>
      <c r="K490" s="13">
        <f t="shared" si="143"/>
        <v>5419544.8292276971</v>
      </c>
      <c r="L490" s="13">
        <f t="shared" si="151"/>
        <v>596527896.47582138</v>
      </c>
      <c r="M490" s="15">
        <f t="shared" si="144"/>
        <v>0.77577714607164661</v>
      </c>
      <c r="N490" s="13">
        <f t="shared" si="135"/>
        <v>88741.925929148885</v>
      </c>
      <c r="O490" s="13">
        <f t="shared" si="145"/>
        <v>17162759.513428971</v>
      </c>
      <c r="P490" s="15">
        <f t="shared" si="138"/>
        <v>0.71071107976336301</v>
      </c>
      <c r="Q490" s="7">
        <f t="shared" si="146"/>
        <v>24148715.282648262</v>
      </c>
      <c r="R490" s="7">
        <f t="shared" si="136"/>
        <v>6985955.7692192923</v>
      </c>
      <c r="S490" s="13">
        <f>IF('Calc (3)'!$AD$32="Sim",R490,Q490)</f>
        <v>6985955.7692192923</v>
      </c>
      <c r="T490" s="9">
        <f t="shared" si="147"/>
        <v>486</v>
      </c>
      <c r="U490" s="17">
        <f t="shared" ca="1" si="148"/>
        <v>60299</v>
      </c>
    </row>
    <row r="491" spans="2:21" x14ac:dyDescent="0.2">
      <c r="B491" s="17">
        <f t="shared" ca="1" si="139"/>
        <v>60299</v>
      </c>
      <c r="C491" s="9">
        <f t="shared" si="149"/>
        <v>487</v>
      </c>
      <c r="D491" s="9"/>
      <c r="E491" s="13">
        <f t="shared" si="140"/>
        <v>7243.2318569426925</v>
      </c>
      <c r="F491" s="14">
        <f t="shared" si="150"/>
        <v>1573654.1718485383</v>
      </c>
      <c r="G491" s="15">
        <f t="shared" si="141"/>
        <v>0.22362649605416202</v>
      </c>
      <c r="H491" s="13">
        <f t="shared" si="134"/>
        <v>240465.1642688053</v>
      </c>
      <c r="I491" s="13">
        <f t="shared" si="142"/>
        <v>22822769.506925467</v>
      </c>
      <c r="J491" s="15">
        <f t="shared" si="137"/>
        <v>0.77637350394583793</v>
      </c>
      <c r="K491" s="13">
        <f t="shared" si="143"/>
        <v>5463321.3190494701</v>
      </c>
      <c r="L491" s="13">
        <f t="shared" si="151"/>
        <v>601991217.79487085</v>
      </c>
      <c r="M491" s="15">
        <f t="shared" si="144"/>
        <v>0.77637350394583793</v>
      </c>
      <c r="N491" s="13">
        <f t="shared" si="135"/>
        <v>89652.207071798926</v>
      </c>
      <c r="O491" s="13">
        <f t="shared" si="145"/>
        <v>17359448.187876001</v>
      </c>
      <c r="P491" s="15">
        <f t="shared" si="138"/>
        <v>0.7115570878931532</v>
      </c>
      <c r="Q491" s="7">
        <f t="shared" si="146"/>
        <v>24396423.67877401</v>
      </c>
      <c r="R491" s="7">
        <f t="shared" si="136"/>
        <v>7036975.4908980085</v>
      </c>
      <c r="S491" s="13">
        <f>IF('Calc (3)'!$AD$32="Sim",R491,Q491)</f>
        <v>7036975.4908980085</v>
      </c>
      <c r="T491" s="9">
        <f t="shared" si="147"/>
        <v>487</v>
      </c>
      <c r="U491" s="17">
        <f t="shared" ca="1" si="148"/>
        <v>60327</v>
      </c>
    </row>
    <row r="492" spans="2:21" x14ac:dyDescent="0.2">
      <c r="B492" s="17">
        <f t="shared" ca="1" si="139"/>
        <v>60327</v>
      </c>
      <c r="C492" s="9">
        <f t="shared" si="149"/>
        <v>488</v>
      </c>
      <c r="D492" s="9"/>
      <c r="E492" s="13">
        <f t="shared" si="140"/>
        <v>7272.7416801215422</v>
      </c>
      <c r="F492" s="14">
        <f t="shared" si="150"/>
        <v>1580926.9135286598</v>
      </c>
      <c r="G492" s="15">
        <f t="shared" si="141"/>
        <v>0.22303190283115429</v>
      </c>
      <c r="H492" s="13">
        <f t="shared" si="134"/>
        <v>242931.76505762408</v>
      </c>
      <c r="I492" s="13">
        <f t="shared" si="142"/>
        <v>23065701.271983091</v>
      </c>
      <c r="J492" s="15">
        <f t="shared" si="137"/>
        <v>0.77696809716884574</v>
      </c>
      <c r="K492" s="13">
        <f t="shared" si="143"/>
        <v>5507417.3702283427</v>
      </c>
      <c r="L492" s="13">
        <f t="shared" si="151"/>
        <v>607498635.16509914</v>
      </c>
      <c r="M492" s="15">
        <f t="shared" si="144"/>
        <v>0.77696809716884563</v>
      </c>
      <c r="N492" s="13">
        <f t="shared" si="135"/>
        <v>90571.660945190466</v>
      </c>
      <c r="O492" s="13">
        <f t="shared" si="145"/>
        <v>17558283.901754752</v>
      </c>
      <c r="P492" s="15">
        <f t="shared" si="138"/>
        <v>0.71240105419678423</v>
      </c>
      <c r="Q492" s="7">
        <f t="shared" si="146"/>
        <v>24646628.185511757</v>
      </c>
      <c r="R492" s="7">
        <f t="shared" si="136"/>
        <v>7088344.283757003</v>
      </c>
      <c r="S492" s="13">
        <f>IF('Calc (3)'!$AD$32="Sim",R492,Q492)</f>
        <v>7088344.283757003</v>
      </c>
      <c r="T492" s="9">
        <f t="shared" si="147"/>
        <v>488</v>
      </c>
      <c r="U492" s="17">
        <f t="shared" ca="1" si="148"/>
        <v>60358</v>
      </c>
    </row>
    <row r="493" spans="2:21" x14ac:dyDescent="0.2">
      <c r="B493" s="17">
        <f t="shared" ca="1" si="139"/>
        <v>60358</v>
      </c>
      <c r="C493" s="9">
        <f t="shared" si="149"/>
        <v>489</v>
      </c>
      <c r="D493" s="9"/>
      <c r="E493" s="13">
        <f t="shared" si="140"/>
        <v>7302.371729972856</v>
      </c>
      <c r="F493" s="14">
        <f t="shared" si="150"/>
        <v>1588229.2852586326</v>
      </c>
      <c r="G493" s="15">
        <f t="shared" si="141"/>
        <v>0.22243906837394334</v>
      </c>
      <c r="H493" s="13">
        <f t="shared" ref="H493:H556" si="152">Q492*Taxa_3</f>
        <v>245423.22131561884</v>
      </c>
      <c r="I493" s="13">
        <f t="shared" si="142"/>
        <v>23311124.493298709</v>
      </c>
      <c r="J493" s="15">
        <f t="shared" si="137"/>
        <v>0.77756093162605666</v>
      </c>
      <c r="K493" s="13">
        <f t="shared" si="143"/>
        <v>5551835.1686557904</v>
      </c>
      <c r="L493" s="13">
        <f t="shared" si="151"/>
        <v>613050470.3337549</v>
      </c>
      <c r="M493" s="15">
        <f t="shared" si="144"/>
        <v>0.77756093162605677</v>
      </c>
      <c r="N493" s="13">
        <f t="shared" ref="N493:N556" si="153">Q493*Inflação_3</f>
        <v>91500.379330245385</v>
      </c>
      <c r="O493" s="13">
        <f t="shared" si="145"/>
        <v>17759289.324642926</v>
      </c>
      <c r="P493" s="15">
        <f t="shared" si="138"/>
        <v>0.71324298142776488</v>
      </c>
      <c r="Q493" s="7">
        <f t="shared" si="146"/>
        <v>24899353.778557349</v>
      </c>
      <c r="R493" s="7">
        <f t="shared" ref="R493:R556" si="154">(R492+E493)*(1+((1+Taxa_3)/(1+Inflação_3)-1))</f>
        <v>7140064.4539144225</v>
      </c>
      <c r="S493" s="13">
        <f>IF('Calc (3)'!$AD$32="Sim",R493,Q493)</f>
        <v>7140064.4539144225</v>
      </c>
      <c r="T493" s="9">
        <f t="shared" si="147"/>
        <v>489</v>
      </c>
      <c r="U493" s="17">
        <f t="shared" ca="1" si="148"/>
        <v>60388</v>
      </c>
    </row>
    <row r="494" spans="2:21" x14ac:dyDescent="0.2">
      <c r="B494" s="17">
        <f t="shared" ca="1" si="139"/>
        <v>60388</v>
      </c>
      <c r="C494" s="9">
        <f t="shared" si="149"/>
        <v>490</v>
      </c>
      <c r="D494" s="9"/>
      <c r="E494" s="13">
        <f t="shared" si="140"/>
        <v>7332.1224963149798</v>
      </c>
      <c r="F494" s="14">
        <f t="shared" si="150"/>
        <v>1595561.4077549477</v>
      </c>
      <c r="G494" s="15">
        <f t="shared" si="141"/>
        <v>0.22184798681940213</v>
      </c>
      <c r="H494" s="13">
        <f t="shared" si="152"/>
        <v>247939.78174276114</v>
      </c>
      <c r="I494" s="13">
        <f t="shared" si="142"/>
        <v>23559064.275041472</v>
      </c>
      <c r="J494" s="15">
        <f t="shared" si="137"/>
        <v>0.7781520131805979</v>
      </c>
      <c r="K494" s="13">
        <f t="shared" si="143"/>
        <v>5596576.9146623416</v>
      </c>
      <c r="L494" s="13">
        <f t="shared" si="151"/>
        <v>618647047.24841726</v>
      </c>
      <c r="M494" s="15">
        <f t="shared" si="144"/>
        <v>0.7781520131805979</v>
      </c>
      <c r="N494" s="13">
        <f t="shared" si="153"/>
        <v>92438.454923610567</v>
      </c>
      <c r="O494" s="13">
        <f t="shared" si="145"/>
        <v>17962487.360379137</v>
      </c>
      <c r="P494" s="15">
        <f t="shared" si="138"/>
        <v>0.71408287234677137</v>
      </c>
      <c r="Q494" s="7">
        <f t="shared" si="146"/>
        <v>25154625.682796426</v>
      </c>
      <c r="R494" s="7">
        <f t="shared" si="154"/>
        <v>7192138.322417289</v>
      </c>
      <c r="S494" s="13">
        <f>IF('Calc (3)'!$AD$32="Sim",R494,Q494)</f>
        <v>7192138.322417289</v>
      </c>
      <c r="T494" s="9">
        <f t="shared" si="147"/>
        <v>490</v>
      </c>
      <c r="U494" s="17">
        <f t="shared" ca="1" si="148"/>
        <v>60419</v>
      </c>
    </row>
    <row r="495" spans="2:21" x14ac:dyDescent="0.2">
      <c r="B495" s="17">
        <f t="shared" ca="1" si="139"/>
        <v>60419</v>
      </c>
      <c r="C495" s="9">
        <f t="shared" si="149"/>
        <v>491</v>
      </c>
      <c r="D495" s="9"/>
      <c r="E495" s="13">
        <f t="shared" si="140"/>
        <v>7361.9944709618394</v>
      </c>
      <c r="F495" s="14">
        <f t="shared" si="150"/>
        <v>1602923.4022259095</v>
      </c>
      <c r="G495" s="15">
        <f t="shared" si="141"/>
        <v>0.22125865232656486</v>
      </c>
      <c r="H495" s="13">
        <f t="shared" si="152"/>
        <v>250481.69752037467</v>
      </c>
      <c r="I495" s="13">
        <f t="shared" si="142"/>
        <v>23809545.972561847</v>
      </c>
      <c r="J495" s="15">
        <f t="shared" si="137"/>
        <v>0.77874134767343517</v>
      </c>
      <c r="K495" s="13">
        <f t="shared" si="143"/>
        <v>5641644.8231110508</v>
      </c>
      <c r="L495" s="13">
        <f t="shared" si="151"/>
        <v>624288692.07152832</v>
      </c>
      <c r="M495" s="15">
        <f t="shared" si="144"/>
        <v>0.77874134767343506</v>
      </c>
      <c r="N495" s="13">
        <f t="shared" si="153"/>
        <v>93385.981346783665</v>
      </c>
      <c r="O495" s="13">
        <f t="shared" si="145"/>
        <v>18167901.149450801</v>
      </c>
      <c r="P495" s="15">
        <f t="shared" si="138"/>
        <v>0.71492072972158904</v>
      </c>
      <c r="Q495" s="7">
        <f t="shared" si="146"/>
        <v>25412469.374787763</v>
      </c>
      <c r="R495" s="7">
        <f t="shared" si="154"/>
        <v>7244568.2253369605</v>
      </c>
      <c r="S495" s="13">
        <f>IF('Calc (3)'!$AD$32="Sim",R495,Q495)</f>
        <v>7244568.2253369605</v>
      </c>
      <c r="T495" s="9">
        <f t="shared" si="147"/>
        <v>491</v>
      </c>
      <c r="U495" s="17">
        <f t="shared" ca="1" si="148"/>
        <v>60449</v>
      </c>
    </row>
    <row r="496" spans="2:21" x14ac:dyDescent="0.2">
      <c r="B496" s="17">
        <f t="shared" ca="1" si="139"/>
        <v>60449</v>
      </c>
      <c r="C496" s="9">
        <f t="shared" si="149"/>
        <v>492</v>
      </c>
      <c r="D496" s="9">
        <v>41</v>
      </c>
      <c r="E496" s="13">
        <f t="shared" si="140"/>
        <v>7391.9881477310728</v>
      </c>
      <c r="F496" s="14">
        <f t="shared" si="150"/>
        <v>1610315.3903736407</v>
      </c>
      <c r="G496" s="15">
        <f t="shared" si="141"/>
        <v>0.22067105907652898</v>
      </c>
      <c r="H496" s="13">
        <f t="shared" si="152"/>
        <v>253049.22233586342</v>
      </c>
      <c r="I496" s="13">
        <f t="shared" si="142"/>
        <v>24062595.194897711</v>
      </c>
      <c r="J496" s="15">
        <f t="shared" si="137"/>
        <v>0.77932894092347105</v>
      </c>
      <c r="K496" s="13">
        <f t="shared" si="143"/>
        <v>5687041.1234915573</v>
      </c>
      <c r="L496" s="13">
        <f t="shared" si="151"/>
        <v>629975733.19501984</v>
      </c>
      <c r="M496" s="15">
        <f t="shared" si="144"/>
        <v>0.77932894092347105</v>
      </c>
      <c r="N496" s="13">
        <f t="shared" si="153"/>
        <v>94343.053155329937</v>
      </c>
      <c r="O496" s="13">
        <f t="shared" si="145"/>
        <v>18375554.07140616</v>
      </c>
      <c r="P496" s="15">
        <f t="shared" si="138"/>
        <v>0.71575655632705237</v>
      </c>
      <c r="Q496" s="7">
        <f t="shared" si="146"/>
        <v>25672910.585271358</v>
      </c>
      <c r="R496" s="7">
        <f t="shared" si="154"/>
        <v>7297356.513865198</v>
      </c>
      <c r="S496" s="13">
        <f>IF('Calc (3)'!$AD$32="Sim",R496,Q496)</f>
        <v>7297356.513865198</v>
      </c>
      <c r="T496" s="9">
        <f t="shared" si="147"/>
        <v>492</v>
      </c>
      <c r="U496" s="17">
        <f t="shared" ca="1" si="148"/>
        <v>60480</v>
      </c>
    </row>
    <row r="497" spans="2:21" x14ac:dyDescent="0.2">
      <c r="B497" s="17">
        <f t="shared" ca="1" si="139"/>
        <v>60480</v>
      </c>
      <c r="C497" s="9">
        <f t="shared" si="149"/>
        <v>493</v>
      </c>
      <c r="D497" s="9"/>
      <c r="E497" s="13">
        <f t="shared" si="140"/>
        <v>7422.1040224521903</v>
      </c>
      <c r="F497" s="14">
        <f t="shared" si="150"/>
        <v>1617737.4943960928</v>
      </c>
      <c r="G497" s="15">
        <f t="shared" si="141"/>
        <v>0.22008520127235759</v>
      </c>
      <c r="H497" s="13">
        <f t="shared" si="152"/>
        <v>255642.6124076866</v>
      </c>
      <c r="I497" s="13">
        <f t="shared" si="142"/>
        <v>24318237.807305399</v>
      </c>
      <c r="J497" s="15">
        <f t="shared" si="137"/>
        <v>0.77991479872764247</v>
      </c>
      <c r="K497" s="13">
        <f t="shared" si="143"/>
        <v>5732768.0600147508</v>
      </c>
      <c r="L497" s="13">
        <f t="shared" si="151"/>
        <v>635708501.25503457</v>
      </c>
      <c r="M497" s="15">
        <f t="shared" si="144"/>
        <v>0.77991479872764247</v>
      </c>
      <c r="N497" s="13">
        <f t="shared" si="153"/>
        <v>95309.765848190669</v>
      </c>
      <c r="O497" s="13">
        <f t="shared" si="145"/>
        <v>18585469.747290656</v>
      </c>
      <c r="P497" s="15">
        <f t="shared" si="138"/>
        <v>0.71659035494498557</v>
      </c>
      <c r="Q497" s="7">
        <f t="shared" si="146"/>
        <v>25935975.301701497</v>
      </c>
      <c r="R497" s="7">
        <f t="shared" si="154"/>
        <v>7350505.5544108432</v>
      </c>
      <c r="S497" s="13">
        <f>IF('Calc (3)'!$AD$32="Sim",R497,Q497)</f>
        <v>7350505.5544108432</v>
      </c>
      <c r="T497" s="9">
        <f t="shared" si="147"/>
        <v>493</v>
      </c>
      <c r="U497" s="17">
        <f t="shared" ca="1" si="148"/>
        <v>60511</v>
      </c>
    </row>
    <row r="498" spans="2:21" x14ac:dyDescent="0.2">
      <c r="B498" s="17">
        <f t="shared" ca="1" si="139"/>
        <v>60511</v>
      </c>
      <c r="C498" s="9">
        <f t="shared" si="149"/>
        <v>494</v>
      </c>
      <c r="D498" s="9"/>
      <c r="E498" s="13">
        <f t="shared" si="140"/>
        <v>7452.3425929747746</v>
      </c>
      <c r="F498" s="14">
        <f t="shared" si="150"/>
        <v>1625189.8369890675</v>
      </c>
      <c r="G498" s="15">
        <f t="shared" si="141"/>
        <v>0.21950107313898271</v>
      </c>
      <c r="H498" s="13">
        <f t="shared" si="152"/>
        <v>258262.12651058187</v>
      </c>
      <c r="I498" s="13">
        <f t="shared" si="142"/>
        <v>24576499.933815982</v>
      </c>
      <c r="J498" s="15">
        <f t="shared" si="137"/>
        <v>0.78049892686101729</v>
      </c>
      <c r="K498" s="13">
        <f t="shared" si="143"/>
        <v>5778827.891708036</v>
      </c>
      <c r="L498" s="13">
        <f t="shared" si="151"/>
        <v>641487329.14674258</v>
      </c>
      <c r="M498" s="15">
        <f t="shared" si="144"/>
        <v>0.78049892686101729</v>
      </c>
      <c r="N498" s="13">
        <f t="shared" si="153"/>
        <v>96286.215877084498</v>
      </c>
      <c r="O498" s="13">
        <f t="shared" si="145"/>
        <v>18797672.042107951</v>
      </c>
      <c r="P498" s="15">
        <f t="shared" si="138"/>
        <v>0.71742212836414287</v>
      </c>
      <c r="Q498" s="7">
        <f t="shared" si="146"/>
        <v>26201689.770805053</v>
      </c>
      <c r="R498" s="7">
        <f t="shared" si="154"/>
        <v>7404017.7286971034</v>
      </c>
      <c r="S498" s="13">
        <f>IF('Calc (3)'!$AD$32="Sim",R498,Q498)</f>
        <v>7404017.7286971034</v>
      </c>
      <c r="T498" s="9">
        <f t="shared" si="147"/>
        <v>494</v>
      </c>
      <c r="U498" s="17">
        <f t="shared" ca="1" si="148"/>
        <v>60541</v>
      </c>
    </row>
    <row r="499" spans="2:21" x14ac:dyDescent="0.2">
      <c r="B499" s="17">
        <f t="shared" ca="1" si="139"/>
        <v>60541</v>
      </c>
      <c r="C499" s="9">
        <f t="shared" si="149"/>
        <v>495</v>
      </c>
      <c r="D499" s="9"/>
      <c r="E499" s="13">
        <f t="shared" si="140"/>
        <v>7482.7043591767087</v>
      </c>
      <c r="F499" s="14">
        <f t="shared" si="150"/>
        <v>1632672.5413482443</v>
      </c>
      <c r="G499" s="15">
        <f t="shared" si="141"/>
        <v>0.21891866892310874</v>
      </c>
      <c r="H499" s="13">
        <f t="shared" si="152"/>
        <v>260908.02600104033</v>
      </c>
      <c r="I499" s="13">
        <f t="shared" si="142"/>
        <v>24837407.959817022</v>
      </c>
      <c r="J499" s="15">
        <f t="shared" si="137"/>
        <v>0.78108133107689126</v>
      </c>
      <c r="K499" s="13">
        <f t="shared" si="143"/>
        <v>5825222.8925112197</v>
      </c>
      <c r="L499" s="13">
        <f t="shared" si="151"/>
        <v>647312552.03925383</v>
      </c>
      <c r="M499" s="15">
        <f t="shared" si="144"/>
        <v>0.78108133107689126</v>
      </c>
      <c r="N499" s="13">
        <f t="shared" si="153"/>
        <v>97272.500656002347</v>
      </c>
      <c r="O499" s="13">
        <f t="shared" si="145"/>
        <v>19012185.067305807</v>
      </c>
      <c r="P499" s="15">
        <f t="shared" si="138"/>
        <v>0.71825187938014956</v>
      </c>
      <c r="Q499" s="7">
        <f t="shared" si="146"/>
        <v>26470080.501165271</v>
      </c>
      <c r="R499" s="7">
        <f t="shared" si="154"/>
        <v>7457895.4338594638</v>
      </c>
      <c r="S499" s="13">
        <f>IF('Calc (3)'!$AD$32="Sim",R499,Q499)</f>
        <v>7457895.4338594638</v>
      </c>
      <c r="T499" s="9">
        <f t="shared" si="147"/>
        <v>495</v>
      </c>
      <c r="U499" s="17">
        <f t="shared" ca="1" si="148"/>
        <v>60572</v>
      </c>
    </row>
    <row r="500" spans="2:21" x14ac:dyDescent="0.2">
      <c r="B500" s="17">
        <f t="shared" ca="1" si="139"/>
        <v>60572</v>
      </c>
      <c r="C500" s="9">
        <f t="shared" si="149"/>
        <v>496</v>
      </c>
      <c r="D500" s="9"/>
      <c r="E500" s="13">
        <f t="shared" si="140"/>
        <v>7513.1898229724402</v>
      </c>
      <c r="F500" s="14">
        <f t="shared" si="150"/>
        <v>1640185.7311712168</v>
      </c>
      <c r="G500" s="15">
        <f t="shared" si="141"/>
        <v>0.21833798289311659</v>
      </c>
      <c r="H500" s="13">
        <f t="shared" si="152"/>
        <v>263580.57484303473</v>
      </c>
      <c r="I500" s="13">
        <f t="shared" si="142"/>
        <v>25100988.534660056</v>
      </c>
      <c r="J500" s="15">
        <f t="shared" si="137"/>
        <v>0.78166201710688343</v>
      </c>
      <c r="K500" s="13">
        <f t="shared" si="143"/>
        <v>5871955.3513729963</v>
      </c>
      <c r="L500" s="13">
        <f t="shared" si="151"/>
        <v>653184507.39062679</v>
      </c>
      <c r="M500" s="15">
        <f t="shared" si="144"/>
        <v>0.78166201710688343</v>
      </c>
      <c r="N500" s="13">
        <f t="shared" si="153"/>
        <v>98268.718570796802</v>
      </c>
      <c r="O500" s="13">
        <f t="shared" si="145"/>
        <v>19229033.183287062</v>
      </c>
      <c r="P500" s="15">
        <f t="shared" si="138"/>
        <v>0.71907961079544269</v>
      </c>
      <c r="Q500" s="7">
        <f t="shared" si="146"/>
        <v>26741174.265831277</v>
      </c>
      <c r="R500" s="7">
        <f t="shared" si="154"/>
        <v>7512141.0825442132</v>
      </c>
      <c r="S500" s="13">
        <f>IF('Calc (3)'!$AD$32="Sim",R500,Q500)</f>
        <v>7512141.0825442132</v>
      </c>
      <c r="T500" s="9">
        <f t="shared" si="147"/>
        <v>496</v>
      </c>
      <c r="U500" s="17">
        <f t="shared" ca="1" si="148"/>
        <v>60602</v>
      </c>
    </row>
    <row r="501" spans="2:21" x14ac:dyDescent="0.2">
      <c r="B501" s="17">
        <f t="shared" ca="1" si="139"/>
        <v>60602</v>
      </c>
      <c r="C501" s="9">
        <f t="shared" si="149"/>
        <v>497</v>
      </c>
      <c r="D501" s="9"/>
      <c r="E501" s="13">
        <f t="shared" si="140"/>
        <v>7543.7994883212768</v>
      </c>
      <c r="F501" s="14">
        <f t="shared" si="150"/>
        <v>1647729.530659538</v>
      </c>
      <c r="G501" s="15">
        <f t="shared" si="141"/>
        <v>0.21775900933896861</v>
      </c>
      <c r="H501" s="13">
        <f t="shared" si="152"/>
        <v>266280.03963400441</v>
      </c>
      <c r="I501" s="13">
        <f t="shared" si="142"/>
        <v>25367268.57429406</v>
      </c>
      <c r="J501" s="15">
        <f t="shared" si="137"/>
        <v>0.78224099066103137</v>
      </c>
      <c r="K501" s="13">
        <f t="shared" si="143"/>
        <v>5919027.5723480573</v>
      </c>
      <c r="L501" s="13">
        <f t="shared" si="151"/>
        <v>659103534.96297479</v>
      </c>
      <c r="M501" s="15">
        <f t="shared" si="144"/>
        <v>0.78224099066103137</v>
      </c>
      <c r="N501" s="13">
        <f t="shared" si="153"/>
        <v>99274.968988867229</v>
      </c>
      <c r="O501" s="13">
        <f t="shared" si="145"/>
        <v>19448241.001946006</v>
      </c>
      <c r="P501" s="15">
        <f t="shared" si="138"/>
        <v>0.71990532541921159</v>
      </c>
      <c r="Q501" s="7">
        <f t="shared" si="146"/>
        <v>27014998.104953602</v>
      </c>
      <c r="R501" s="7">
        <f t="shared" si="154"/>
        <v>7566757.1030075951</v>
      </c>
      <c r="S501" s="13">
        <f>IF('Calc (3)'!$AD$32="Sim",R501,Q501)</f>
        <v>7566757.1030075951</v>
      </c>
      <c r="T501" s="9">
        <f t="shared" si="147"/>
        <v>497</v>
      </c>
      <c r="U501" s="17">
        <f t="shared" ca="1" si="148"/>
        <v>60633</v>
      </c>
    </row>
    <row r="502" spans="2:21" x14ac:dyDescent="0.2">
      <c r="B502" s="17">
        <f t="shared" ca="1" si="139"/>
        <v>60633</v>
      </c>
      <c r="C502" s="9">
        <f t="shared" si="149"/>
        <v>498</v>
      </c>
      <c r="D502" s="9"/>
      <c r="E502" s="13">
        <f t="shared" si="140"/>
        <v>7574.5338612357209</v>
      </c>
      <c r="F502" s="14">
        <f t="shared" si="150"/>
        <v>1655304.0645207737</v>
      </c>
      <c r="G502" s="15">
        <f t="shared" si="141"/>
        <v>0.21718174257211359</v>
      </c>
      <c r="H502" s="13">
        <f t="shared" si="152"/>
        <v>269006.68963109871</v>
      </c>
      <c r="I502" s="13">
        <f t="shared" si="142"/>
        <v>25636275.263925157</v>
      </c>
      <c r="J502" s="15">
        <f t="shared" si="137"/>
        <v>0.78281825742788635</v>
      </c>
      <c r="K502" s="13">
        <f t="shared" si="143"/>
        <v>5966441.8746948224</v>
      </c>
      <c r="L502" s="13">
        <f t="shared" si="151"/>
        <v>665069976.83766961</v>
      </c>
      <c r="M502" s="15">
        <f t="shared" si="144"/>
        <v>0.78281825742788647</v>
      </c>
      <c r="N502" s="13">
        <f t="shared" si="153"/>
        <v>100291.35226894118</v>
      </c>
      <c r="O502" s="13">
        <f t="shared" si="145"/>
        <v>19669833.389230337</v>
      </c>
      <c r="P502" s="15">
        <f t="shared" si="138"/>
        <v>0.72072902606733813</v>
      </c>
      <c r="Q502" s="7">
        <f t="shared" si="146"/>
        <v>27291579.328445934</v>
      </c>
      <c r="R502" s="7">
        <f t="shared" si="154"/>
        <v>7621745.9392155958</v>
      </c>
      <c r="S502" s="13">
        <f>IF('Calc (3)'!$AD$32="Sim",R502,Q502)</f>
        <v>7621745.9392155958</v>
      </c>
      <c r="T502" s="9">
        <f t="shared" si="147"/>
        <v>498</v>
      </c>
      <c r="U502" s="17">
        <f t="shared" ca="1" si="148"/>
        <v>60664</v>
      </c>
    </row>
    <row r="503" spans="2:21" x14ac:dyDescent="0.2">
      <c r="B503" s="17">
        <f t="shared" ca="1" si="139"/>
        <v>60664</v>
      </c>
      <c r="C503" s="9">
        <f t="shared" si="149"/>
        <v>499</v>
      </c>
      <c r="D503" s="9"/>
      <c r="E503" s="13">
        <f t="shared" si="140"/>
        <v>7605.3934497898308</v>
      </c>
      <c r="F503" s="14">
        <f t="shared" si="150"/>
        <v>1662909.4579705636</v>
      </c>
      <c r="G503" s="15">
        <f t="shared" si="141"/>
        <v>0.21660617692539275</v>
      </c>
      <c r="H503" s="13">
        <f t="shared" si="152"/>
        <v>271760.7967776822</v>
      </c>
      <c r="I503" s="13">
        <f t="shared" si="142"/>
        <v>25908036.060702838</v>
      </c>
      <c r="J503" s="15">
        <f t="shared" si="137"/>
        <v>0.78339382307460725</v>
      </c>
      <c r="K503" s="13">
        <f t="shared" si="143"/>
        <v>6014200.5929737901</v>
      </c>
      <c r="L503" s="13">
        <f t="shared" si="151"/>
        <v>671084177.43064344</v>
      </c>
      <c r="M503" s="15">
        <f t="shared" si="144"/>
        <v>0.78339382307460725</v>
      </c>
      <c r="N503" s="13">
        <f t="shared" si="153"/>
        <v>101317.96977095331</v>
      </c>
      <c r="O503" s="13">
        <f t="shared" si="145"/>
        <v>19893835.467729051</v>
      </c>
      <c r="P503" s="15">
        <f t="shared" si="138"/>
        <v>0.72155071556233874</v>
      </c>
      <c r="Q503" s="7">
        <f t="shared" si="146"/>
        <v>27570945.518673405</v>
      </c>
      <c r="R503" s="7">
        <f t="shared" si="154"/>
        <v>7677110.0509443535</v>
      </c>
      <c r="S503" s="13">
        <f>IF('Calc (3)'!$AD$32="Sim",R503,Q503)</f>
        <v>7677110.0509443535</v>
      </c>
      <c r="T503" s="9">
        <f t="shared" si="147"/>
        <v>499</v>
      </c>
      <c r="U503" s="17">
        <f t="shared" ca="1" si="148"/>
        <v>60692</v>
      </c>
    </row>
    <row r="504" spans="2:21" x14ac:dyDescent="0.2">
      <c r="B504" s="17">
        <f t="shared" ca="1" si="139"/>
        <v>60692</v>
      </c>
      <c r="C504" s="9">
        <f t="shared" si="149"/>
        <v>500</v>
      </c>
      <c r="D504" s="9"/>
      <c r="E504" s="13">
        <f t="shared" si="140"/>
        <v>7636.3787641276231</v>
      </c>
      <c r="F504" s="14">
        <f t="shared" si="150"/>
        <v>1670545.8367346912</v>
      </c>
      <c r="G504" s="15">
        <f t="shared" si="141"/>
        <v>0.21603230675294591</v>
      </c>
      <c r="H504" s="13">
        <f t="shared" si="152"/>
        <v>274542.63573010336</v>
      </c>
      <c r="I504" s="13">
        <f t="shared" si="142"/>
        <v>26182578.696432941</v>
      </c>
      <c r="J504" s="15">
        <f t="shared" si="137"/>
        <v>0.78396769324705406</v>
      </c>
      <c r="K504" s="13">
        <f t="shared" si="143"/>
        <v>6062306.0771465227</v>
      </c>
      <c r="L504" s="13">
        <f t="shared" si="151"/>
        <v>677146483.50778997</v>
      </c>
      <c r="M504" s="15">
        <f t="shared" si="144"/>
        <v>0.78396769324705418</v>
      </c>
      <c r="N504" s="13">
        <f t="shared" si="153"/>
        <v>102354.92386602271</v>
      </c>
      <c r="O504" s="13">
        <f t="shared" si="145"/>
        <v>20120272.619286422</v>
      </c>
      <c r="P504" s="15">
        <f t="shared" si="138"/>
        <v>0.72237039673330383</v>
      </c>
      <c r="Q504" s="7">
        <f t="shared" si="146"/>
        <v>27853124.533167634</v>
      </c>
      <c r="R504" s="7">
        <f t="shared" si="154"/>
        <v>7732851.9138812134</v>
      </c>
      <c r="S504" s="13">
        <f>IF('Calc (3)'!$AD$32="Sim",R504,Q504)</f>
        <v>7732851.9138812134</v>
      </c>
      <c r="T504" s="9">
        <f t="shared" si="147"/>
        <v>500</v>
      </c>
      <c r="U504" s="17">
        <f t="shared" ca="1" si="148"/>
        <v>60723</v>
      </c>
    </row>
    <row r="505" spans="2:21" x14ac:dyDescent="0.2">
      <c r="B505" s="17">
        <f t="shared" ca="1" si="139"/>
        <v>60723</v>
      </c>
      <c r="C505" s="9">
        <f t="shared" si="149"/>
        <v>501</v>
      </c>
      <c r="D505" s="9"/>
      <c r="E505" s="13">
        <f t="shared" si="140"/>
        <v>7667.4903164715024</v>
      </c>
      <c r="F505" s="14">
        <f t="shared" si="150"/>
        <v>1678213.3270511627</v>
      </c>
      <c r="G505" s="15">
        <f t="shared" si="141"/>
        <v>0.21546012643011844</v>
      </c>
      <c r="H505" s="13">
        <f t="shared" si="152"/>
        <v>277352.48388473043</v>
      </c>
      <c r="I505" s="13">
        <f t="shared" si="142"/>
        <v>26459931.18031767</v>
      </c>
      <c r="J505" s="15">
        <f t="shared" si="137"/>
        <v>0.78453987356988153</v>
      </c>
      <c r="K505" s="13">
        <f t="shared" si="143"/>
        <v>6110760.692675259</v>
      </c>
      <c r="L505" s="13">
        <f t="shared" si="151"/>
        <v>683257244.2004652</v>
      </c>
      <c r="M505" s="15">
        <f t="shared" si="144"/>
        <v>0.78453987356988153</v>
      </c>
      <c r="N505" s="13">
        <f t="shared" si="153"/>
        <v>103402.31794652955</v>
      </c>
      <c r="O505" s="13">
        <f t="shared" si="145"/>
        <v>20349170.487642415</v>
      </c>
      <c r="P505" s="15">
        <f t="shared" si="138"/>
        <v>0.7231880724158396</v>
      </c>
      <c r="Q505" s="7">
        <f t="shared" si="146"/>
        <v>28138144.507368837</v>
      </c>
      <c r="R505" s="7">
        <f t="shared" si="154"/>
        <v>7788974.0197264217</v>
      </c>
      <c r="S505" s="13">
        <f>IF('Calc (3)'!$AD$32="Sim",R505,Q505)</f>
        <v>7788974.0197264217</v>
      </c>
      <c r="T505" s="9">
        <f t="shared" si="147"/>
        <v>501</v>
      </c>
      <c r="U505" s="17">
        <f t="shared" ca="1" si="148"/>
        <v>60753</v>
      </c>
    </row>
    <row r="506" spans="2:21" x14ac:dyDescent="0.2">
      <c r="B506" s="17">
        <f t="shared" ca="1" si="139"/>
        <v>60753</v>
      </c>
      <c r="C506" s="9">
        <f t="shared" si="149"/>
        <v>502</v>
      </c>
      <c r="D506" s="9"/>
      <c r="E506" s="13">
        <f t="shared" si="140"/>
        <v>7698.7286211307328</v>
      </c>
      <c r="F506" s="14">
        <f t="shared" si="150"/>
        <v>1685912.0556722935</v>
      </c>
      <c r="G506" s="15">
        <f t="shared" si="141"/>
        <v>0.21488963035336855</v>
      </c>
      <c r="H506" s="13">
        <f t="shared" si="152"/>
        <v>280190.62140525639</v>
      </c>
      <c r="I506" s="13">
        <f t="shared" si="142"/>
        <v>26740121.801722925</v>
      </c>
      <c r="J506" s="15">
        <f t="shared" si="137"/>
        <v>0.7851103696466315</v>
      </c>
      <c r="K506" s="13">
        <f t="shared" si="143"/>
        <v>6159566.8206231706</v>
      </c>
      <c r="L506" s="13">
        <f t="shared" si="151"/>
        <v>689416811.02108836</v>
      </c>
      <c r="M506" s="15">
        <f t="shared" si="144"/>
        <v>0.7851103696466315</v>
      </c>
      <c r="N506" s="13">
        <f t="shared" si="153"/>
        <v>104460.25643629217</v>
      </c>
      <c r="O506" s="13">
        <f t="shared" si="145"/>
        <v>20580554.981099755</v>
      </c>
      <c r="P506" s="15">
        <f t="shared" si="138"/>
        <v>0.72400374545200885</v>
      </c>
      <c r="Q506" s="7">
        <f t="shared" si="146"/>
        <v>28426033.857395221</v>
      </c>
      <c r="R506" s="7">
        <f t="shared" si="154"/>
        <v>7845478.8762954641</v>
      </c>
      <c r="S506" s="13">
        <f>IF('Calc (3)'!$AD$32="Sim",R506,Q506)</f>
        <v>7845478.8762954641</v>
      </c>
      <c r="T506" s="9">
        <f t="shared" si="147"/>
        <v>502</v>
      </c>
      <c r="U506" s="17">
        <f t="shared" ca="1" si="148"/>
        <v>60784</v>
      </c>
    </row>
    <row r="507" spans="2:21" x14ac:dyDescent="0.2">
      <c r="B507" s="17">
        <f t="shared" ca="1" si="139"/>
        <v>60784</v>
      </c>
      <c r="C507" s="9">
        <f t="shared" si="149"/>
        <v>503</v>
      </c>
      <c r="D507" s="9"/>
      <c r="E507" s="13">
        <f t="shared" si="140"/>
        <v>7730.0941945099357</v>
      </c>
      <c r="F507" s="14">
        <f t="shared" si="150"/>
        <v>1693642.1498668035</v>
      </c>
      <c r="G507" s="15">
        <f t="shared" si="141"/>
        <v>0.21432081294017521</v>
      </c>
      <c r="H507" s="13">
        <f t="shared" si="152"/>
        <v>283057.33125027566</v>
      </c>
      <c r="I507" s="13">
        <f t="shared" si="142"/>
        <v>27023179.132973202</v>
      </c>
      <c r="J507" s="15">
        <f t="shared" si="137"/>
        <v>0.78567918705982476</v>
      </c>
      <c r="K507" s="13">
        <f t="shared" si="143"/>
        <v>6208726.8577552475</v>
      </c>
      <c r="L507" s="13">
        <f t="shared" si="151"/>
        <v>695625537.87884367</v>
      </c>
      <c r="M507" s="15">
        <f t="shared" si="144"/>
        <v>0.78567918705982476</v>
      </c>
      <c r="N507" s="13">
        <f t="shared" si="153"/>
        <v>105528.8448008455</v>
      </c>
      <c r="O507" s="13">
        <f t="shared" si="145"/>
        <v>20814452.275217954</v>
      </c>
      <c r="P507" s="15">
        <f t="shared" si="138"/>
        <v>0.72481741869027183</v>
      </c>
      <c r="Q507" s="7">
        <f t="shared" si="146"/>
        <v>28716821.282840006</v>
      </c>
      <c r="R507" s="7">
        <f t="shared" si="154"/>
        <v>7902369.0076220511</v>
      </c>
      <c r="S507" s="13">
        <f>IF('Calc (3)'!$AD$32="Sim",R507,Q507)</f>
        <v>7902369.0076220511</v>
      </c>
      <c r="T507" s="9">
        <f t="shared" si="147"/>
        <v>503</v>
      </c>
      <c r="U507" s="17">
        <f t="shared" ca="1" si="148"/>
        <v>60814</v>
      </c>
    </row>
    <row r="508" spans="2:21" x14ac:dyDescent="0.2">
      <c r="B508" s="17">
        <f t="shared" ca="1" si="139"/>
        <v>60814</v>
      </c>
      <c r="C508" s="9">
        <f t="shared" si="149"/>
        <v>504</v>
      </c>
      <c r="D508" s="9">
        <v>42</v>
      </c>
      <c r="E508" s="13">
        <f t="shared" si="140"/>
        <v>7761.5875551176305</v>
      </c>
      <c r="F508" s="14">
        <f t="shared" si="150"/>
        <v>1701403.7374219212</v>
      </c>
      <c r="G508" s="15">
        <f t="shared" si="141"/>
        <v>0.21375366862894649</v>
      </c>
      <c r="H508" s="13">
        <f t="shared" si="152"/>
        <v>285952.89920113579</v>
      </c>
      <c r="I508" s="13">
        <f t="shared" si="142"/>
        <v>27309132.032174338</v>
      </c>
      <c r="J508" s="15">
        <f t="shared" si="137"/>
        <v>0.78624633137105349</v>
      </c>
      <c r="K508" s="13">
        <f t="shared" si="143"/>
        <v>6258243.216639841</v>
      </c>
      <c r="L508" s="13">
        <f t="shared" si="151"/>
        <v>701883781.09548354</v>
      </c>
      <c r="M508" s="15">
        <f t="shared" si="144"/>
        <v>0.78624633137105349</v>
      </c>
      <c r="N508" s="13">
        <f t="shared" si="153"/>
        <v>106608.18955782187</v>
      </c>
      <c r="O508" s="13">
        <f t="shared" si="145"/>
        <v>21050888.815534499</v>
      </c>
      <c r="P508" s="15">
        <f t="shared" si="138"/>
        <v>0.72562909498542727</v>
      </c>
      <c r="Q508" s="7">
        <f t="shared" si="146"/>
        <v>29010535.76959626</v>
      </c>
      <c r="R508" s="7">
        <f t="shared" si="154"/>
        <v>7959646.9540617624</v>
      </c>
      <c r="S508" s="13">
        <f>IF('Calc (3)'!$AD$32="Sim",R508,Q508)</f>
        <v>7959646.9540617624</v>
      </c>
      <c r="T508" s="9">
        <f t="shared" si="147"/>
        <v>504</v>
      </c>
      <c r="U508" s="17">
        <f t="shared" ca="1" si="148"/>
        <v>60845</v>
      </c>
    </row>
    <row r="509" spans="2:21" x14ac:dyDescent="0.2">
      <c r="B509" s="17">
        <f t="shared" ca="1" si="139"/>
        <v>60845</v>
      </c>
      <c r="C509" s="9">
        <f t="shared" si="149"/>
        <v>505</v>
      </c>
      <c r="D509" s="9"/>
      <c r="E509" s="13">
        <f t="shared" si="140"/>
        <v>7793.2092235748041</v>
      </c>
      <c r="F509" s="14">
        <f t="shared" si="150"/>
        <v>1709196.9466454959</v>
      </c>
      <c r="G509" s="15">
        <f t="shared" si="141"/>
        <v>0.2131881918789286</v>
      </c>
      <c r="H509" s="13">
        <f t="shared" si="152"/>
        <v>288877.61389006668</v>
      </c>
      <c r="I509" s="13">
        <f t="shared" si="142"/>
        <v>27598009.646064404</v>
      </c>
      <c r="J509" s="15">
        <f t="shared" si="137"/>
        <v>0.78681180812107143</v>
      </c>
      <c r="K509" s="13">
        <f t="shared" si="143"/>
        <v>6308118.3257508464</v>
      </c>
      <c r="L509" s="13">
        <f t="shared" si="151"/>
        <v>708191899.42123437</v>
      </c>
      <c r="M509" s="15">
        <f t="shared" si="144"/>
        <v>0.78681180812107143</v>
      </c>
      <c r="N509" s="13">
        <f t="shared" si="153"/>
        <v>107698.39828743522</v>
      </c>
      <c r="O509" s="13">
        <f t="shared" si="145"/>
        <v>21289891.320313562</v>
      </c>
      <c r="P509" s="15">
        <f t="shared" si="138"/>
        <v>0.72643877719855332</v>
      </c>
      <c r="Q509" s="7">
        <f t="shared" si="146"/>
        <v>29307206.592709903</v>
      </c>
      <c r="R509" s="7">
        <f t="shared" si="154"/>
        <v>8017315.2723963419</v>
      </c>
      <c r="S509" s="13">
        <f>IF('Calc (3)'!$AD$32="Sim",R509,Q509)</f>
        <v>8017315.2723963419</v>
      </c>
      <c r="T509" s="9">
        <f t="shared" si="147"/>
        <v>505</v>
      </c>
      <c r="U509" s="17">
        <f t="shared" ca="1" si="148"/>
        <v>60876</v>
      </c>
    </row>
    <row r="510" spans="2:21" x14ac:dyDescent="0.2">
      <c r="B510" s="17">
        <f t="shared" ca="1" si="139"/>
        <v>60876</v>
      </c>
      <c r="C510" s="9">
        <f t="shared" si="149"/>
        <v>506</v>
      </c>
      <c r="D510" s="9"/>
      <c r="E510" s="13">
        <f t="shared" si="140"/>
        <v>7824.9597226235182</v>
      </c>
      <c r="F510" s="14">
        <f t="shared" si="150"/>
        <v>1717021.9063681194</v>
      </c>
      <c r="G510" s="15">
        <f t="shared" si="141"/>
        <v>0.21262437717011512</v>
      </c>
      <c r="H510" s="13">
        <f t="shared" si="152"/>
        <v>291831.76682858937</v>
      </c>
      <c r="I510" s="13">
        <f t="shared" si="142"/>
        <v>27889841.412892994</v>
      </c>
      <c r="J510" s="15">
        <f t="shared" si="137"/>
        <v>0.78737562282988494</v>
      </c>
      <c r="K510" s="13">
        <f t="shared" si="143"/>
        <v>6358354.629570541</v>
      </c>
      <c r="L510" s="13">
        <f t="shared" si="151"/>
        <v>714550254.05080485</v>
      </c>
      <c r="M510" s="15">
        <f t="shared" si="144"/>
        <v>0.78737562282988482</v>
      </c>
      <c r="N510" s="13">
        <f t="shared" si="153"/>
        <v>108799.57964306975</v>
      </c>
      <c r="O510" s="13">
        <f t="shared" si="145"/>
        <v>21531486.783322453</v>
      </c>
      <c r="P510" s="15">
        <f t="shared" si="138"/>
        <v>0.72724646819694927</v>
      </c>
      <c r="Q510" s="7">
        <f t="shared" si="146"/>
        <v>29606863.319261115</v>
      </c>
      <c r="R510" s="7">
        <f t="shared" si="154"/>
        <v>8075376.5359386606</v>
      </c>
      <c r="S510" s="13">
        <f>IF('Calc (3)'!$AD$32="Sim",R510,Q510)</f>
        <v>8075376.5359386606</v>
      </c>
      <c r="T510" s="9">
        <f t="shared" si="147"/>
        <v>506</v>
      </c>
      <c r="U510" s="17">
        <f t="shared" ca="1" si="148"/>
        <v>60906</v>
      </c>
    </row>
    <row r="511" spans="2:21" x14ac:dyDescent="0.2">
      <c r="B511" s="17">
        <f t="shared" ca="1" si="139"/>
        <v>60906</v>
      </c>
      <c r="C511" s="9">
        <f t="shared" si="149"/>
        <v>507</v>
      </c>
      <c r="D511" s="9"/>
      <c r="E511" s="13">
        <f t="shared" si="140"/>
        <v>7856.839577135549</v>
      </c>
      <c r="F511" s="14">
        <f t="shared" si="150"/>
        <v>1724878.745945255</v>
      </c>
      <c r="G511" s="15">
        <f t="shared" si="141"/>
        <v>0.21206221900315703</v>
      </c>
      <c r="H511" s="13">
        <f t="shared" si="152"/>
        <v>294815.65243620862</v>
      </c>
      <c r="I511" s="13">
        <f t="shared" si="142"/>
        <v>28184657.065329202</v>
      </c>
      <c r="J511" s="15">
        <f t="shared" si="137"/>
        <v>0.78793778099684297</v>
      </c>
      <c r="K511" s="13">
        <f t="shared" si="143"/>
        <v>6408954.588693087</v>
      </c>
      <c r="L511" s="13">
        <f t="shared" si="151"/>
        <v>720959208.639498</v>
      </c>
      <c r="M511" s="15">
        <f t="shared" si="144"/>
        <v>0.78793778099684297</v>
      </c>
      <c r="N511" s="13">
        <f t="shared" si="153"/>
        <v>109911.84336197402</v>
      </c>
      <c r="O511" s="13">
        <f t="shared" si="145"/>
        <v>21775702.476636115</v>
      </c>
      <c r="P511" s="15">
        <f t="shared" si="138"/>
        <v>0.7280521708540767</v>
      </c>
      <c r="Q511" s="7">
        <f t="shared" si="146"/>
        <v>29909535.811274458</v>
      </c>
      <c r="R511" s="7">
        <f t="shared" si="154"/>
        <v>8133833.3346383423</v>
      </c>
      <c r="S511" s="13">
        <f>IF('Calc (3)'!$AD$32="Sim",R511,Q511)</f>
        <v>8133833.3346383423</v>
      </c>
      <c r="T511" s="9">
        <f t="shared" si="147"/>
        <v>507</v>
      </c>
      <c r="U511" s="17">
        <f t="shared" ca="1" si="148"/>
        <v>60937</v>
      </c>
    </row>
    <row r="512" spans="2:21" x14ac:dyDescent="0.2">
      <c r="B512" s="17">
        <f t="shared" ca="1" si="139"/>
        <v>60937</v>
      </c>
      <c r="C512" s="9">
        <f t="shared" si="149"/>
        <v>508</v>
      </c>
      <c r="D512" s="9"/>
      <c r="E512" s="13">
        <f t="shared" si="140"/>
        <v>7888.8493141210665</v>
      </c>
      <c r="F512" s="14">
        <f t="shared" si="150"/>
        <v>1732767.5952593761</v>
      </c>
      <c r="G512" s="15">
        <f t="shared" si="141"/>
        <v>0.211501711899273</v>
      </c>
      <c r="H512" s="13">
        <f t="shared" si="152"/>
        <v>297829.56806939078</v>
      </c>
      <c r="I512" s="13">
        <f t="shared" si="142"/>
        <v>28482486.633398592</v>
      </c>
      <c r="J512" s="15">
        <f t="shared" si="137"/>
        <v>0.78849828810072697</v>
      </c>
      <c r="K512" s="13">
        <f t="shared" si="143"/>
        <v>6459920.67992868</v>
      </c>
      <c r="L512" s="13">
        <f t="shared" si="151"/>
        <v>727419129.31942666</v>
      </c>
      <c r="M512" s="15">
        <f t="shared" si="144"/>
        <v>0.78849828810072697</v>
      </c>
      <c r="N512" s="13">
        <f t="shared" si="153"/>
        <v>111035.30027606162</v>
      </c>
      <c r="O512" s="13">
        <f t="shared" si="145"/>
        <v>22022565.953469913</v>
      </c>
      <c r="P512" s="15">
        <f t="shared" si="138"/>
        <v>0.72885588804949997</v>
      </c>
      <c r="Q512" s="7">
        <f t="shared" si="146"/>
        <v>30215254.228657968</v>
      </c>
      <c r="R512" s="7">
        <f t="shared" si="154"/>
        <v>8192688.2751880558</v>
      </c>
      <c r="S512" s="13">
        <f>IF('Calc (3)'!$AD$32="Sim",R512,Q512)</f>
        <v>8192688.2751880558</v>
      </c>
      <c r="T512" s="9">
        <f t="shared" si="147"/>
        <v>508</v>
      </c>
      <c r="U512" s="17">
        <f t="shared" ca="1" si="148"/>
        <v>60967</v>
      </c>
    </row>
    <row r="513" spans="2:21" x14ac:dyDescent="0.2">
      <c r="B513" s="17">
        <f t="shared" ca="1" si="139"/>
        <v>60967</v>
      </c>
      <c r="C513" s="9">
        <f t="shared" si="149"/>
        <v>509</v>
      </c>
      <c r="D513" s="9"/>
      <c r="E513" s="13">
        <f t="shared" si="140"/>
        <v>7920.9894627373451</v>
      </c>
      <c r="F513" s="14">
        <f t="shared" si="150"/>
        <v>1740688.5847221136</v>
      </c>
      <c r="G513" s="15">
        <f t="shared" si="141"/>
        <v>0.21094285040016056</v>
      </c>
      <c r="H513" s="13">
        <f t="shared" si="152"/>
        <v>300873.81405083009</v>
      </c>
      <c r="I513" s="13">
        <f t="shared" si="142"/>
        <v>28783360.447449423</v>
      </c>
      <c r="J513" s="15">
        <f t="shared" si="137"/>
        <v>0.78905714959983941</v>
      </c>
      <c r="K513" s="13">
        <f t="shared" si="143"/>
        <v>6511255.3964083726</v>
      </c>
      <c r="L513" s="13">
        <f t="shared" si="151"/>
        <v>733930384.71583498</v>
      </c>
      <c r="M513" s="15">
        <f t="shared" si="144"/>
        <v>0.78905714959983941</v>
      </c>
      <c r="N513" s="13">
        <f t="shared" si="153"/>
        <v>112170.06232281934</v>
      </c>
      <c r="O513" s="13">
        <f t="shared" si="145"/>
        <v>22272105.051041052</v>
      </c>
      <c r="P513" s="15">
        <f t="shared" si="138"/>
        <v>0.72965762266882894</v>
      </c>
      <c r="Q513" s="7">
        <f t="shared" si="146"/>
        <v>30524049.032171536</v>
      </c>
      <c r="R513" s="7">
        <f t="shared" si="154"/>
        <v>8251943.9811304864</v>
      </c>
      <c r="S513" s="13">
        <f>IF('Calc (3)'!$AD$32="Sim",R513,Q513)</f>
        <v>8251943.9811304864</v>
      </c>
      <c r="T513" s="9">
        <f t="shared" si="147"/>
        <v>509</v>
      </c>
      <c r="U513" s="17">
        <f t="shared" ca="1" si="148"/>
        <v>60998</v>
      </c>
    </row>
    <row r="514" spans="2:21" x14ac:dyDescent="0.2">
      <c r="B514" s="17">
        <f t="shared" ca="1" si="139"/>
        <v>60998</v>
      </c>
      <c r="C514" s="9">
        <f t="shared" si="149"/>
        <v>510</v>
      </c>
      <c r="D514" s="9"/>
      <c r="E514" s="13">
        <f t="shared" si="140"/>
        <v>7953.2605542975116</v>
      </c>
      <c r="F514" s="14">
        <f t="shared" si="150"/>
        <v>1748641.8452764112</v>
      </c>
      <c r="G514" s="15">
        <f t="shared" si="141"/>
        <v>0.21038562906790703</v>
      </c>
      <c r="H514" s="13">
        <f t="shared" si="152"/>
        <v>303948.69369900739</v>
      </c>
      <c r="I514" s="13">
        <f t="shared" si="142"/>
        <v>29087309.141148429</v>
      </c>
      <c r="J514" s="15">
        <f t="shared" si="137"/>
        <v>0.78961437093209297</v>
      </c>
      <c r="K514" s="13">
        <f t="shared" si="143"/>
        <v>6562961.2476895768</v>
      </c>
      <c r="L514" s="13">
        <f t="shared" si="151"/>
        <v>740493345.96352458</v>
      </c>
      <c r="M514" s="15">
        <f t="shared" si="144"/>
        <v>0.78961437093209297</v>
      </c>
      <c r="N514" s="13">
        <f t="shared" si="153"/>
        <v>113316.24255632401</v>
      </c>
      <c r="O514" s="13">
        <f t="shared" si="145"/>
        <v>22524347.893458854</v>
      </c>
      <c r="P514" s="15">
        <f t="shared" si="138"/>
        <v>0.73045737760365914</v>
      </c>
      <c r="Q514" s="7">
        <f t="shared" si="146"/>
        <v>30835950.986424841</v>
      </c>
      <c r="R514" s="7">
        <f t="shared" si="154"/>
        <v>8311603.0929659875</v>
      </c>
      <c r="S514" s="13">
        <f>IF('Calc (3)'!$AD$32="Sim",R514,Q514)</f>
        <v>8311603.0929659875</v>
      </c>
      <c r="T514" s="9">
        <f t="shared" si="147"/>
        <v>510</v>
      </c>
      <c r="U514" s="17">
        <f t="shared" ca="1" si="148"/>
        <v>61029</v>
      </c>
    </row>
    <row r="515" spans="2:21" x14ac:dyDescent="0.2">
      <c r="B515" s="17">
        <f t="shared" ca="1" si="139"/>
        <v>61029</v>
      </c>
      <c r="C515" s="9">
        <f t="shared" si="149"/>
        <v>511</v>
      </c>
      <c r="D515" s="9"/>
      <c r="E515" s="13">
        <f t="shared" si="140"/>
        <v>7985.6631222793276</v>
      </c>
      <c r="F515" s="14">
        <f t="shared" si="150"/>
        <v>1756627.5083986905</v>
      </c>
      <c r="G515" s="15">
        <f t="shared" si="141"/>
        <v>0.20983004248490184</v>
      </c>
      <c r="H515" s="13">
        <f t="shared" si="152"/>
        <v>307054.51335804217</v>
      </c>
      <c r="I515" s="13">
        <f t="shared" si="142"/>
        <v>29394363.654506471</v>
      </c>
      <c r="J515" s="15">
        <f t="shared" si="137"/>
        <v>0.79016995751509822</v>
      </c>
      <c r="K515" s="13">
        <f t="shared" si="143"/>
        <v>6615040.7598622162</v>
      </c>
      <c r="L515" s="13">
        <f t="shared" si="151"/>
        <v>747108386.72338676</v>
      </c>
      <c r="M515" s="15">
        <f t="shared" si="144"/>
        <v>0.79016995751509822</v>
      </c>
      <c r="N515" s="13">
        <f t="shared" si="153"/>
        <v>114473.95515836916</v>
      </c>
      <c r="O515" s="13">
        <f t="shared" si="145"/>
        <v>22779322.894644253</v>
      </c>
      <c r="P515" s="15">
        <f t="shared" si="138"/>
        <v>0.73125515575151412</v>
      </c>
      <c r="Q515" s="7">
        <f t="shared" si="146"/>
        <v>31150991.16290516</v>
      </c>
      <c r="R515" s="7">
        <f t="shared" si="154"/>
        <v>8371668.2682609065</v>
      </c>
      <c r="S515" s="13">
        <f>IF('Calc (3)'!$AD$32="Sim",R515,Q515)</f>
        <v>8371668.2682609065</v>
      </c>
      <c r="T515" s="9">
        <f t="shared" si="147"/>
        <v>511</v>
      </c>
      <c r="U515" s="17">
        <f t="shared" ca="1" si="148"/>
        <v>61057</v>
      </c>
    </row>
    <row r="516" spans="2:21" x14ac:dyDescent="0.2">
      <c r="B516" s="17">
        <f t="shared" ca="1" si="139"/>
        <v>61057</v>
      </c>
      <c r="C516" s="9">
        <f t="shared" si="149"/>
        <v>512</v>
      </c>
      <c r="D516" s="9"/>
      <c r="E516" s="13">
        <f t="shared" si="140"/>
        <v>8018.1977023340096</v>
      </c>
      <c r="F516" s="14">
        <f t="shared" si="150"/>
        <v>1764645.7061010245</v>
      </c>
      <c r="G516" s="15">
        <f t="shared" si="141"/>
        <v>0.20927608525374855</v>
      </c>
      <c r="H516" s="13">
        <f t="shared" si="152"/>
        <v>310191.58242784266</v>
      </c>
      <c r="I516" s="13">
        <f t="shared" si="142"/>
        <v>29704555.236934315</v>
      </c>
      <c r="J516" s="15">
        <f t="shared" si="137"/>
        <v>0.79072391474625148</v>
      </c>
      <c r="K516" s="13">
        <f t="shared" si="143"/>
        <v>6667496.4756555799</v>
      </c>
      <c r="L516" s="13">
        <f t="shared" si="151"/>
        <v>753775883.19904232</v>
      </c>
      <c r="M516" s="15">
        <f t="shared" si="144"/>
        <v>0.79072391474625148</v>
      </c>
      <c r="N516" s="13">
        <f t="shared" si="153"/>
        <v>115643.3154497025</v>
      </c>
      <c r="O516" s="13">
        <f t="shared" si="145"/>
        <v>23037058.761278734</v>
      </c>
      <c r="P516" s="15">
        <f t="shared" si="138"/>
        <v>0.73205096001578718</v>
      </c>
      <c r="Q516" s="7">
        <f t="shared" si="146"/>
        <v>31469200.943035338</v>
      </c>
      <c r="R516" s="7">
        <f t="shared" si="154"/>
        <v>8432142.1817566045</v>
      </c>
      <c r="S516" s="13">
        <f>IF('Calc (3)'!$AD$32="Sim",R516,Q516)</f>
        <v>8432142.1817566045</v>
      </c>
      <c r="T516" s="9">
        <f t="shared" si="147"/>
        <v>512</v>
      </c>
      <c r="U516" s="17">
        <f t="shared" ca="1" si="148"/>
        <v>61088</v>
      </c>
    </row>
    <row r="517" spans="2:21" x14ac:dyDescent="0.2">
      <c r="B517" s="17">
        <f t="shared" ca="1" si="139"/>
        <v>61088</v>
      </c>
      <c r="C517" s="9">
        <f t="shared" si="149"/>
        <v>513</v>
      </c>
      <c r="D517" s="9"/>
      <c r="E517" s="13">
        <f t="shared" si="140"/>
        <v>8050.864832295083</v>
      </c>
      <c r="F517" s="14">
        <f t="shared" si="150"/>
        <v>1772696.5709333196</v>
      </c>
      <c r="G517" s="15">
        <f t="shared" si="141"/>
        <v>0.20872375199717794</v>
      </c>
      <c r="H517" s="13">
        <f t="shared" si="152"/>
        <v>313360.21339455602</v>
      </c>
      <c r="I517" s="13">
        <f t="shared" si="142"/>
        <v>30017915.450328872</v>
      </c>
      <c r="J517" s="15">
        <f t="shared" ref="J517:J580" si="155">1-G517</f>
        <v>0.79127624800282204</v>
      </c>
      <c r="K517" s="13">
        <f t="shared" si="143"/>
        <v>6720330.9545458481</v>
      </c>
      <c r="L517" s="13">
        <f t="shared" si="151"/>
        <v>760496214.15358818</v>
      </c>
      <c r="M517" s="15">
        <f t="shared" si="144"/>
        <v>0.79127624800282204</v>
      </c>
      <c r="N517" s="13">
        <f t="shared" si="153"/>
        <v>116824.43990137507</v>
      </c>
      <c r="O517" s="13">
        <f t="shared" si="145"/>
        <v>23297584.49578302</v>
      </c>
      <c r="P517" s="15">
        <f t="shared" ref="P517:P580" si="156">O517/Q517</f>
        <v>0.73284479330568209</v>
      </c>
      <c r="Q517" s="7">
        <f t="shared" si="146"/>
        <v>31790612.021262188</v>
      </c>
      <c r="R517" s="7">
        <f t="shared" si="154"/>
        <v>8493027.5254791677</v>
      </c>
      <c r="S517" s="13">
        <f>IF('Calc (3)'!$AD$32="Sim",R517,Q517)</f>
        <v>8493027.5254791677</v>
      </c>
      <c r="T517" s="9">
        <f t="shared" si="147"/>
        <v>513</v>
      </c>
      <c r="U517" s="17">
        <f t="shared" ca="1" si="148"/>
        <v>61118</v>
      </c>
    </row>
    <row r="518" spans="2:21" x14ac:dyDescent="0.2">
      <c r="B518" s="17">
        <f t="shared" ref="B518:B581" ca="1" si="157">DATE(YEAR(B517),MONTH(B517)+1,1)</f>
        <v>61118</v>
      </c>
      <c r="C518" s="9">
        <f t="shared" si="149"/>
        <v>514</v>
      </c>
      <c r="D518" s="9"/>
      <c r="E518" s="13">
        <f t="shared" ref="E518:E581" si="158">IF($AE$33,IF($AE$34,$E517*(1+Inflação_3)*(1+Crescimento_Salário_3),$E517*(1+Inflação_3)),IF($AE$34,$E517*(1+Crescimento_Salário_3),$E517))</f>
        <v>8083.6650521872743</v>
      </c>
      <c r="F518" s="14">
        <f t="shared" si="150"/>
        <v>1780780.2359855068</v>
      </c>
      <c r="G518" s="15">
        <f t="shared" ref="G518:G581" si="159">IF(F518&lt;=0,0,F518/S518)</f>
        <v>0.20817303735796114</v>
      </c>
      <c r="H518" s="13">
        <f t="shared" si="152"/>
        <v>316560.72186132183</v>
      </c>
      <c r="I518" s="13">
        <f t="shared" ref="I518:I581" si="160">I517+H518</f>
        <v>30334476.172190193</v>
      </c>
      <c r="J518" s="15">
        <f t="shared" si="155"/>
        <v>0.79182696264203889</v>
      </c>
      <c r="K518" s="13">
        <f t="shared" ref="K518:K581" si="161">R518-F518</f>
        <v>6773546.7728643008</v>
      </c>
      <c r="L518" s="13">
        <f t="shared" si="151"/>
        <v>767269760.92645252</v>
      </c>
      <c r="M518" s="15">
        <f t="shared" ref="M518:M581" si="162">K518/R518</f>
        <v>0.79182696264203889</v>
      </c>
      <c r="N518" s="13">
        <f t="shared" si="153"/>
        <v>118017.44614620387</v>
      </c>
      <c r="O518" s="13">
        <f t="shared" ref="O518:O581" si="163">Q518-R518</f>
        <v>23560929.399325889</v>
      </c>
      <c r="P518" s="15">
        <f t="shared" si="156"/>
        <v>0.73363665853615601</v>
      </c>
      <c r="Q518" s="7">
        <f t="shared" ref="Q518:Q581" si="164">Q517+E518+H518</f>
        <v>32115256.408175696</v>
      </c>
      <c r="R518" s="7">
        <f t="shared" si="154"/>
        <v>8554327.0088498071</v>
      </c>
      <c r="S518" s="13">
        <f>IF('Calc (3)'!$AD$32="Sim",R518,Q518)</f>
        <v>8554327.0088498071</v>
      </c>
      <c r="T518" s="9">
        <f t="shared" ref="T518:T581" si="165">C518</f>
        <v>514</v>
      </c>
      <c r="U518" s="17">
        <f t="shared" ref="U518:U581" ca="1" si="166">DATE(YEAR(U517),MONTH(U517)+1,1)</f>
        <v>61149</v>
      </c>
    </row>
    <row r="519" spans="2:21" x14ac:dyDescent="0.2">
      <c r="B519" s="17">
        <f t="shared" ca="1" si="157"/>
        <v>61149</v>
      </c>
      <c r="C519" s="9">
        <f t="shared" ref="C519:C582" si="167">C518+1</f>
        <v>515</v>
      </c>
      <c r="D519" s="9"/>
      <c r="E519" s="13">
        <f t="shared" si="158"/>
        <v>8116.5989042354377</v>
      </c>
      <c r="F519" s="14">
        <f t="shared" ref="F519:F582" si="168">F518+E519</f>
        <v>1788896.8348897423</v>
      </c>
      <c r="G519" s="15">
        <f t="shared" si="159"/>
        <v>0.20762393599882342</v>
      </c>
      <c r="H519" s="13">
        <f t="shared" si="152"/>
        <v>319793.42657933204</v>
      </c>
      <c r="I519" s="13">
        <f t="shared" si="160"/>
        <v>30654269.598769527</v>
      </c>
      <c r="J519" s="15">
        <f t="shared" si="155"/>
        <v>0.79237606400117655</v>
      </c>
      <c r="K519" s="13">
        <f t="shared" si="161"/>
        <v>6827146.5239062281</v>
      </c>
      <c r="L519" s="13">
        <f t="shared" ref="L519:L582" si="169">L518+K519</f>
        <v>774096907.45035875</v>
      </c>
      <c r="M519" s="15">
        <f t="shared" si="162"/>
        <v>0.79237606400117655</v>
      </c>
      <c r="N519" s="13">
        <f t="shared" si="153"/>
        <v>119222.45299034839</v>
      </c>
      <c r="O519" s="13">
        <f t="shared" si="163"/>
        <v>23827123.074863296</v>
      </c>
      <c r="P519" s="15">
        <f t="shared" si="156"/>
        <v>0.73442655862786055</v>
      </c>
      <c r="Q519" s="7">
        <f t="shared" si="164"/>
        <v>32443166.433659267</v>
      </c>
      <c r="R519" s="7">
        <f t="shared" si="154"/>
        <v>8616043.3587959707</v>
      </c>
      <c r="S519" s="13">
        <f>IF('Calc (3)'!$AD$32="Sim",R519,Q519)</f>
        <v>8616043.3587959707</v>
      </c>
      <c r="T519" s="9">
        <f t="shared" si="165"/>
        <v>515</v>
      </c>
      <c r="U519" s="17">
        <f t="shared" ca="1" si="166"/>
        <v>61179</v>
      </c>
    </row>
    <row r="520" spans="2:21" x14ac:dyDescent="0.2">
      <c r="B520" s="17">
        <f t="shared" ca="1" si="157"/>
        <v>61179</v>
      </c>
      <c r="C520" s="9">
        <f t="shared" si="167"/>
        <v>516</v>
      </c>
      <c r="D520" s="9">
        <v>43</v>
      </c>
      <c r="E520" s="13">
        <f t="shared" si="158"/>
        <v>8149.666932873517</v>
      </c>
      <c r="F520" s="14">
        <f t="shared" si="168"/>
        <v>1797046.5018226157</v>
      </c>
      <c r="G520" s="15">
        <f t="shared" si="159"/>
        <v>0.2070764426023585</v>
      </c>
      <c r="H520" s="13">
        <f t="shared" si="152"/>
        <v>323058.64947920002</v>
      </c>
      <c r="I520" s="13">
        <f t="shared" si="160"/>
        <v>30977328.248248726</v>
      </c>
      <c r="J520" s="15">
        <f t="shared" si="155"/>
        <v>0.79292355739764153</v>
      </c>
      <c r="K520" s="13">
        <f t="shared" si="161"/>
        <v>6881132.8180405321</v>
      </c>
      <c r="L520" s="13">
        <f t="shared" si="169"/>
        <v>780978040.26839924</v>
      </c>
      <c r="M520" s="15">
        <f t="shared" si="162"/>
        <v>0.79292355739764142</v>
      </c>
      <c r="N520" s="13">
        <f t="shared" si="153"/>
        <v>120439.58042500234</v>
      </c>
      <c r="O520" s="13">
        <f t="shared" si="163"/>
        <v>24096195.430208191</v>
      </c>
      <c r="P520" s="15">
        <f t="shared" si="156"/>
        <v>0.73521449650708415</v>
      </c>
      <c r="Q520" s="7">
        <f t="shared" si="164"/>
        <v>32774374.750071339</v>
      </c>
      <c r="R520" s="7">
        <f t="shared" si="154"/>
        <v>8678179.319863148</v>
      </c>
      <c r="S520" s="13">
        <f>IF('Calc (3)'!$AD$32="Sim",R520,Q520)</f>
        <v>8678179.319863148</v>
      </c>
      <c r="T520" s="9">
        <f t="shared" si="165"/>
        <v>516</v>
      </c>
      <c r="U520" s="17">
        <f t="shared" ca="1" si="166"/>
        <v>61210</v>
      </c>
    </row>
    <row r="521" spans="2:21" x14ac:dyDescent="0.2">
      <c r="B521" s="17">
        <f t="shared" ca="1" si="157"/>
        <v>61210</v>
      </c>
      <c r="C521" s="9">
        <f t="shared" si="167"/>
        <v>517</v>
      </c>
      <c r="D521" s="9"/>
      <c r="E521" s="13">
        <f t="shared" si="158"/>
        <v>8182.8696847535493</v>
      </c>
      <c r="F521" s="14">
        <f t="shared" si="168"/>
        <v>1805229.3715073692</v>
      </c>
      <c r="G521" s="15">
        <f t="shared" si="159"/>
        <v>0.20653055187094316</v>
      </c>
      <c r="H521" s="13">
        <f t="shared" si="152"/>
        <v>326356.71570264216</v>
      </c>
      <c r="I521" s="13">
        <f t="shared" si="160"/>
        <v>31303684.963951368</v>
      </c>
      <c r="J521" s="15">
        <f t="shared" si="155"/>
        <v>0.79346944812905684</v>
      </c>
      <c r="K521" s="13">
        <f t="shared" si="161"/>
        <v>6935508.2828200217</v>
      </c>
      <c r="L521" s="13">
        <f t="shared" si="169"/>
        <v>787913548.55121922</v>
      </c>
      <c r="M521" s="15">
        <f t="shared" si="162"/>
        <v>0.79346944812905684</v>
      </c>
      <c r="N521" s="13">
        <f t="shared" si="153"/>
        <v>121668.94963820219</v>
      </c>
      <c r="O521" s="13">
        <f t="shared" si="163"/>
        <v>24368176.681131341</v>
      </c>
      <c r="P521" s="15">
        <f t="shared" si="156"/>
        <v>0.73600047510569366</v>
      </c>
      <c r="Q521" s="7">
        <f t="shared" si="164"/>
        <v>33108914.335458733</v>
      </c>
      <c r="R521" s="7">
        <f t="shared" si="154"/>
        <v>8740737.6543273907</v>
      </c>
      <c r="S521" s="13">
        <f>IF('Calc (3)'!$AD$32="Sim",R521,Q521)</f>
        <v>8740737.6543273907</v>
      </c>
      <c r="T521" s="9">
        <f t="shared" si="165"/>
        <v>517</v>
      </c>
      <c r="U521" s="17">
        <f t="shared" ca="1" si="166"/>
        <v>61241</v>
      </c>
    </row>
    <row r="522" spans="2:21" x14ac:dyDescent="0.2">
      <c r="B522" s="17">
        <f t="shared" ca="1" si="157"/>
        <v>61241</v>
      </c>
      <c r="C522" s="9">
        <f t="shared" si="167"/>
        <v>518</v>
      </c>
      <c r="D522" s="9"/>
      <c r="E522" s="13">
        <f t="shared" si="158"/>
        <v>8216.2077087546986</v>
      </c>
      <c r="F522" s="14">
        <f t="shared" si="168"/>
        <v>1813445.579216124</v>
      </c>
      <c r="G522" s="15">
        <f t="shared" si="159"/>
        <v>0.2059862585266525</v>
      </c>
      <c r="H522" s="13">
        <f t="shared" si="152"/>
        <v>329687.95363447536</v>
      </c>
      <c r="I522" s="13">
        <f t="shared" si="160"/>
        <v>31633372.917585842</v>
      </c>
      <c r="J522" s="15">
        <f t="shared" si="155"/>
        <v>0.79401374147334747</v>
      </c>
      <c r="K522" s="13">
        <f t="shared" si="161"/>
        <v>6990275.563092418</v>
      </c>
      <c r="L522" s="13">
        <f t="shared" si="169"/>
        <v>794903824.1143117</v>
      </c>
      <c r="M522" s="15">
        <f t="shared" si="162"/>
        <v>0.79401374147334747</v>
      </c>
      <c r="N522" s="13">
        <f t="shared" si="153"/>
        <v>122910.683026753</v>
      </c>
      <c r="O522" s="13">
        <f t="shared" si="163"/>
        <v>24643097.354493417</v>
      </c>
      <c r="P522" s="15">
        <f t="shared" si="156"/>
        <v>0.73678449736107732</v>
      </c>
      <c r="Q522" s="7">
        <f t="shared" si="164"/>
        <v>33446818.496801961</v>
      </c>
      <c r="R522" s="7">
        <f t="shared" si="154"/>
        <v>8803721.1423085425</v>
      </c>
      <c r="S522" s="13">
        <f>IF('Calc (3)'!$AD$32="Sim",R522,Q522)</f>
        <v>8803721.1423085425</v>
      </c>
      <c r="T522" s="9">
        <f t="shared" si="165"/>
        <v>518</v>
      </c>
      <c r="U522" s="17">
        <f t="shared" ca="1" si="166"/>
        <v>61271</v>
      </c>
    </row>
    <row r="523" spans="2:21" x14ac:dyDescent="0.2">
      <c r="B523" s="17">
        <f t="shared" ca="1" si="157"/>
        <v>61271</v>
      </c>
      <c r="C523" s="9">
        <f t="shared" si="167"/>
        <v>519</v>
      </c>
      <c r="D523" s="9"/>
      <c r="E523" s="13">
        <f t="shared" si="158"/>
        <v>8249.6815559923307</v>
      </c>
      <c r="F523" s="14">
        <f t="shared" si="168"/>
        <v>1821695.2607721162</v>
      </c>
      <c r="G523" s="15">
        <f t="shared" si="159"/>
        <v>0.2054435573111755</v>
      </c>
      <c r="H523" s="13">
        <f t="shared" si="152"/>
        <v>333052.69493493269</v>
      </c>
      <c r="I523" s="13">
        <f t="shared" si="160"/>
        <v>31966425.612520777</v>
      </c>
      <c r="J523" s="15">
        <f t="shared" si="155"/>
        <v>0.79455644268882453</v>
      </c>
      <c r="K523" s="13">
        <f t="shared" si="161"/>
        <v>7045437.321112074</v>
      </c>
      <c r="L523" s="13">
        <f t="shared" si="169"/>
        <v>801949261.43542373</v>
      </c>
      <c r="M523" s="15">
        <f t="shared" si="162"/>
        <v>0.79455644268882453</v>
      </c>
      <c r="N523" s="13">
        <f t="shared" si="153"/>
        <v>124164.90420827329</v>
      </c>
      <c r="O523" s="13">
        <f t="shared" si="163"/>
        <v>24920988.291408695</v>
      </c>
      <c r="P523" s="15">
        <f t="shared" si="156"/>
        <v>0.73756656621608596</v>
      </c>
      <c r="Q523" s="7">
        <f t="shared" si="164"/>
        <v>33788120.873292886</v>
      </c>
      <c r="R523" s="7">
        <f t="shared" si="154"/>
        <v>8867132.5818841904</v>
      </c>
      <c r="S523" s="13">
        <f>IF('Calc (3)'!$AD$32="Sim",R523,Q523)</f>
        <v>8867132.5818841904</v>
      </c>
      <c r="T523" s="9">
        <f t="shared" si="165"/>
        <v>519</v>
      </c>
      <c r="U523" s="17">
        <f t="shared" ca="1" si="166"/>
        <v>61302</v>
      </c>
    </row>
    <row r="524" spans="2:21" x14ac:dyDescent="0.2">
      <c r="B524" s="17">
        <f t="shared" ca="1" si="157"/>
        <v>61302</v>
      </c>
      <c r="C524" s="9">
        <f t="shared" si="167"/>
        <v>520</v>
      </c>
      <c r="D524" s="9"/>
      <c r="E524" s="13">
        <f t="shared" si="158"/>
        <v>8283.2917798271246</v>
      </c>
      <c r="F524" s="14">
        <f t="shared" si="168"/>
        <v>1829978.5525519433</v>
      </c>
      <c r="G524" s="15">
        <f t="shared" si="159"/>
        <v>0.20490244298573101</v>
      </c>
      <c r="H524" s="13">
        <f t="shared" si="152"/>
        <v>336451.27457230148</v>
      </c>
      <c r="I524" s="13">
        <f t="shared" si="160"/>
        <v>32302876.887093078</v>
      </c>
      <c r="J524" s="15">
        <f t="shared" si="155"/>
        <v>0.79509755701426899</v>
      </c>
      <c r="K524" s="13">
        <f t="shared" si="161"/>
        <v>7100996.2366523966</v>
      </c>
      <c r="L524" s="13">
        <f t="shared" si="169"/>
        <v>809050257.67207611</v>
      </c>
      <c r="M524" s="15">
        <f t="shared" si="162"/>
        <v>0.79509755701426899</v>
      </c>
      <c r="N524" s="13">
        <f t="shared" si="153"/>
        <v>125431.73803335959</v>
      </c>
      <c r="O524" s="13">
        <f t="shared" si="163"/>
        <v>25201880.650440667</v>
      </c>
      <c r="P524" s="15">
        <f t="shared" si="156"/>
        <v>0.7383466846189759</v>
      </c>
      <c r="Q524" s="7">
        <f t="shared" si="164"/>
        <v>34132855.439645007</v>
      </c>
      <c r="R524" s="7">
        <f t="shared" si="154"/>
        <v>8930974.7892043404</v>
      </c>
      <c r="S524" s="13">
        <f>IF('Calc (3)'!$AD$32="Sim",R524,Q524)</f>
        <v>8930974.7892043404</v>
      </c>
      <c r="T524" s="9">
        <f t="shared" si="165"/>
        <v>520</v>
      </c>
      <c r="U524" s="17">
        <f t="shared" ca="1" si="166"/>
        <v>61332</v>
      </c>
    </row>
    <row r="525" spans="2:21" x14ac:dyDescent="0.2">
      <c r="B525" s="17">
        <f t="shared" ca="1" si="157"/>
        <v>61332</v>
      </c>
      <c r="C525" s="9">
        <f t="shared" si="167"/>
        <v>521</v>
      </c>
      <c r="D525" s="9"/>
      <c r="E525" s="13">
        <f t="shared" si="158"/>
        <v>8317.0389358742177</v>
      </c>
      <c r="F525" s="14">
        <f t="shared" si="168"/>
        <v>1838295.5914878175</v>
      </c>
      <c r="G525" s="15">
        <f t="shared" si="159"/>
        <v>0.20436291033098447</v>
      </c>
      <c r="H525" s="13">
        <f t="shared" si="152"/>
        <v>339884.03085588571</v>
      </c>
      <c r="I525" s="13">
        <f t="shared" si="160"/>
        <v>32642760.917948965</v>
      </c>
      <c r="J525" s="15">
        <f t="shared" si="155"/>
        <v>0.79563708966901547</v>
      </c>
      <c r="K525" s="13">
        <f t="shared" si="161"/>
        <v>7156955.0071189906</v>
      </c>
      <c r="L525" s="13">
        <f t="shared" si="169"/>
        <v>816207212.67919505</v>
      </c>
      <c r="M525" s="15">
        <f t="shared" si="162"/>
        <v>0.79563708966901558</v>
      </c>
      <c r="N525" s="13">
        <f t="shared" si="153"/>
        <v>126711.31059787254</v>
      </c>
      <c r="O525" s="13">
        <f t="shared" si="163"/>
        <v>25485805.910829961</v>
      </c>
      <c r="P525" s="15">
        <f t="shared" si="156"/>
        <v>0.73912485552335117</v>
      </c>
      <c r="Q525" s="7">
        <f t="shared" si="164"/>
        <v>34481056.509436771</v>
      </c>
      <c r="R525" s="7">
        <f t="shared" si="154"/>
        <v>8995250.5986068081</v>
      </c>
      <c r="S525" s="13">
        <f>IF('Calc (3)'!$AD$32="Sim",R525,Q525)</f>
        <v>8995250.5986068081</v>
      </c>
      <c r="T525" s="9">
        <f t="shared" si="165"/>
        <v>521</v>
      </c>
      <c r="U525" s="17">
        <f t="shared" ca="1" si="166"/>
        <v>61363</v>
      </c>
    </row>
    <row r="526" spans="2:21" x14ac:dyDescent="0.2">
      <c r="B526" s="17">
        <f t="shared" ca="1" si="157"/>
        <v>61363</v>
      </c>
      <c r="C526" s="9">
        <f t="shared" si="167"/>
        <v>522</v>
      </c>
      <c r="D526" s="9"/>
      <c r="E526" s="13">
        <f t="shared" si="158"/>
        <v>8350.9235820123922</v>
      </c>
      <c r="F526" s="14">
        <f t="shared" si="168"/>
        <v>1846646.5150698298</v>
      </c>
      <c r="G526" s="15">
        <f t="shared" si="159"/>
        <v>0.20382495414696464</v>
      </c>
      <c r="H526" s="13">
        <f t="shared" si="152"/>
        <v>343351.30546929815</v>
      </c>
      <c r="I526" s="13">
        <f t="shared" si="160"/>
        <v>32986112.223418262</v>
      </c>
      <c r="J526" s="15">
        <f t="shared" si="155"/>
        <v>0.79617504585303533</v>
      </c>
      <c r="K526" s="13">
        <f t="shared" si="161"/>
        <v>7213316.3476635311</v>
      </c>
      <c r="L526" s="13">
        <f t="shared" si="169"/>
        <v>823420529.02685857</v>
      </c>
      <c r="M526" s="15">
        <f t="shared" si="162"/>
        <v>0.79617504585303545</v>
      </c>
      <c r="N526" s="13">
        <f t="shared" si="153"/>
        <v>128003.74925534487</v>
      </c>
      <c r="O526" s="13">
        <f t="shared" si="163"/>
        <v>25772795.875754718</v>
      </c>
      <c r="P526" s="15">
        <f t="shared" si="156"/>
        <v>0.73990108188810633</v>
      </c>
      <c r="Q526" s="7">
        <f t="shared" si="164"/>
        <v>34832758.738488078</v>
      </c>
      <c r="R526" s="7">
        <f t="shared" si="154"/>
        <v>9059962.8627333604</v>
      </c>
      <c r="S526" s="13">
        <f>IF('Calc (3)'!$AD$32="Sim",R526,Q526)</f>
        <v>9059962.8627333604</v>
      </c>
      <c r="T526" s="9">
        <f t="shared" si="165"/>
        <v>522</v>
      </c>
      <c r="U526" s="17">
        <f t="shared" ca="1" si="166"/>
        <v>61394</v>
      </c>
    </row>
    <row r="527" spans="2:21" x14ac:dyDescent="0.2">
      <c r="B527" s="17">
        <f t="shared" ca="1" si="157"/>
        <v>61394</v>
      </c>
      <c r="C527" s="9">
        <f t="shared" si="167"/>
        <v>523</v>
      </c>
      <c r="D527" s="9"/>
      <c r="E527" s="13">
        <f t="shared" si="158"/>
        <v>8384.9462783932995</v>
      </c>
      <c r="F527" s="14">
        <f t="shared" si="168"/>
        <v>1855031.461348223</v>
      </c>
      <c r="G527" s="15">
        <f t="shared" si="159"/>
        <v>0.20328856925298117</v>
      </c>
      <c r="H527" s="13">
        <f t="shared" si="152"/>
        <v>346853.44350408192</v>
      </c>
      <c r="I527" s="13">
        <f t="shared" si="160"/>
        <v>33332965.666922342</v>
      </c>
      <c r="J527" s="15">
        <f t="shared" si="155"/>
        <v>0.79671143074701889</v>
      </c>
      <c r="K527" s="13">
        <f t="shared" si="161"/>
        <v>7270082.9912983552</v>
      </c>
      <c r="L527" s="13">
        <f t="shared" si="169"/>
        <v>830690612.01815689</v>
      </c>
      <c r="M527" s="15">
        <f t="shared" si="162"/>
        <v>0.79671143074701889</v>
      </c>
      <c r="N527" s="13">
        <f t="shared" si="153"/>
        <v>129309.18262951355</v>
      </c>
      <c r="O527" s="13">
        <f t="shared" si="163"/>
        <v>26062882.675623976</v>
      </c>
      <c r="P527" s="15">
        <f t="shared" si="156"/>
        <v>0.74067536667736833</v>
      </c>
      <c r="Q527" s="7">
        <f t="shared" si="164"/>
        <v>35187997.128270552</v>
      </c>
      <c r="R527" s="7">
        <f t="shared" si="154"/>
        <v>9125114.4526465777</v>
      </c>
      <c r="S527" s="13">
        <f>IF('Calc (3)'!$AD$32="Sim",R527,Q527)</f>
        <v>9125114.4526465777</v>
      </c>
      <c r="T527" s="9">
        <f t="shared" si="165"/>
        <v>523</v>
      </c>
      <c r="U527" s="17">
        <f t="shared" ca="1" si="166"/>
        <v>61423</v>
      </c>
    </row>
    <row r="528" spans="2:21" x14ac:dyDescent="0.2">
      <c r="B528" s="17">
        <f t="shared" ca="1" si="157"/>
        <v>61423</v>
      </c>
      <c r="C528" s="9">
        <f t="shared" si="167"/>
        <v>524</v>
      </c>
      <c r="D528" s="9"/>
      <c r="E528" s="13">
        <f t="shared" si="158"/>
        <v>8419.1075874507151</v>
      </c>
      <c r="F528" s="14">
        <f t="shared" si="168"/>
        <v>1863450.5689356737</v>
      </c>
      <c r="G528" s="15">
        <f t="shared" si="159"/>
        <v>0.20275375048754224</v>
      </c>
      <c r="H528" s="13">
        <f t="shared" si="152"/>
        <v>350390.79349366948</v>
      </c>
      <c r="I528" s="13">
        <f t="shared" si="160"/>
        <v>33683356.460416012</v>
      </c>
      <c r="J528" s="15">
        <f t="shared" si="155"/>
        <v>0.79724624951245771</v>
      </c>
      <c r="K528" s="13">
        <f t="shared" si="161"/>
        <v>7327257.689011788</v>
      </c>
      <c r="L528" s="13">
        <f t="shared" si="169"/>
        <v>838017869.7071687</v>
      </c>
      <c r="M528" s="15">
        <f t="shared" si="162"/>
        <v>0.79724624951245771</v>
      </c>
      <c r="N528" s="13">
        <f t="shared" si="153"/>
        <v>130627.74062697626</v>
      </c>
      <c r="O528" s="13">
        <f t="shared" si="163"/>
        <v>26356098.771404207</v>
      </c>
      <c r="P528" s="15">
        <f t="shared" si="156"/>
        <v>0.74144771286044009</v>
      </c>
      <c r="Q528" s="7">
        <f t="shared" si="164"/>
        <v>35546807.029351667</v>
      </c>
      <c r="R528" s="7">
        <f t="shared" si="154"/>
        <v>9190708.2579474617</v>
      </c>
      <c r="S528" s="13">
        <f>IF('Calc (3)'!$AD$32="Sim",R528,Q528)</f>
        <v>9190708.2579474617</v>
      </c>
      <c r="T528" s="9">
        <f t="shared" si="165"/>
        <v>524</v>
      </c>
      <c r="U528" s="17">
        <f t="shared" ca="1" si="166"/>
        <v>61454</v>
      </c>
    </row>
    <row r="529" spans="2:21" x14ac:dyDescent="0.2">
      <c r="B529" s="17">
        <f t="shared" ca="1" si="157"/>
        <v>61454</v>
      </c>
      <c r="C529" s="9">
        <f t="shared" si="167"/>
        <v>525</v>
      </c>
      <c r="D529" s="9"/>
      <c r="E529" s="13">
        <f t="shared" si="158"/>
        <v>8453.4080739098426</v>
      </c>
      <c r="F529" s="14">
        <f t="shared" si="168"/>
        <v>1871903.9770095835</v>
      </c>
      <c r="G529" s="15">
        <f t="shared" si="159"/>
        <v>0.20222049270827319</v>
      </c>
      <c r="H529" s="13">
        <f t="shared" si="152"/>
        <v>353963.70744767762</v>
      </c>
      <c r="I529" s="13">
        <f t="shared" si="160"/>
        <v>34037320.167863689</v>
      </c>
      <c r="J529" s="15">
        <f t="shared" si="155"/>
        <v>0.79777950729172686</v>
      </c>
      <c r="K529" s="13">
        <f t="shared" si="161"/>
        <v>7384843.209884204</v>
      </c>
      <c r="L529" s="13">
        <f t="shared" si="169"/>
        <v>845402712.91705287</v>
      </c>
      <c r="M529" s="15">
        <f t="shared" si="162"/>
        <v>0.79777950729172686</v>
      </c>
      <c r="N529" s="13">
        <f t="shared" si="153"/>
        <v>131959.55444997418</v>
      </c>
      <c r="O529" s="13">
        <f t="shared" si="163"/>
        <v>26652476.957979467</v>
      </c>
      <c r="P529" s="15">
        <f t="shared" si="156"/>
        <v>0.74221812341174265</v>
      </c>
      <c r="Q529" s="7">
        <f t="shared" si="164"/>
        <v>35909224.144873254</v>
      </c>
      <c r="R529" s="7">
        <f t="shared" si="154"/>
        <v>9256747.1868937872</v>
      </c>
      <c r="S529" s="13">
        <f>IF('Calc (3)'!$AD$32="Sim",R529,Q529)</f>
        <v>9256747.1868937872</v>
      </c>
      <c r="T529" s="9">
        <f t="shared" si="165"/>
        <v>525</v>
      </c>
      <c r="U529" s="17">
        <f t="shared" ca="1" si="166"/>
        <v>61484</v>
      </c>
    </row>
    <row r="530" spans="2:21" x14ac:dyDescent="0.2">
      <c r="B530" s="17">
        <f t="shared" ca="1" si="157"/>
        <v>61484</v>
      </c>
      <c r="C530" s="9">
        <f t="shared" si="167"/>
        <v>526</v>
      </c>
      <c r="D530" s="9"/>
      <c r="E530" s="13">
        <f t="shared" si="158"/>
        <v>8487.8483047966438</v>
      </c>
      <c r="F530" s="14">
        <f t="shared" si="168"/>
        <v>1880391.8253143802</v>
      </c>
      <c r="G530" s="15">
        <f t="shared" si="159"/>
        <v>0.20168879079183483</v>
      </c>
      <c r="H530" s="13">
        <f t="shared" si="152"/>
        <v>357572.54088654567</v>
      </c>
      <c r="I530" s="13">
        <f t="shared" si="160"/>
        <v>34394892.708750233</v>
      </c>
      <c r="J530" s="15">
        <f t="shared" si="155"/>
        <v>0.79831120920816523</v>
      </c>
      <c r="K530" s="13">
        <f t="shared" si="161"/>
        <v>7442842.3412048332</v>
      </c>
      <c r="L530" s="13">
        <f t="shared" si="169"/>
        <v>852845555.25825775</v>
      </c>
      <c r="M530" s="15">
        <f t="shared" si="162"/>
        <v>0.79831120920816512</v>
      </c>
      <c r="N530" s="13">
        <f t="shared" si="153"/>
        <v>133304.7566093021</v>
      </c>
      <c r="O530" s="13">
        <f t="shared" si="163"/>
        <v>26952050.367545377</v>
      </c>
      <c r="P530" s="15">
        <f t="shared" si="156"/>
        <v>0.74298660131075867</v>
      </c>
      <c r="Q530" s="7">
        <f t="shared" si="164"/>
        <v>36275284.534064591</v>
      </c>
      <c r="R530" s="7">
        <f t="shared" si="154"/>
        <v>9323234.1665192135</v>
      </c>
      <c r="S530" s="13">
        <f>IF('Calc (3)'!$AD$32="Sim",R530,Q530)</f>
        <v>9323234.1665192135</v>
      </c>
      <c r="T530" s="9">
        <f t="shared" si="165"/>
        <v>526</v>
      </c>
      <c r="U530" s="17">
        <f t="shared" ca="1" si="166"/>
        <v>61515</v>
      </c>
    </row>
    <row r="531" spans="2:21" x14ac:dyDescent="0.2">
      <c r="B531" s="17">
        <f t="shared" ca="1" si="157"/>
        <v>61515</v>
      </c>
      <c r="C531" s="9">
        <f t="shared" si="167"/>
        <v>527</v>
      </c>
      <c r="D531" s="9"/>
      <c r="E531" s="13">
        <f t="shared" si="158"/>
        <v>8522.4288494472148</v>
      </c>
      <c r="F531" s="14">
        <f t="shared" si="168"/>
        <v>1888914.2541638275</v>
      </c>
      <c r="G531" s="15">
        <f t="shared" si="159"/>
        <v>0.20115863963384284</v>
      </c>
      <c r="H531" s="13">
        <f t="shared" si="152"/>
        <v>361217.65287651756</v>
      </c>
      <c r="I531" s="13">
        <f t="shared" si="160"/>
        <v>34756110.361626752</v>
      </c>
      <c r="J531" s="15">
        <f t="shared" si="155"/>
        <v>0.79884136036615716</v>
      </c>
      <c r="K531" s="13">
        <f t="shared" si="161"/>
        <v>7501257.8885893058</v>
      </c>
      <c r="L531" s="13">
        <f t="shared" si="169"/>
        <v>860346813.14684701</v>
      </c>
      <c r="M531" s="15">
        <f t="shared" si="162"/>
        <v>0.79884136036615716</v>
      </c>
      <c r="N531" s="13">
        <f t="shared" si="153"/>
        <v>134663.48093734693</v>
      </c>
      <c r="O531" s="13">
        <f t="shared" si="163"/>
        <v>27254852.473037422</v>
      </c>
      <c r="P531" s="15">
        <f t="shared" si="156"/>
        <v>0.74375314954197491</v>
      </c>
      <c r="Q531" s="7">
        <f t="shared" si="164"/>
        <v>36645024.615790553</v>
      </c>
      <c r="R531" s="7">
        <f t="shared" si="154"/>
        <v>9390172.1427531336</v>
      </c>
      <c r="S531" s="13">
        <f>IF('Calc (3)'!$AD$32="Sim",R531,Q531)</f>
        <v>9390172.1427531336</v>
      </c>
      <c r="T531" s="9">
        <f t="shared" si="165"/>
        <v>527</v>
      </c>
      <c r="U531" s="17">
        <f t="shared" ca="1" si="166"/>
        <v>61545</v>
      </c>
    </row>
    <row r="532" spans="2:21" x14ac:dyDescent="0.2">
      <c r="B532" s="17">
        <f t="shared" ca="1" si="157"/>
        <v>61545</v>
      </c>
      <c r="C532" s="9">
        <f t="shared" si="167"/>
        <v>528</v>
      </c>
      <c r="D532" s="9">
        <v>44</v>
      </c>
      <c r="E532" s="13">
        <f t="shared" si="158"/>
        <v>8557.1502795171982</v>
      </c>
      <c r="F532" s="14">
        <f t="shared" si="168"/>
        <v>1897471.4044433448</v>
      </c>
      <c r="G532" s="15">
        <f t="shared" si="159"/>
        <v>0.20063003414878719</v>
      </c>
      <c r="H532" s="13">
        <f t="shared" si="152"/>
        <v>364899.4060649731</v>
      </c>
      <c r="I532" s="13">
        <f t="shared" si="160"/>
        <v>35121009.767691724</v>
      </c>
      <c r="J532" s="15">
        <f t="shared" si="155"/>
        <v>0.79936996585121278</v>
      </c>
      <c r="K532" s="13">
        <f t="shared" si="161"/>
        <v>7560092.6760979583</v>
      </c>
      <c r="L532" s="13">
        <f t="shared" si="169"/>
        <v>867906905.822945</v>
      </c>
      <c r="M532" s="15">
        <f t="shared" si="162"/>
        <v>0.79936996585121278</v>
      </c>
      <c r="N532" s="13">
        <f t="shared" si="153"/>
        <v>136035.86260125643</v>
      </c>
      <c r="O532" s="13">
        <f t="shared" si="163"/>
        <v>27560917.091593735</v>
      </c>
      <c r="P532" s="15">
        <f t="shared" si="156"/>
        <v>0.74451777109482531</v>
      </c>
      <c r="Q532" s="7">
        <f t="shared" si="164"/>
        <v>37018481.17213504</v>
      </c>
      <c r="R532" s="7">
        <f t="shared" si="154"/>
        <v>9457564.0805413034</v>
      </c>
      <c r="S532" s="13">
        <f>IF('Calc (3)'!$AD$32="Sim",R532,Q532)</f>
        <v>9457564.0805413034</v>
      </c>
      <c r="T532" s="9">
        <f t="shared" si="165"/>
        <v>528</v>
      </c>
      <c r="U532" s="17">
        <f t="shared" ca="1" si="166"/>
        <v>61576</v>
      </c>
    </row>
    <row r="533" spans="2:21" x14ac:dyDescent="0.2">
      <c r="B533" s="17">
        <f t="shared" ca="1" si="157"/>
        <v>61576</v>
      </c>
      <c r="C533" s="9">
        <f t="shared" si="167"/>
        <v>529</v>
      </c>
      <c r="D533" s="9"/>
      <c r="E533" s="13">
        <f t="shared" si="158"/>
        <v>8592.0131689912323</v>
      </c>
      <c r="F533" s="14">
        <f t="shared" si="168"/>
        <v>1906063.4176123361</v>
      </c>
      <c r="G533" s="15">
        <f t="shared" si="159"/>
        <v>0.20010296926995216</v>
      </c>
      <c r="H533" s="13">
        <f t="shared" si="152"/>
        <v>368618.16671611078</v>
      </c>
      <c r="I533" s="13">
        <f t="shared" si="160"/>
        <v>35489627.934407838</v>
      </c>
      <c r="J533" s="15">
        <f t="shared" si="155"/>
        <v>0.79989703073004781</v>
      </c>
      <c r="K533" s="13">
        <f t="shared" si="161"/>
        <v>7619349.5463548806</v>
      </c>
      <c r="L533" s="13">
        <f t="shared" si="169"/>
        <v>875526255.36929989</v>
      </c>
      <c r="M533" s="15">
        <f t="shared" si="162"/>
        <v>0.79989703073004781</v>
      </c>
      <c r="N533" s="13">
        <f t="shared" si="153"/>
        <v>137422.03811623869</v>
      </c>
      <c r="O533" s="13">
        <f t="shared" si="163"/>
        <v>27870278.388052925</v>
      </c>
      <c r="P533" s="15">
        <f t="shared" si="156"/>
        <v>0.74528046896363509</v>
      </c>
      <c r="Q533" s="7">
        <f t="shared" si="164"/>
        <v>37395691.352020144</v>
      </c>
      <c r="R533" s="7">
        <f t="shared" si="154"/>
        <v>9525412.9639672171</v>
      </c>
      <c r="S533" s="13">
        <f>IF('Calc (3)'!$AD$32="Sim",R533,Q533)</f>
        <v>9525412.9639672171</v>
      </c>
      <c r="T533" s="9">
        <f t="shared" si="165"/>
        <v>529</v>
      </c>
      <c r="U533" s="17">
        <f t="shared" ca="1" si="166"/>
        <v>61607</v>
      </c>
    </row>
    <row r="534" spans="2:21" x14ac:dyDescent="0.2">
      <c r="B534" s="17">
        <f t="shared" ca="1" si="157"/>
        <v>61607</v>
      </c>
      <c r="C534" s="9">
        <f t="shared" si="167"/>
        <v>530</v>
      </c>
      <c r="D534" s="9"/>
      <c r="E534" s="13">
        <f t="shared" si="158"/>
        <v>8627.0180941924391</v>
      </c>
      <c r="F534" s="14">
        <f t="shared" si="168"/>
        <v>1914690.4357065286</v>
      </c>
      <c r="G534" s="15">
        <f t="shared" si="159"/>
        <v>0.19957743994933677</v>
      </c>
      <c r="H534" s="13">
        <f t="shared" si="152"/>
        <v>372374.30474698613</v>
      </c>
      <c r="I534" s="13">
        <f t="shared" si="160"/>
        <v>35862002.239154823</v>
      </c>
      <c r="J534" s="15">
        <f t="shared" si="155"/>
        <v>0.80042256005066326</v>
      </c>
      <c r="K534" s="13">
        <f t="shared" si="161"/>
        <v>7679031.3606677381</v>
      </c>
      <c r="L534" s="13">
        <f t="shared" si="169"/>
        <v>883205286.72996759</v>
      </c>
      <c r="M534" s="15">
        <f t="shared" si="162"/>
        <v>0.80042256005066315</v>
      </c>
      <c r="N534" s="13">
        <f t="shared" si="153"/>
        <v>138822.14535899431</v>
      </c>
      <c r="O534" s="13">
        <f t="shared" si="163"/>
        <v>28182970.878487051</v>
      </c>
      <c r="P534" s="15">
        <f t="shared" si="156"/>
        <v>0.74604124614756295</v>
      </c>
      <c r="Q534" s="7">
        <f t="shared" si="164"/>
        <v>37776692.674861319</v>
      </c>
      <c r="R534" s="7">
        <f t="shared" si="154"/>
        <v>9593721.796374267</v>
      </c>
      <c r="S534" s="13">
        <f>IF('Calc (3)'!$AD$32="Sim",R534,Q534)</f>
        <v>9593721.796374267</v>
      </c>
      <c r="T534" s="9">
        <f t="shared" si="165"/>
        <v>530</v>
      </c>
      <c r="U534" s="17">
        <f t="shared" ca="1" si="166"/>
        <v>61637</v>
      </c>
    </row>
    <row r="535" spans="2:21" x14ac:dyDescent="0.2">
      <c r="B535" s="17">
        <f t="shared" ca="1" si="157"/>
        <v>61637</v>
      </c>
      <c r="C535" s="9">
        <f t="shared" si="167"/>
        <v>531</v>
      </c>
      <c r="D535" s="9"/>
      <c r="E535" s="13">
        <f t="shared" si="158"/>
        <v>8662.165633791954</v>
      </c>
      <c r="F535" s="14">
        <f t="shared" si="168"/>
        <v>1923352.6013403207</v>
      </c>
      <c r="G535" s="15">
        <f t="shared" si="159"/>
        <v>0.19905344115757562</v>
      </c>
      <c r="H535" s="13">
        <f t="shared" si="152"/>
        <v>376168.19376390899</v>
      </c>
      <c r="I535" s="13">
        <f t="shared" si="160"/>
        <v>36238170.432918735</v>
      </c>
      <c r="J535" s="15">
        <f t="shared" si="155"/>
        <v>0.80094655884242438</v>
      </c>
      <c r="K535" s="13">
        <f t="shared" si="161"/>
        <v>7739140.99914834</v>
      </c>
      <c r="L535" s="13">
        <f t="shared" si="169"/>
        <v>890944427.72911596</v>
      </c>
      <c r="M535" s="15">
        <f t="shared" si="162"/>
        <v>0.80094655884242438</v>
      </c>
      <c r="N535" s="13">
        <f t="shared" si="153"/>
        <v>140236.32358128249</v>
      </c>
      <c r="O535" s="13">
        <f t="shared" si="163"/>
        <v>28499029.433770359</v>
      </c>
      <c r="P535" s="15">
        <f t="shared" si="156"/>
        <v>0.74680010565054544</v>
      </c>
      <c r="Q535" s="7">
        <f t="shared" si="164"/>
        <v>38161523.034259021</v>
      </c>
      <c r="R535" s="7">
        <f t="shared" si="154"/>
        <v>9662493.6004886609</v>
      </c>
      <c r="S535" s="13">
        <f>IF('Calc (3)'!$AD$32="Sim",R535,Q535)</f>
        <v>9662493.6004886609</v>
      </c>
      <c r="T535" s="9">
        <f t="shared" si="165"/>
        <v>531</v>
      </c>
      <c r="U535" s="17">
        <f t="shared" ca="1" si="166"/>
        <v>61668</v>
      </c>
    </row>
    <row r="536" spans="2:21" x14ac:dyDescent="0.2">
      <c r="B536" s="17">
        <f t="shared" ca="1" si="157"/>
        <v>61668</v>
      </c>
      <c r="C536" s="9">
        <f t="shared" si="167"/>
        <v>532</v>
      </c>
      <c r="D536" s="9"/>
      <c r="E536" s="13">
        <f t="shared" si="158"/>
        <v>8697.456368818488</v>
      </c>
      <c r="F536" s="14">
        <f t="shared" si="168"/>
        <v>1932050.0577091391</v>
      </c>
      <c r="G536" s="15">
        <f t="shared" si="159"/>
        <v>0.19853096788385996</v>
      </c>
      <c r="H536" s="13">
        <f t="shared" si="152"/>
        <v>380000.21109920315</v>
      </c>
      <c r="I536" s="13">
        <f t="shared" si="160"/>
        <v>36618170.644017935</v>
      </c>
      <c r="J536" s="15">
        <f t="shared" si="155"/>
        <v>0.80146903211614007</v>
      </c>
      <c r="K536" s="13">
        <f t="shared" si="161"/>
        <v>7799681.3608340006</v>
      </c>
      <c r="L536" s="13">
        <f t="shared" si="169"/>
        <v>898744109.08994997</v>
      </c>
      <c r="M536" s="15">
        <f t="shared" si="162"/>
        <v>0.80146903211614007</v>
      </c>
      <c r="N536" s="13">
        <f t="shared" si="153"/>
        <v>141664.71342362184</v>
      </c>
      <c r="O536" s="13">
        <f t="shared" si="163"/>
        <v>28818489.283183903</v>
      </c>
      <c r="P536" s="15">
        <f t="shared" si="156"/>
        <v>0.74755705048123999</v>
      </c>
      <c r="Q536" s="7">
        <f t="shared" si="164"/>
        <v>38550220.70172704</v>
      </c>
      <c r="R536" s="7">
        <f t="shared" si="154"/>
        <v>9731731.4185431395</v>
      </c>
      <c r="S536" s="13">
        <f>IF('Calc (3)'!$AD$32="Sim",R536,Q536)</f>
        <v>9731731.4185431395</v>
      </c>
      <c r="T536" s="9">
        <f t="shared" si="165"/>
        <v>532</v>
      </c>
      <c r="U536" s="17">
        <f t="shared" ca="1" si="166"/>
        <v>61698</v>
      </c>
    </row>
    <row r="537" spans="2:21" x14ac:dyDescent="0.2">
      <c r="B537" s="17">
        <f t="shared" ca="1" si="157"/>
        <v>61698</v>
      </c>
      <c r="C537" s="9">
        <f t="shared" si="167"/>
        <v>533</v>
      </c>
      <c r="D537" s="9"/>
      <c r="E537" s="13">
        <f t="shared" si="158"/>
        <v>8732.8908826679344</v>
      </c>
      <c r="F537" s="14">
        <f t="shared" si="168"/>
        <v>1940782.9485918069</v>
      </c>
      <c r="G537" s="15">
        <f t="shared" si="159"/>
        <v>0.19801001513585967</v>
      </c>
      <c r="H537" s="13">
        <f t="shared" si="152"/>
        <v>383870.7378483325</v>
      </c>
      <c r="I537" s="13">
        <f t="shared" si="160"/>
        <v>37002041.381866269</v>
      </c>
      <c r="J537" s="15">
        <f t="shared" si="155"/>
        <v>0.8019899848641403</v>
      </c>
      <c r="K537" s="13">
        <f t="shared" si="161"/>
        <v>7860655.363809648</v>
      </c>
      <c r="L537" s="13">
        <f t="shared" si="169"/>
        <v>906604764.45375967</v>
      </c>
      <c r="M537" s="15">
        <f t="shared" si="162"/>
        <v>0.8019899848641403</v>
      </c>
      <c r="N537" s="13">
        <f t="shared" si="153"/>
        <v>143107.45692912815</v>
      </c>
      <c r="O537" s="13">
        <f t="shared" si="163"/>
        <v>29141386.01805659</v>
      </c>
      <c r="P537" s="15">
        <f t="shared" si="156"/>
        <v>0.74831208365296886</v>
      </c>
      <c r="Q537" s="7">
        <f t="shared" si="164"/>
        <v>38942824.330458045</v>
      </c>
      <c r="R537" s="7">
        <f t="shared" si="154"/>
        <v>9801438.3124014549</v>
      </c>
      <c r="S537" s="13">
        <f>IF('Calc (3)'!$AD$32="Sim",R537,Q537)</f>
        <v>9801438.3124014549</v>
      </c>
      <c r="T537" s="9">
        <f t="shared" si="165"/>
        <v>533</v>
      </c>
      <c r="U537" s="17">
        <f t="shared" ca="1" si="166"/>
        <v>61729</v>
      </c>
    </row>
    <row r="538" spans="2:21" x14ac:dyDescent="0.2">
      <c r="B538" s="17">
        <f t="shared" ca="1" si="157"/>
        <v>61729</v>
      </c>
      <c r="C538" s="9">
        <f t="shared" si="167"/>
        <v>534</v>
      </c>
      <c r="D538" s="9"/>
      <c r="E538" s="13">
        <f t="shared" si="158"/>
        <v>8768.4697611130177</v>
      </c>
      <c r="F538" s="14">
        <f t="shared" si="168"/>
        <v>1949551.4183529199</v>
      </c>
      <c r="G538" s="15">
        <f t="shared" si="159"/>
        <v>0.19749057793964489</v>
      </c>
      <c r="H538" s="13">
        <f t="shared" si="152"/>
        <v>387780.15890739666</v>
      </c>
      <c r="I538" s="13">
        <f t="shared" si="160"/>
        <v>37389821.540773667</v>
      </c>
      <c r="J538" s="15">
        <f t="shared" si="155"/>
        <v>0.80250942206035514</v>
      </c>
      <c r="K538" s="13">
        <f t="shared" si="161"/>
        <v>7922065.9453307418</v>
      </c>
      <c r="L538" s="13">
        <f t="shared" si="169"/>
        <v>914526830.39909041</v>
      </c>
      <c r="M538" s="15">
        <f t="shared" si="162"/>
        <v>0.80250942206035514</v>
      </c>
      <c r="N538" s="13">
        <f t="shared" si="153"/>
        <v>144564.69755748953</v>
      </c>
      <c r="O538" s="13">
        <f t="shared" si="163"/>
        <v>29467755.595442891</v>
      </c>
      <c r="P538" s="15">
        <f t="shared" si="156"/>
        <v>0.74906520818366285</v>
      </c>
      <c r="Q538" s="7">
        <f t="shared" si="164"/>
        <v>39339372.959126554</v>
      </c>
      <c r="R538" s="7">
        <f t="shared" si="154"/>
        <v>9871617.3636836614</v>
      </c>
      <c r="S538" s="13">
        <f>IF('Calc (3)'!$AD$32="Sim",R538,Q538)</f>
        <v>9871617.3636836614</v>
      </c>
      <c r="T538" s="9">
        <f t="shared" si="165"/>
        <v>534</v>
      </c>
      <c r="U538" s="17">
        <f t="shared" ca="1" si="166"/>
        <v>61760</v>
      </c>
    </row>
    <row r="539" spans="2:21" x14ac:dyDescent="0.2">
      <c r="B539" s="17">
        <f t="shared" ca="1" si="157"/>
        <v>61760</v>
      </c>
      <c r="C539" s="9">
        <f t="shared" si="167"/>
        <v>535</v>
      </c>
      <c r="D539" s="9"/>
      <c r="E539" s="13">
        <f t="shared" si="158"/>
        <v>8804.1935923129695</v>
      </c>
      <c r="F539" s="14">
        <f t="shared" si="168"/>
        <v>1958355.6119452328</v>
      </c>
      <c r="G539" s="15">
        <f t="shared" si="159"/>
        <v>0.1969726513396087</v>
      </c>
      <c r="H539" s="13">
        <f t="shared" si="152"/>
        <v>391728.86301100004</v>
      </c>
      <c r="I539" s="13">
        <f t="shared" si="160"/>
        <v>37781550.40378467</v>
      </c>
      <c r="J539" s="15">
        <f t="shared" si="155"/>
        <v>0.80302734866039127</v>
      </c>
      <c r="K539" s="13">
        <f t="shared" si="161"/>
        <v>7983916.0619469509</v>
      </c>
      <c r="L539" s="13">
        <f t="shared" si="169"/>
        <v>922510746.4610374</v>
      </c>
      <c r="M539" s="15">
        <f t="shared" si="162"/>
        <v>0.80302734866039138</v>
      </c>
      <c r="N539" s="13">
        <f t="shared" si="153"/>
        <v>146036.5801990811</v>
      </c>
      <c r="O539" s="13">
        <f t="shared" si="163"/>
        <v>29797634.341837682</v>
      </c>
      <c r="P539" s="15">
        <f t="shared" si="156"/>
        <v>0.74981642709580565</v>
      </c>
      <c r="Q539" s="7">
        <f t="shared" si="164"/>
        <v>39739906.015729867</v>
      </c>
      <c r="R539" s="7">
        <f t="shared" si="154"/>
        <v>9942271.6738921832</v>
      </c>
      <c r="S539" s="13">
        <f>IF('Calc (3)'!$AD$32="Sim",R539,Q539)</f>
        <v>9942271.6738921832</v>
      </c>
      <c r="T539" s="9">
        <f t="shared" si="165"/>
        <v>535</v>
      </c>
      <c r="U539" s="17">
        <f t="shared" ca="1" si="166"/>
        <v>61788</v>
      </c>
    </row>
    <row r="540" spans="2:21" x14ac:dyDescent="0.2">
      <c r="B540" s="17">
        <f t="shared" ca="1" si="157"/>
        <v>61788</v>
      </c>
      <c r="C540" s="9">
        <f t="shared" si="167"/>
        <v>536</v>
      </c>
      <c r="D540" s="9"/>
      <c r="E540" s="13">
        <f t="shared" si="158"/>
        <v>8840.0629668232559</v>
      </c>
      <c r="F540" s="14">
        <f t="shared" si="168"/>
        <v>1967195.6749120562</v>
      </c>
      <c r="G540" s="15">
        <f t="shared" si="159"/>
        <v>0.19645623039839002</v>
      </c>
      <c r="H540" s="13">
        <f t="shared" si="152"/>
        <v>395717.24277049839</v>
      </c>
      <c r="I540" s="13">
        <f t="shared" si="160"/>
        <v>38177267.64655517</v>
      </c>
      <c r="J540" s="15">
        <f t="shared" si="155"/>
        <v>0.80354376960161</v>
      </c>
      <c r="K540" s="13">
        <f t="shared" si="161"/>
        <v>8046208.6896266285</v>
      </c>
      <c r="L540" s="13">
        <f t="shared" si="169"/>
        <v>930556955.15066397</v>
      </c>
      <c r="M540" s="15">
        <f t="shared" si="162"/>
        <v>0.80354376960161</v>
      </c>
      <c r="N540" s="13">
        <f t="shared" si="153"/>
        <v>147523.25118922003</v>
      </c>
      <c r="O540" s="13">
        <f t="shared" si="163"/>
        <v>30131058.956928506</v>
      </c>
      <c r="P540" s="15">
        <f t="shared" si="156"/>
        <v>0.75056574341637716</v>
      </c>
      <c r="Q540" s="7">
        <f t="shared" si="164"/>
        <v>40144463.321467191</v>
      </c>
      <c r="R540" s="7">
        <f t="shared" si="154"/>
        <v>10013404.364538684</v>
      </c>
      <c r="S540" s="13">
        <f>IF('Calc (3)'!$AD$32="Sim",R540,Q540)</f>
        <v>10013404.364538684</v>
      </c>
      <c r="T540" s="9">
        <f t="shared" si="165"/>
        <v>536</v>
      </c>
      <c r="U540" s="17">
        <f t="shared" ca="1" si="166"/>
        <v>61819</v>
      </c>
    </row>
    <row r="541" spans="2:21" x14ac:dyDescent="0.2">
      <c r="B541" s="17">
        <f t="shared" ca="1" si="157"/>
        <v>61819</v>
      </c>
      <c r="C541" s="9">
        <f t="shared" si="167"/>
        <v>537</v>
      </c>
      <c r="D541" s="9"/>
      <c r="E541" s="13">
        <f t="shared" si="158"/>
        <v>8876.0784776053388</v>
      </c>
      <c r="F541" s="14">
        <f t="shared" si="168"/>
        <v>1976071.7533896614</v>
      </c>
      <c r="G541" s="15">
        <f t="shared" si="159"/>
        <v>0.19594131019679675</v>
      </c>
      <c r="H541" s="13">
        <f t="shared" si="152"/>
        <v>399745.69471262599</v>
      </c>
      <c r="I541" s="13">
        <f t="shared" si="160"/>
        <v>38577013.341267794</v>
      </c>
      <c r="J541" s="15">
        <f t="shared" si="155"/>
        <v>0.80405868980320327</v>
      </c>
      <c r="K541" s="13">
        <f t="shared" si="161"/>
        <v>8108946.8238820871</v>
      </c>
      <c r="L541" s="13">
        <f t="shared" si="169"/>
        <v>938665901.97454607</v>
      </c>
      <c r="M541" s="15">
        <f t="shared" si="162"/>
        <v>0.80405868980320327</v>
      </c>
      <c r="N541" s="13">
        <f t="shared" si="153"/>
        <v>149024.85832256265</v>
      </c>
      <c r="O541" s="13">
        <f t="shared" si="163"/>
        <v>30468066.517385673</v>
      </c>
      <c r="P541" s="15">
        <f t="shared" si="156"/>
        <v>0.75131316017679806</v>
      </c>
      <c r="Q541" s="7">
        <f t="shared" si="164"/>
        <v>40553085.094657421</v>
      </c>
      <c r="R541" s="7">
        <f t="shared" si="154"/>
        <v>10085018.577271748</v>
      </c>
      <c r="S541" s="13">
        <f>IF('Calc (3)'!$AD$32="Sim",R541,Q541)</f>
        <v>10085018.577271748</v>
      </c>
      <c r="T541" s="9">
        <f t="shared" si="165"/>
        <v>537</v>
      </c>
      <c r="U541" s="17">
        <f t="shared" ca="1" si="166"/>
        <v>61849</v>
      </c>
    </row>
    <row r="542" spans="2:21" x14ac:dyDescent="0.2">
      <c r="B542" s="17">
        <f t="shared" ca="1" si="157"/>
        <v>61849</v>
      </c>
      <c r="C542" s="9">
        <f t="shared" si="167"/>
        <v>538</v>
      </c>
      <c r="D542" s="9"/>
      <c r="E542" s="13">
        <f t="shared" si="158"/>
        <v>8912.2407200364796</v>
      </c>
      <c r="F542" s="14">
        <f t="shared" si="168"/>
        <v>1984983.9941096979</v>
      </c>
      <c r="G542" s="15">
        <f t="shared" si="159"/>
        <v>0.19542788583372936</v>
      </c>
      <c r="H542" s="13">
        <f t="shared" si="152"/>
        <v>403814.61931850767</v>
      </c>
      <c r="I542" s="13">
        <f t="shared" si="160"/>
        <v>38980827.960586302</v>
      </c>
      <c r="J542" s="15">
        <f t="shared" si="155"/>
        <v>0.80457211416627061</v>
      </c>
      <c r="K542" s="13">
        <f t="shared" si="161"/>
        <v>8172133.4798956662</v>
      </c>
      <c r="L542" s="13">
        <f t="shared" si="169"/>
        <v>946838035.45444179</v>
      </c>
      <c r="M542" s="15">
        <f t="shared" si="162"/>
        <v>0.80457211416627061</v>
      </c>
      <c r="N542" s="13">
        <f t="shared" si="153"/>
        <v>150541.55086764507</v>
      </c>
      <c r="O542" s="13">
        <f t="shared" si="163"/>
        <v>30808694.480690598</v>
      </c>
      <c r="P542" s="15">
        <f t="shared" si="156"/>
        <v>0.75205868041287438</v>
      </c>
      <c r="Q542" s="7">
        <f t="shared" si="164"/>
        <v>40965811.954695962</v>
      </c>
      <c r="R542" s="7">
        <f t="shared" si="154"/>
        <v>10157117.474005364</v>
      </c>
      <c r="S542" s="13">
        <f>IF('Calc (3)'!$AD$32="Sim",R542,Q542)</f>
        <v>10157117.474005364</v>
      </c>
      <c r="T542" s="9">
        <f t="shared" si="165"/>
        <v>538</v>
      </c>
      <c r="U542" s="17">
        <f t="shared" ca="1" si="166"/>
        <v>61880</v>
      </c>
    </row>
    <row r="543" spans="2:21" x14ac:dyDescent="0.2">
      <c r="B543" s="17">
        <f t="shared" ca="1" si="157"/>
        <v>61880</v>
      </c>
      <c r="C543" s="9">
        <f t="shared" si="167"/>
        <v>539</v>
      </c>
      <c r="D543" s="9"/>
      <c r="E543" s="13">
        <f t="shared" si="158"/>
        <v>8948.5502919195787</v>
      </c>
      <c r="F543" s="14">
        <f t="shared" si="168"/>
        <v>1993932.5444016175</v>
      </c>
      <c r="G543" s="15">
        <f t="shared" si="159"/>
        <v>0.19491595242610518</v>
      </c>
      <c r="H543" s="13">
        <f t="shared" si="152"/>
        <v>407924.42106305959</v>
      </c>
      <c r="I543" s="13">
        <f t="shared" si="160"/>
        <v>39388752.38164936</v>
      </c>
      <c r="J543" s="15">
        <f t="shared" si="155"/>
        <v>0.80508404757389485</v>
      </c>
      <c r="K543" s="13">
        <f t="shared" si="161"/>
        <v>8235771.6926466022</v>
      </c>
      <c r="L543" s="13">
        <f t="shared" si="169"/>
        <v>955073807.14708841</v>
      </c>
      <c r="M543" s="15">
        <f t="shared" si="162"/>
        <v>0.80508404757389485</v>
      </c>
      <c r="N543" s="13">
        <f t="shared" si="153"/>
        <v>152073.47958156839</v>
      </c>
      <c r="O543" s="13">
        <f t="shared" si="163"/>
        <v>31152980.689002719</v>
      </c>
      <c r="P543" s="15">
        <f t="shared" si="156"/>
        <v>0.7528023071647415</v>
      </c>
      <c r="Q543" s="7">
        <f t="shared" si="164"/>
        <v>41382684.926050939</v>
      </c>
      <c r="R543" s="7">
        <f t="shared" si="154"/>
        <v>10229704.23704822</v>
      </c>
      <c r="S543" s="13">
        <f>IF('Calc (3)'!$AD$32="Sim",R543,Q543)</f>
        <v>10229704.23704822</v>
      </c>
      <c r="T543" s="9">
        <f t="shared" si="165"/>
        <v>539</v>
      </c>
      <c r="U543" s="17">
        <f t="shared" ca="1" si="166"/>
        <v>61910</v>
      </c>
    </row>
    <row r="544" spans="2:21" x14ac:dyDescent="0.2">
      <c r="B544" s="17">
        <f t="shared" ca="1" si="157"/>
        <v>61910</v>
      </c>
      <c r="C544" s="9">
        <f t="shared" si="167"/>
        <v>540</v>
      </c>
      <c r="D544" s="9">
        <v>45</v>
      </c>
      <c r="E544" s="13">
        <f t="shared" si="158"/>
        <v>8985.0077934930614</v>
      </c>
      <c r="F544" s="14">
        <f t="shared" si="168"/>
        <v>2002917.5521951106</v>
      </c>
      <c r="G544" s="15">
        <f t="shared" si="159"/>
        <v>0.19440550510878254</v>
      </c>
      <c r="H544" s="13">
        <f t="shared" si="152"/>
        <v>412075.50845478219</v>
      </c>
      <c r="I544" s="13">
        <f t="shared" si="160"/>
        <v>39800827.890104145</v>
      </c>
      <c r="J544" s="15">
        <f t="shared" si="155"/>
        <v>0.80559449489121748</v>
      </c>
      <c r="K544" s="13">
        <f t="shared" si="161"/>
        <v>8299864.5170387207</v>
      </c>
      <c r="L544" s="13">
        <f t="shared" si="169"/>
        <v>963373671.66412711</v>
      </c>
      <c r="M544" s="15">
        <f t="shared" si="162"/>
        <v>0.80559449489121748</v>
      </c>
      <c r="N544" s="13">
        <f t="shared" si="153"/>
        <v>153620.79672483035</v>
      </c>
      <c r="O544" s="13">
        <f t="shared" si="163"/>
        <v>31500963.373065386</v>
      </c>
      <c r="P544" s="15">
        <f t="shared" si="156"/>
        <v>0.75354404347680926</v>
      </c>
      <c r="Q544" s="7">
        <f t="shared" si="164"/>
        <v>41803745.442299217</v>
      </c>
      <c r="R544" s="7">
        <f t="shared" si="154"/>
        <v>10302782.069233831</v>
      </c>
      <c r="S544" s="13">
        <f>IF('Calc (3)'!$AD$32="Sim",R544,Q544)</f>
        <v>10302782.069233831</v>
      </c>
      <c r="T544" s="9">
        <f t="shared" si="165"/>
        <v>540</v>
      </c>
      <c r="U544" s="17">
        <f t="shared" ca="1" si="166"/>
        <v>61941</v>
      </c>
    </row>
    <row r="545" spans="2:21" x14ac:dyDescent="0.2">
      <c r="B545" s="17">
        <f t="shared" ca="1" si="157"/>
        <v>61941</v>
      </c>
      <c r="C545" s="9">
        <f t="shared" si="167"/>
        <v>541</v>
      </c>
      <c r="D545" s="9"/>
      <c r="E545" s="13">
        <f t="shared" si="158"/>
        <v>9021.6138274407967</v>
      </c>
      <c r="F545" s="14">
        <f t="shared" si="168"/>
        <v>2011939.1660225515</v>
      </c>
      <c r="G545" s="15">
        <f t="shared" si="159"/>
        <v>0.1938965390344857</v>
      </c>
      <c r="H545" s="13">
        <f t="shared" si="152"/>
        <v>416268.29407594947</v>
      </c>
      <c r="I545" s="13">
        <f t="shared" si="160"/>
        <v>40217096.184180096</v>
      </c>
      <c r="J545" s="15">
        <f t="shared" si="155"/>
        <v>0.80610346096551433</v>
      </c>
      <c r="K545" s="13">
        <f t="shared" si="161"/>
        <v>8364415.0280289249</v>
      </c>
      <c r="L545" s="13">
        <f t="shared" si="169"/>
        <v>971738086.69215608</v>
      </c>
      <c r="M545" s="15">
        <f t="shared" si="162"/>
        <v>0.80610346096551433</v>
      </c>
      <c r="N545" s="13">
        <f t="shared" si="153"/>
        <v>155183.65607630464</v>
      </c>
      <c r="O545" s="13">
        <f t="shared" si="163"/>
        <v>31852681.156151131</v>
      </c>
      <c r="P545" s="15">
        <f t="shared" si="156"/>
        <v>0.75428389239770566</v>
      </c>
      <c r="Q545" s="7">
        <f t="shared" si="164"/>
        <v>42229035.350202605</v>
      </c>
      <c r="R545" s="7">
        <f t="shared" si="154"/>
        <v>10376354.194051476</v>
      </c>
      <c r="S545" s="13">
        <f>IF('Calc (3)'!$AD$32="Sim",R545,Q545)</f>
        <v>10376354.194051476</v>
      </c>
      <c r="T545" s="9">
        <f t="shared" si="165"/>
        <v>541</v>
      </c>
      <c r="U545" s="17">
        <f t="shared" ca="1" si="166"/>
        <v>61972</v>
      </c>
    </row>
    <row r="546" spans="2:21" x14ac:dyDescent="0.2">
      <c r="B546" s="17">
        <f t="shared" ca="1" si="157"/>
        <v>61972</v>
      </c>
      <c r="C546" s="9">
        <f t="shared" si="167"/>
        <v>542</v>
      </c>
      <c r="D546" s="9"/>
      <c r="E546" s="13">
        <f t="shared" si="158"/>
        <v>9058.368998902064</v>
      </c>
      <c r="F546" s="14">
        <f t="shared" si="168"/>
        <v>2020997.5350214536</v>
      </c>
      <c r="G546" s="15">
        <f t="shared" si="159"/>
        <v>0.19338904937373014</v>
      </c>
      <c r="H546" s="13">
        <f t="shared" si="152"/>
        <v>420503.19462319871</v>
      </c>
      <c r="I546" s="13">
        <f t="shared" si="160"/>
        <v>40637599.378803298</v>
      </c>
      <c r="J546" s="15">
        <f t="shared" si="155"/>
        <v>0.80661095062626986</v>
      </c>
      <c r="K546" s="13">
        <f t="shared" si="161"/>
        <v>8429426.3207565192</v>
      </c>
      <c r="L546" s="13">
        <f t="shared" si="169"/>
        <v>980167513.01291263</v>
      </c>
      <c r="M546" s="15">
        <f t="shared" si="162"/>
        <v>0.80661095062626986</v>
      </c>
      <c r="N546" s="13">
        <f t="shared" si="153"/>
        <v>156762.2129483695</v>
      </c>
      <c r="O546" s="13">
        <f t="shared" si="163"/>
        <v>32208173.058046736</v>
      </c>
      <c r="P546" s="15">
        <f t="shared" si="156"/>
        <v>0.75502185698022284</v>
      </c>
      <c r="Q546" s="7">
        <f t="shared" si="164"/>
        <v>42658596.913824707</v>
      </c>
      <c r="R546" s="7">
        <f t="shared" si="154"/>
        <v>10450423.855777973</v>
      </c>
      <c r="S546" s="13">
        <f>IF('Calc (3)'!$AD$32="Sim",R546,Q546)</f>
        <v>10450423.855777973</v>
      </c>
      <c r="T546" s="9">
        <f t="shared" si="165"/>
        <v>542</v>
      </c>
      <c r="U546" s="17">
        <f t="shared" ca="1" si="166"/>
        <v>62002</v>
      </c>
    </row>
    <row r="547" spans="2:21" x14ac:dyDescent="0.2">
      <c r="B547" s="17">
        <f t="shared" ca="1" si="157"/>
        <v>62002</v>
      </c>
      <c r="C547" s="9">
        <f t="shared" si="167"/>
        <v>543</v>
      </c>
      <c r="D547" s="9"/>
      <c r="E547" s="13">
        <f t="shared" si="158"/>
        <v>9095.2739154815536</v>
      </c>
      <c r="F547" s="14">
        <f t="shared" si="168"/>
        <v>2030092.8089369352</v>
      </c>
      <c r="G547" s="15">
        <f t="shared" si="159"/>
        <v>0.19288303131474796</v>
      </c>
      <c r="H547" s="13">
        <f t="shared" si="152"/>
        <v>424780.63094852469</v>
      </c>
      <c r="I547" s="13">
        <f t="shared" si="160"/>
        <v>41062380.009751819</v>
      </c>
      <c r="J547" s="15">
        <f t="shared" si="155"/>
        <v>0.80711696868525207</v>
      </c>
      <c r="K547" s="13">
        <f t="shared" si="161"/>
        <v>8494901.5106733516</v>
      </c>
      <c r="L547" s="13">
        <f t="shared" si="169"/>
        <v>988662414.52358603</v>
      </c>
      <c r="M547" s="15">
        <f t="shared" si="162"/>
        <v>0.80711696868525207</v>
      </c>
      <c r="N547" s="13">
        <f t="shared" si="153"/>
        <v>158356.62420218679</v>
      </c>
      <c r="O547" s="13">
        <f t="shared" si="163"/>
        <v>32567478.499078427</v>
      </c>
      <c r="P547" s="15">
        <f t="shared" si="156"/>
        <v>0.75575794028126142</v>
      </c>
      <c r="Q547" s="7">
        <f t="shared" si="164"/>
        <v>43092472.818688713</v>
      </c>
      <c r="R547" s="7">
        <f t="shared" si="154"/>
        <v>10524994.319610287</v>
      </c>
      <c r="S547" s="13">
        <f>IF('Calc (3)'!$AD$32="Sim",R547,Q547)</f>
        <v>10524994.319610287</v>
      </c>
      <c r="T547" s="9">
        <f t="shared" si="165"/>
        <v>543</v>
      </c>
      <c r="U547" s="17">
        <f t="shared" ca="1" si="166"/>
        <v>62033</v>
      </c>
    </row>
    <row r="548" spans="2:21" x14ac:dyDescent="0.2">
      <c r="B548" s="17">
        <f t="shared" ca="1" si="157"/>
        <v>62033</v>
      </c>
      <c r="C548" s="9">
        <f t="shared" si="167"/>
        <v>544</v>
      </c>
      <c r="D548" s="9"/>
      <c r="E548" s="13">
        <f t="shared" si="158"/>
        <v>9132.3291872594127</v>
      </c>
      <c r="F548" s="14">
        <f t="shared" si="168"/>
        <v>2039225.1381241945</v>
      </c>
      <c r="G548" s="15">
        <f t="shared" si="159"/>
        <v>0.19237848006341396</v>
      </c>
      <c r="H548" s="13">
        <f t="shared" si="152"/>
        <v>429101.02810068149</v>
      </c>
      <c r="I548" s="13">
        <f t="shared" si="160"/>
        <v>41491481.037852503</v>
      </c>
      <c r="J548" s="15">
        <f t="shared" si="155"/>
        <v>0.80762151993658604</v>
      </c>
      <c r="K548" s="13">
        <f t="shared" si="161"/>
        <v>8560843.7336747833</v>
      </c>
      <c r="L548" s="13">
        <f t="shared" si="169"/>
        <v>997223258.2572608</v>
      </c>
      <c r="M548" s="15">
        <f t="shared" si="162"/>
        <v>0.80762151993658604</v>
      </c>
      <c r="N548" s="13">
        <f t="shared" si="153"/>
        <v>159967.04826313353</v>
      </c>
      <c r="O548" s="13">
        <f t="shared" si="163"/>
        <v>32930637.304177679</v>
      </c>
      <c r="P548" s="15">
        <f t="shared" si="156"/>
        <v>0.75649214536177567</v>
      </c>
      <c r="Q548" s="7">
        <f t="shared" si="164"/>
        <v>43530706.175976656</v>
      </c>
      <c r="R548" s="7">
        <f t="shared" si="154"/>
        <v>10600068.871798977</v>
      </c>
      <c r="S548" s="13">
        <f>IF('Calc (3)'!$AD$32="Sim",R548,Q548)</f>
        <v>10600068.871798977</v>
      </c>
      <c r="T548" s="9">
        <f t="shared" si="165"/>
        <v>544</v>
      </c>
      <c r="U548" s="17">
        <f t="shared" ca="1" si="166"/>
        <v>62063</v>
      </c>
    </row>
    <row r="549" spans="2:21" x14ac:dyDescent="0.2">
      <c r="B549" s="17">
        <f t="shared" ca="1" si="157"/>
        <v>62063</v>
      </c>
      <c r="C549" s="9">
        <f t="shared" si="167"/>
        <v>545</v>
      </c>
      <c r="D549" s="9"/>
      <c r="E549" s="13">
        <f t="shared" si="158"/>
        <v>9169.5354268013325</v>
      </c>
      <c r="F549" s="14">
        <f t="shared" si="168"/>
        <v>2048394.6735509958</v>
      </c>
      <c r="G549" s="15">
        <f t="shared" si="159"/>
        <v>0.19187539084317201</v>
      </c>
      <c r="H549" s="13">
        <f t="shared" si="152"/>
        <v>433464.81536699767</v>
      </c>
      <c r="I549" s="13">
        <f t="shared" si="160"/>
        <v>41924945.853219502</v>
      </c>
      <c r="J549" s="15">
        <f t="shared" si="155"/>
        <v>0.80812460915682793</v>
      </c>
      <c r="K549" s="13">
        <f t="shared" si="161"/>
        <v>8627256.1462314986</v>
      </c>
      <c r="L549" s="13">
        <f t="shared" si="169"/>
        <v>1005850514.4034923</v>
      </c>
      <c r="M549" s="15">
        <f t="shared" si="162"/>
        <v>0.80812460915682804</v>
      </c>
      <c r="N549" s="13">
        <f t="shared" si="153"/>
        <v>161593.64513638685</v>
      </c>
      <c r="O549" s="13">
        <f t="shared" si="163"/>
        <v>33297689.706987962</v>
      </c>
      <c r="P549" s="15">
        <f t="shared" si="156"/>
        <v>0.75722447528671866</v>
      </c>
      <c r="Q549" s="7">
        <f t="shared" si="164"/>
        <v>43973340.526770458</v>
      </c>
      <c r="R549" s="7">
        <f t="shared" si="154"/>
        <v>10675650.819782494</v>
      </c>
      <c r="S549" s="13">
        <f>IF('Calc (3)'!$AD$32="Sim",R549,Q549)</f>
        <v>10675650.819782494</v>
      </c>
      <c r="T549" s="9">
        <f t="shared" si="165"/>
        <v>545</v>
      </c>
      <c r="U549" s="17">
        <f t="shared" ca="1" si="166"/>
        <v>62094</v>
      </c>
    </row>
    <row r="550" spans="2:21" x14ac:dyDescent="0.2">
      <c r="B550" s="17">
        <f t="shared" ca="1" si="157"/>
        <v>62094</v>
      </c>
      <c r="C550" s="9">
        <f t="shared" si="167"/>
        <v>546</v>
      </c>
      <c r="D550" s="9"/>
      <c r="E550" s="13">
        <f t="shared" si="158"/>
        <v>9206.8932491686701</v>
      </c>
      <c r="F550" s="14">
        <f t="shared" si="168"/>
        <v>2057601.5668001645</v>
      </c>
      <c r="G550" s="15">
        <f t="shared" si="159"/>
        <v>0.19137375889496164</v>
      </c>
      <c r="H550" s="13">
        <f t="shared" si="152"/>
        <v>437872.42631560692</v>
      </c>
      <c r="I550" s="13">
        <f t="shared" si="160"/>
        <v>42362818.279535107</v>
      </c>
      <c r="J550" s="15">
        <f t="shared" si="155"/>
        <v>0.80862624110503833</v>
      </c>
      <c r="K550" s="13">
        <f t="shared" si="161"/>
        <v>8694141.9255221561</v>
      </c>
      <c r="L550" s="13">
        <f t="shared" si="169"/>
        <v>1014544656.3290145</v>
      </c>
      <c r="M550" s="15">
        <f t="shared" si="162"/>
        <v>0.80862624110503845</v>
      </c>
      <c r="N550" s="13">
        <f t="shared" si="153"/>
        <v>163236.5764226644</v>
      </c>
      <c r="O550" s="13">
        <f t="shared" si="163"/>
        <v>33668676.354012914</v>
      </c>
      <c r="P550" s="15">
        <f t="shared" si="156"/>
        <v>0.75795493312498807</v>
      </c>
      <c r="Q550" s="7">
        <f t="shared" si="164"/>
        <v>44420419.846335232</v>
      </c>
      <c r="R550" s="7">
        <f t="shared" si="154"/>
        <v>10751743.49232232</v>
      </c>
      <c r="S550" s="13">
        <f>IF('Calc (3)'!$AD$32="Sim",R550,Q550)</f>
        <v>10751743.49232232</v>
      </c>
      <c r="T550" s="9">
        <f t="shared" si="165"/>
        <v>546</v>
      </c>
      <c r="U550" s="17">
        <f t="shared" ca="1" si="166"/>
        <v>62125</v>
      </c>
    </row>
    <row r="551" spans="2:21" x14ac:dyDescent="0.2">
      <c r="B551" s="17">
        <f t="shared" ca="1" si="157"/>
        <v>62125</v>
      </c>
      <c r="C551" s="9">
        <f t="shared" si="167"/>
        <v>547</v>
      </c>
      <c r="D551" s="9"/>
      <c r="E551" s="13">
        <f t="shared" si="158"/>
        <v>9244.4032719286188</v>
      </c>
      <c r="F551" s="14">
        <f t="shared" si="168"/>
        <v>2066845.9700720932</v>
      </c>
      <c r="G551" s="15">
        <f t="shared" si="159"/>
        <v>0.19087357947714517</v>
      </c>
      <c r="H551" s="13">
        <f t="shared" si="152"/>
        <v>442324.29883809993</v>
      </c>
      <c r="I551" s="13">
        <f t="shared" si="160"/>
        <v>42805142.578373209</v>
      </c>
      <c r="J551" s="15">
        <f t="shared" si="155"/>
        <v>0.80912642052285477</v>
      </c>
      <c r="K551" s="13">
        <f t="shared" si="161"/>
        <v>8761504.2695668787</v>
      </c>
      <c r="L551" s="13">
        <f t="shared" si="169"/>
        <v>1023306160.5985814</v>
      </c>
      <c r="M551" s="15">
        <f t="shared" si="162"/>
        <v>0.80912642052285488</v>
      </c>
      <c r="N551" s="13">
        <f t="shared" si="153"/>
        <v>164896.00533412141</v>
      </c>
      <c r="O551" s="13">
        <f t="shared" si="163"/>
        <v>34043638.308806293</v>
      </c>
      <c r="P551" s="15">
        <f t="shared" si="156"/>
        <v>0.75868352194937094</v>
      </c>
      <c r="Q551" s="7">
        <f t="shared" si="164"/>
        <v>44871988.548445262</v>
      </c>
      <c r="R551" s="7">
        <f t="shared" si="154"/>
        <v>10828350.239638971</v>
      </c>
      <c r="S551" s="13">
        <f>IF('Calc (3)'!$AD$32="Sim",R551,Q551)</f>
        <v>10828350.239638971</v>
      </c>
      <c r="T551" s="9">
        <f t="shared" si="165"/>
        <v>547</v>
      </c>
      <c r="U551" s="17">
        <f t="shared" ca="1" si="166"/>
        <v>62153</v>
      </c>
    </row>
    <row r="552" spans="2:21" x14ac:dyDescent="0.2">
      <c r="B552" s="17">
        <f t="shared" ca="1" si="157"/>
        <v>62153</v>
      </c>
      <c r="C552" s="9">
        <f t="shared" si="167"/>
        <v>548</v>
      </c>
      <c r="D552" s="9"/>
      <c r="E552" s="13">
        <f t="shared" si="158"/>
        <v>9282.0661151644199</v>
      </c>
      <c r="F552" s="14">
        <f t="shared" si="168"/>
        <v>2076128.0361872576</v>
      </c>
      <c r="G552" s="15">
        <f t="shared" si="159"/>
        <v>0.19037484786543518</v>
      </c>
      <c r="H552" s="13">
        <f t="shared" si="152"/>
        <v>446820.87519260118</v>
      </c>
      <c r="I552" s="13">
        <f t="shared" si="160"/>
        <v>43251963.453565806</v>
      </c>
      <c r="J552" s="15">
        <f t="shared" si="155"/>
        <v>0.80962515213456476</v>
      </c>
      <c r="K552" s="13">
        <f t="shared" si="161"/>
        <v>8829346.3973616045</v>
      </c>
      <c r="L552" s="13">
        <f t="shared" si="169"/>
        <v>1032135506.9959431</v>
      </c>
      <c r="M552" s="15">
        <f t="shared" si="162"/>
        <v>0.80962515213456476</v>
      </c>
      <c r="N552" s="13">
        <f t="shared" si="153"/>
        <v>166572.09671040604</v>
      </c>
      <c r="O552" s="13">
        <f t="shared" si="163"/>
        <v>34422617.056204163</v>
      </c>
      <c r="P552" s="15">
        <f t="shared" si="156"/>
        <v>0.75941024483649</v>
      </c>
      <c r="Q552" s="7">
        <f t="shared" si="164"/>
        <v>45328091.489753023</v>
      </c>
      <c r="R552" s="7">
        <f t="shared" si="154"/>
        <v>10905474.433548862</v>
      </c>
      <c r="S552" s="13">
        <f>IF('Calc (3)'!$AD$32="Sim",R552,Q552)</f>
        <v>10905474.433548862</v>
      </c>
      <c r="T552" s="9">
        <f t="shared" si="165"/>
        <v>548</v>
      </c>
      <c r="U552" s="17">
        <f t="shared" ca="1" si="166"/>
        <v>62184</v>
      </c>
    </row>
    <row r="553" spans="2:21" x14ac:dyDescent="0.2">
      <c r="B553" s="17">
        <f t="shared" ca="1" si="157"/>
        <v>62184</v>
      </c>
      <c r="C553" s="9">
        <f t="shared" si="167"/>
        <v>549</v>
      </c>
      <c r="D553" s="9"/>
      <c r="E553" s="13">
        <f t="shared" si="158"/>
        <v>9319.8824014856073</v>
      </c>
      <c r="F553" s="14">
        <f t="shared" si="168"/>
        <v>2085447.9185887433</v>
      </c>
      <c r="G553" s="15">
        <f t="shared" si="159"/>
        <v>0.18987755935282233</v>
      </c>
      <c r="H553" s="13">
        <f t="shared" si="152"/>
        <v>451362.60204727418</v>
      </c>
      <c r="I553" s="13">
        <f t="shared" si="160"/>
        <v>43703326.055613078</v>
      </c>
      <c r="J553" s="15">
        <f t="shared" si="155"/>
        <v>0.81012244064717764</v>
      </c>
      <c r="K553" s="13">
        <f t="shared" si="161"/>
        <v>8897671.5490132906</v>
      </c>
      <c r="L553" s="13">
        <f t="shared" si="169"/>
        <v>1041033178.5449563</v>
      </c>
      <c r="M553" s="15">
        <f t="shared" si="162"/>
        <v>0.81012244064717776</v>
      </c>
      <c r="N553" s="13">
        <f t="shared" si="153"/>
        <v>168265.01703487497</v>
      </c>
      <c r="O553" s="13">
        <f t="shared" si="163"/>
        <v>34805654.506599754</v>
      </c>
      <c r="P553" s="15">
        <f t="shared" si="156"/>
        <v>0.76013510486674929</v>
      </c>
      <c r="Q553" s="7">
        <f t="shared" si="164"/>
        <v>45788773.974201784</v>
      </c>
      <c r="R553" s="7">
        <f t="shared" si="154"/>
        <v>10983119.467602033</v>
      </c>
      <c r="S553" s="13">
        <f>IF('Calc (3)'!$AD$32="Sim",R553,Q553)</f>
        <v>10983119.467602033</v>
      </c>
      <c r="T553" s="9">
        <f t="shared" si="165"/>
        <v>549</v>
      </c>
      <c r="U553" s="17">
        <f t="shared" ca="1" si="166"/>
        <v>62214</v>
      </c>
    </row>
    <row r="554" spans="2:21" x14ac:dyDescent="0.2">
      <c r="B554" s="17">
        <f t="shared" ca="1" si="157"/>
        <v>62214</v>
      </c>
      <c r="C554" s="9">
        <f t="shared" si="167"/>
        <v>550</v>
      </c>
      <c r="D554" s="9"/>
      <c r="E554" s="13">
        <f t="shared" si="158"/>
        <v>9357.8527560383063</v>
      </c>
      <c r="F554" s="14">
        <f t="shared" si="168"/>
        <v>2094805.7713447816</v>
      </c>
      <c r="G554" s="15">
        <f t="shared" si="159"/>
        <v>0.1893817092495034</v>
      </c>
      <c r="H554" s="13">
        <f t="shared" si="152"/>
        <v>455949.93052426074</v>
      </c>
      <c r="I554" s="13">
        <f t="shared" si="160"/>
        <v>44159275.986137338</v>
      </c>
      <c r="J554" s="15">
        <f t="shared" si="155"/>
        <v>0.81061829075049663</v>
      </c>
      <c r="K554" s="13">
        <f t="shared" si="161"/>
        <v>8966482.9858759735</v>
      </c>
      <c r="L554" s="13">
        <f t="shared" si="169"/>
        <v>1049999661.5308323</v>
      </c>
      <c r="M554" s="15">
        <f t="shared" si="162"/>
        <v>0.81061829075049663</v>
      </c>
      <c r="N554" s="13">
        <f t="shared" si="153"/>
        <v>169974.93445096983</v>
      </c>
      <c r="O554" s="13">
        <f t="shared" si="163"/>
        <v>35192793.000261329</v>
      </c>
      <c r="P554" s="15">
        <f t="shared" si="156"/>
        <v>0.76085810512427965</v>
      </c>
      <c r="Q554" s="7">
        <f t="shared" si="164"/>
        <v>46254081.757482082</v>
      </c>
      <c r="R554" s="7">
        <f t="shared" si="154"/>
        <v>11061288.757220754</v>
      </c>
      <c r="S554" s="13">
        <f>IF('Calc (3)'!$AD$32="Sim",R554,Q554)</f>
        <v>11061288.757220754</v>
      </c>
      <c r="T554" s="9">
        <f t="shared" si="165"/>
        <v>550</v>
      </c>
      <c r="U554" s="17">
        <f t="shared" ca="1" si="166"/>
        <v>62245</v>
      </c>
    </row>
    <row r="555" spans="2:21" x14ac:dyDescent="0.2">
      <c r="B555" s="17">
        <f t="shared" ca="1" si="157"/>
        <v>62245</v>
      </c>
      <c r="C555" s="9">
        <f t="shared" si="167"/>
        <v>551</v>
      </c>
      <c r="D555" s="9"/>
      <c r="E555" s="13">
        <f t="shared" si="158"/>
        <v>9395.9778065155606</v>
      </c>
      <c r="F555" s="14">
        <f t="shared" si="168"/>
        <v>2104201.7491512974</v>
      </c>
      <c r="G555" s="15">
        <f t="shared" si="159"/>
        <v>0.18888729288281009</v>
      </c>
      <c r="H555" s="13">
        <f t="shared" si="152"/>
        <v>460583.31624405709</v>
      </c>
      <c r="I555" s="13">
        <f t="shared" si="160"/>
        <v>44619859.302381396</v>
      </c>
      <c r="J555" s="15">
        <f t="shared" si="155"/>
        <v>0.81111270711718997</v>
      </c>
      <c r="K555" s="13">
        <f t="shared" si="161"/>
        <v>9035783.9906877056</v>
      </c>
      <c r="L555" s="13">
        <f t="shared" si="169"/>
        <v>1059035445.52152</v>
      </c>
      <c r="M555" s="15">
        <f t="shared" si="162"/>
        <v>0.81111270711718997</v>
      </c>
      <c r="N555" s="13">
        <f t="shared" si="153"/>
        <v>171702.01877875757</v>
      </c>
      <c r="O555" s="13">
        <f t="shared" si="163"/>
        <v>35584075.311693653</v>
      </c>
      <c r="P555" s="15">
        <f t="shared" si="156"/>
        <v>0.76157924869688554</v>
      </c>
      <c r="Q555" s="7">
        <f t="shared" si="164"/>
        <v>46724061.051532656</v>
      </c>
      <c r="R555" s="7">
        <f t="shared" si="154"/>
        <v>11139985.739839002</v>
      </c>
      <c r="S555" s="13">
        <f>IF('Calc (3)'!$AD$32="Sim",R555,Q555)</f>
        <v>11139985.739839002</v>
      </c>
      <c r="T555" s="9">
        <f t="shared" si="165"/>
        <v>551</v>
      </c>
      <c r="U555" s="17">
        <f t="shared" ca="1" si="166"/>
        <v>62275</v>
      </c>
    </row>
    <row r="556" spans="2:21" x14ac:dyDescent="0.2">
      <c r="B556" s="17">
        <f t="shared" ca="1" si="157"/>
        <v>62275</v>
      </c>
      <c r="C556" s="9">
        <f t="shared" si="167"/>
        <v>552</v>
      </c>
      <c r="D556" s="9">
        <v>46</v>
      </c>
      <c r="E556" s="13">
        <f t="shared" si="158"/>
        <v>9434.258183167718</v>
      </c>
      <c r="F556" s="14">
        <f t="shared" si="168"/>
        <v>2113636.0073344652</v>
      </c>
      <c r="G556" s="15">
        <f t="shared" si="159"/>
        <v>0.18839430559713763</v>
      </c>
      <c r="H556" s="13">
        <f t="shared" si="152"/>
        <v>465263.21937033284</v>
      </c>
      <c r="I556" s="13">
        <f t="shared" si="160"/>
        <v>45085122.521751732</v>
      </c>
      <c r="J556" s="15">
        <f t="shared" si="155"/>
        <v>0.81160569440286234</v>
      </c>
      <c r="K556" s="13">
        <f t="shared" si="161"/>
        <v>9105577.8677083626</v>
      </c>
      <c r="L556" s="13">
        <f t="shared" si="169"/>
        <v>1068141023.3892283</v>
      </c>
      <c r="M556" s="15">
        <f t="shared" si="162"/>
        <v>0.81160569440286234</v>
      </c>
      <c r="N556" s="13">
        <f t="shared" si="153"/>
        <v>173446.44153163483</v>
      </c>
      <c r="O556" s="13">
        <f t="shared" si="163"/>
        <v>35979544.654043332</v>
      </c>
      <c r="P556" s="15">
        <f t="shared" si="156"/>
        <v>0.76229853867599073</v>
      </c>
      <c r="Q556" s="7">
        <f t="shared" si="164"/>
        <v>47198758.529086158</v>
      </c>
      <c r="R556" s="7">
        <f t="shared" si="154"/>
        <v>11219213.875042828</v>
      </c>
      <c r="S556" s="13">
        <f>IF('Calc (3)'!$AD$32="Sim",R556,Q556)</f>
        <v>11219213.875042828</v>
      </c>
      <c r="T556" s="9">
        <f t="shared" si="165"/>
        <v>552</v>
      </c>
      <c r="U556" s="17">
        <f t="shared" ca="1" si="166"/>
        <v>62306</v>
      </c>
    </row>
    <row r="557" spans="2:21" x14ac:dyDescent="0.2">
      <c r="B557" s="17">
        <f t="shared" ca="1" si="157"/>
        <v>62306</v>
      </c>
      <c r="C557" s="9">
        <f t="shared" si="167"/>
        <v>553</v>
      </c>
      <c r="D557" s="9"/>
      <c r="E557" s="13">
        <f t="shared" si="158"/>
        <v>9472.6945188128411</v>
      </c>
      <c r="F557" s="14">
        <f t="shared" si="168"/>
        <v>2123108.7018532781</v>
      </c>
      <c r="G557" s="15">
        <f t="shared" si="159"/>
        <v>0.18790274275387431</v>
      </c>
      <c r="H557" s="13">
        <f t="shared" ref="H557:H604" si="170">Q556*Taxa_3</f>
        <v>469990.10465519561</v>
      </c>
      <c r="I557" s="13">
        <f t="shared" si="160"/>
        <v>45555112.62640693</v>
      </c>
      <c r="J557" s="15">
        <f t="shared" si="155"/>
        <v>0.81209725724612569</v>
      </c>
      <c r="K557" s="13">
        <f t="shared" si="161"/>
        <v>9175867.9428583235</v>
      </c>
      <c r="L557" s="13">
        <f t="shared" si="169"/>
        <v>1077316891.3320866</v>
      </c>
      <c r="M557" s="15">
        <f t="shared" si="162"/>
        <v>0.81209725724612558</v>
      </c>
      <c r="N557" s="13">
        <f t="shared" ref="N557:N604" si="171">Q557*Inflação_3</f>
        <v>175208.37593319925</v>
      </c>
      <c r="O557" s="13">
        <f t="shared" si="163"/>
        <v>36379244.68354857</v>
      </c>
      <c r="P557" s="15">
        <f t="shared" si="156"/>
        <v>0.76301597815658462</v>
      </c>
      <c r="Q557" s="7">
        <f t="shared" si="164"/>
        <v>47678221.328260168</v>
      </c>
      <c r="R557" s="7">
        <f t="shared" ref="R557:R604" si="172">(R556+E557)*(1+((1+Taxa_3)/(1+Inflação_3)-1))</f>
        <v>11298976.644711602</v>
      </c>
      <c r="S557" s="13">
        <f>IF('Calc (3)'!$AD$32="Sim",R557,Q557)</f>
        <v>11298976.644711602</v>
      </c>
      <c r="T557" s="9">
        <f t="shared" si="165"/>
        <v>553</v>
      </c>
      <c r="U557" s="17">
        <f t="shared" ca="1" si="166"/>
        <v>62337</v>
      </c>
    </row>
    <row r="558" spans="2:21" x14ac:dyDescent="0.2">
      <c r="B558" s="17">
        <f t="shared" ca="1" si="157"/>
        <v>62337</v>
      </c>
      <c r="C558" s="9">
        <f t="shared" si="167"/>
        <v>554</v>
      </c>
      <c r="D558" s="9"/>
      <c r="E558" s="13">
        <f t="shared" si="158"/>
        <v>9511.2874488471716</v>
      </c>
      <c r="F558" s="14">
        <f t="shared" si="168"/>
        <v>2132619.9893021253</v>
      </c>
      <c r="G558" s="15">
        <f t="shared" si="159"/>
        <v>0.18741259973133073</v>
      </c>
      <c r="H558" s="13">
        <f t="shared" si="170"/>
        <v>474764.44148490689</v>
      </c>
      <c r="I558" s="13">
        <f t="shared" si="160"/>
        <v>46029877.067891836</v>
      </c>
      <c r="J558" s="15">
        <f t="shared" si="155"/>
        <v>0.81258740026866927</v>
      </c>
      <c r="K558" s="13">
        <f t="shared" si="161"/>
        <v>9246657.5638580546</v>
      </c>
      <c r="L558" s="13">
        <f t="shared" si="169"/>
        <v>1086563548.8959446</v>
      </c>
      <c r="M558" s="15">
        <f t="shared" si="162"/>
        <v>0.81258740026866927</v>
      </c>
      <c r="N558" s="13">
        <f t="shared" si="171"/>
        <v>176987.99693428841</v>
      </c>
      <c r="O558" s="13">
        <f t="shared" si="163"/>
        <v>36783219.504033744</v>
      </c>
      <c r="P558" s="15">
        <f t="shared" si="156"/>
        <v>0.76373157023716898</v>
      </c>
      <c r="Q558" s="7">
        <f t="shared" si="164"/>
        <v>48162497.05719392</v>
      </c>
      <c r="R558" s="7">
        <f t="shared" si="172"/>
        <v>11379277.553160179</v>
      </c>
      <c r="S558" s="13">
        <f>IF('Calc (3)'!$AD$32="Sim",R558,Q558)</f>
        <v>11379277.553160179</v>
      </c>
      <c r="T558" s="9">
        <f t="shared" si="165"/>
        <v>554</v>
      </c>
      <c r="U558" s="17">
        <f t="shared" ca="1" si="166"/>
        <v>62367</v>
      </c>
    </row>
    <row r="559" spans="2:21" x14ac:dyDescent="0.2">
      <c r="B559" s="17">
        <f t="shared" ca="1" si="157"/>
        <v>62367</v>
      </c>
      <c r="C559" s="9">
        <f t="shared" si="167"/>
        <v>555</v>
      </c>
      <c r="D559" s="9"/>
      <c r="E559" s="13">
        <f t="shared" si="158"/>
        <v>9550.0376112556351</v>
      </c>
      <c r="F559" s="14">
        <f t="shared" si="168"/>
        <v>2142170.0269133807</v>
      </c>
      <c r="G559" s="15">
        <f t="shared" si="159"/>
        <v>0.18692387192467014</v>
      </c>
      <c r="H559" s="13">
        <f t="shared" si="170"/>
        <v>479586.70392605319</v>
      </c>
      <c r="I559" s="13">
        <f t="shared" si="160"/>
        <v>46509463.771817893</v>
      </c>
      <c r="J559" s="15">
        <f t="shared" si="155"/>
        <v>0.81307612807532981</v>
      </c>
      <c r="K559" s="13">
        <f t="shared" si="161"/>
        <v>9317950.1003685426</v>
      </c>
      <c r="L559" s="13">
        <f t="shared" si="169"/>
        <v>1095881498.9963131</v>
      </c>
      <c r="M559" s="15">
        <f t="shared" si="162"/>
        <v>0.81307612807532992</v>
      </c>
      <c r="N559" s="13">
        <f t="shared" si="171"/>
        <v>178785.48123018877</v>
      </c>
      <c r="O559" s="13">
        <f t="shared" si="163"/>
        <v>37191513.671449304</v>
      </c>
      <c r="P559" s="15">
        <f t="shared" si="156"/>
        <v>0.76444531801970461</v>
      </c>
      <c r="Q559" s="7">
        <f t="shared" si="164"/>
        <v>48651633.79873123</v>
      </c>
      <c r="R559" s="7">
        <f t="shared" si="172"/>
        <v>11460120.127281923</v>
      </c>
      <c r="S559" s="13">
        <f>IF('Calc (3)'!$AD$32="Sim",R559,Q559)</f>
        <v>11460120.127281923</v>
      </c>
      <c r="T559" s="9">
        <f t="shared" si="165"/>
        <v>555</v>
      </c>
      <c r="U559" s="17">
        <f t="shared" ca="1" si="166"/>
        <v>62398</v>
      </c>
    </row>
    <row r="560" spans="2:21" x14ac:dyDescent="0.2">
      <c r="B560" s="17">
        <f t="shared" ca="1" si="157"/>
        <v>62398</v>
      </c>
      <c r="C560" s="9">
        <f t="shared" si="167"/>
        <v>556</v>
      </c>
      <c r="D560" s="9"/>
      <c r="E560" s="13">
        <f t="shared" si="158"/>
        <v>9588.9456466223874</v>
      </c>
      <c r="F560" s="14">
        <f t="shared" si="168"/>
        <v>2151758.9725600029</v>
      </c>
      <c r="G560" s="15">
        <f t="shared" si="159"/>
        <v>0.18643655474583851</v>
      </c>
      <c r="H560" s="13">
        <f t="shared" si="170"/>
        <v>484457.37077217695</v>
      </c>
      <c r="I560" s="13">
        <f t="shared" si="160"/>
        <v>46993921.142590068</v>
      </c>
      <c r="J560" s="15">
        <f t="shared" si="155"/>
        <v>0.81356344525416147</v>
      </c>
      <c r="K560" s="13">
        <f t="shared" si="161"/>
        <v>9389748.9441326745</v>
      </c>
      <c r="L560" s="13">
        <f t="shared" si="169"/>
        <v>1105271247.9404457</v>
      </c>
      <c r="M560" s="15">
        <f t="shared" si="162"/>
        <v>0.81356344525416147</v>
      </c>
      <c r="N560" s="13">
        <f t="shared" si="171"/>
        <v>180601.00727801575</v>
      </c>
      <c r="O560" s="13">
        <f t="shared" si="163"/>
        <v>37604172.198457345</v>
      </c>
      <c r="P560" s="15">
        <f t="shared" si="156"/>
        <v>0.76515722460955815</v>
      </c>
      <c r="Q560" s="7">
        <f t="shared" si="164"/>
        <v>49145680.115150027</v>
      </c>
      <c r="R560" s="7">
        <f t="shared" si="172"/>
        <v>11541507.916692678</v>
      </c>
      <c r="S560" s="13">
        <f>IF('Calc (3)'!$AD$32="Sim",R560,Q560)</f>
        <v>11541507.916692678</v>
      </c>
      <c r="T560" s="9">
        <f t="shared" si="165"/>
        <v>556</v>
      </c>
      <c r="U560" s="17">
        <f t="shared" ca="1" si="166"/>
        <v>62428</v>
      </c>
    </row>
    <row r="561" spans="2:21" x14ac:dyDescent="0.2">
      <c r="B561" s="17">
        <f t="shared" ca="1" si="157"/>
        <v>62428</v>
      </c>
      <c r="C561" s="9">
        <f t="shared" si="167"/>
        <v>557</v>
      </c>
      <c r="D561" s="9"/>
      <c r="E561" s="13">
        <f t="shared" si="158"/>
        <v>9628.0121981414031</v>
      </c>
      <c r="F561" s="14">
        <f t="shared" si="168"/>
        <v>2161386.9847581442</v>
      </c>
      <c r="G561" s="15">
        <f t="shared" si="159"/>
        <v>0.1859506436234952</v>
      </c>
      <c r="H561" s="13">
        <f t="shared" si="170"/>
        <v>489376.92559087189</v>
      </c>
      <c r="I561" s="13">
        <f t="shared" si="160"/>
        <v>47483298.068180941</v>
      </c>
      <c r="J561" s="15">
        <f t="shared" si="155"/>
        <v>0.81404935637650477</v>
      </c>
      <c r="K561" s="13">
        <f t="shared" si="161"/>
        <v>9462057.5091174822</v>
      </c>
      <c r="L561" s="13">
        <f t="shared" si="169"/>
        <v>1114733305.449563</v>
      </c>
      <c r="M561" s="15">
        <f t="shared" si="162"/>
        <v>0.81404935637650477</v>
      </c>
      <c r="N561" s="13">
        <f t="shared" si="171"/>
        <v>182434.75531426724</v>
      </c>
      <c r="O561" s="13">
        <f t="shared" si="163"/>
        <v>38021240.55906342</v>
      </c>
      <c r="P561" s="15">
        <f t="shared" si="156"/>
        <v>0.7658672931154491</v>
      </c>
      <c r="Q561" s="7">
        <f t="shared" si="164"/>
        <v>49644685.052939042</v>
      </c>
      <c r="R561" s="7">
        <f t="shared" si="172"/>
        <v>11623444.493875626</v>
      </c>
      <c r="S561" s="13">
        <f>IF('Calc (3)'!$AD$32="Sim",R561,Q561)</f>
        <v>11623444.493875626</v>
      </c>
      <c r="T561" s="9">
        <f t="shared" si="165"/>
        <v>557</v>
      </c>
      <c r="U561" s="17">
        <f t="shared" ca="1" si="166"/>
        <v>62459</v>
      </c>
    </row>
    <row r="562" spans="2:21" x14ac:dyDescent="0.2">
      <c r="B562" s="17">
        <f t="shared" ca="1" si="157"/>
        <v>62459</v>
      </c>
      <c r="C562" s="9">
        <f t="shared" si="167"/>
        <v>558</v>
      </c>
      <c r="D562" s="9"/>
      <c r="E562" s="13">
        <f t="shared" si="158"/>
        <v>9667.2379116271077</v>
      </c>
      <c r="F562" s="14">
        <f t="shared" si="168"/>
        <v>2171054.2226697714</v>
      </c>
      <c r="G562" s="15">
        <f t="shared" si="159"/>
        <v>0.18546613400294409</v>
      </c>
      <c r="H562" s="13">
        <f t="shared" si="170"/>
        <v>494345.85677134758</v>
      </c>
      <c r="I562" s="13">
        <f t="shared" si="160"/>
        <v>47977643.924952291</v>
      </c>
      <c r="J562" s="15">
        <f t="shared" si="155"/>
        <v>0.81453386599705591</v>
      </c>
      <c r="K562" s="13">
        <f t="shared" si="161"/>
        <v>9534879.2316573039</v>
      </c>
      <c r="L562" s="13">
        <f t="shared" si="169"/>
        <v>1124268184.6812203</v>
      </c>
      <c r="M562" s="15">
        <f t="shared" si="162"/>
        <v>0.81453386599705591</v>
      </c>
      <c r="N562" s="13">
        <f t="shared" si="171"/>
        <v>184286.9073725515</v>
      </c>
      <c r="O562" s="13">
        <f t="shared" si="163"/>
        <v>38442764.693294942</v>
      </c>
      <c r="P562" s="15">
        <f t="shared" si="156"/>
        <v>0.7665755266493961</v>
      </c>
      <c r="Q562" s="7">
        <f t="shared" si="164"/>
        <v>50148698.147622019</v>
      </c>
      <c r="R562" s="7">
        <f t="shared" si="172"/>
        <v>11705933.454327075</v>
      </c>
      <c r="S562" s="13">
        <f>IF('Calc (3)'!$AD$32="Sim",R562,Q562)</f>
        <v>11705933.454327075</v>
      </c>
      <c r="T562" s="9">
        <f t="shared" si="165"/>
        <v>558</v>
      </c>
      <c r="U562" s="17">
        <f t="shared" ca="1" si="166"/>
        <v>62490</v>
      </c>
    </row>
    <row r="563" spans="2:21" x14ac:dyDescent="0.2">
      <c r="B563" s="17">
        <f t="shared" ca="1" si="157"/>
        <v>62490</v>
      </c>
      <c r="C563" s="9">
        <f t="shared" si="167"/>
        <v>559</v>
      </c>
      <c r="D563" s="9"/>
      <c r="E563" s="13">
        <f t="shared" si="158"/>
        <v>9706.6234355250544</v>
      </c>
      <c r="F563" s="14">
        <f t="shared" si="168"/>
        <v>2180760.8461052966</v>
      </c>
      <c r="G563" s="15">
        <f t="shared" si="159"/>
        <v>0.18498302134606465</v>
      </c>
      <c r="H563" s="13">
        <f t="shared" si="170"/>
        <v>499364.65757246746</v>
      </c>
      <c r="I563" s="13">
        <f t="shared" si="160"/>
        <v>48477008.582524762</v>
      </c>
      <c r="J563" s="15">
        <f t="shared" si="155"/>
        <v>0.81501697865393541</v>
      </c>
      <c r="K563" s="13">
        <f t="shared" si="161"/>
        <v>9608217.5705978666</v>
      </c>
      <c r="L563" s="13">
        <f t="shared" si="169"/>
        <v>1133876402.2518182</v>
      </c>
      <c r="M563" s="15">
        <f t="shared" si="162"/>
        <v>0.81501697865393541</v>
      </c>
      <c r="N563" s="13">
        <f t="shared" si="171"/>
        <v>186157.64730149214</v>
      </c>
      <c r="O563" s="13">
        <f t="shared" si="163"/>
        <v>38868791.011926852</v>
      </c>
      <c r="P563" s="15">
        <f t="shared" si="156"/>
        <v>0.76728192832666564</v>
      </c>
      <c r="Q563" s="7">
        <f t="shared" si="164"/>
        <v>50657769.428630017</v>
      </c>
      <c r="R563" s="7">
        <f t="shared" si="172"/>
        <v>11788978.416703163</v>
      </c>
      <c r="S563" s="13">
        <f>IF('Calc (3)'!$AD$32="Sim",R563,Q563)</f>
        <v>11788978.416703163</v>
      </c>
      <c r="T563" s="9">
        <f t="shared" si="165"/>
        <v>559</v>
      </c>
      <c r="U563" s="17">
        <f t="shared" ca="1" si="166"/>
        <v>62518</v>
      </c>
    </row>
    <row r="564" spans="2:21" x14ac:dyDescent="0.2">
      <c r="B564" s="17">
        <f t="shared" ca="1" si="157"/>
        <v>62518</v>
      </c>
      <c r="C564" s="9">
        <f t="shared" si="167"/>
        <v>560</v>
      </c>
      <c r="D564" s="9"/>
      <c r="E564" s="13">
        <f t="shared" si="158"/>
        <v>9746.1694209226462</v>
      </c>
      <c r="F564" s="14">
        <f t="shared" si="168"/>
        <v>2190507.0155262193</v>
      </c>
      <c r="G564" s="15">
        <f t="shared" si="159"/>
        <v>0.18450130113124391</v>
      </c>
      <c r="H564" s="13">
        <f t="shared" si="170"/>
        <v>504433.82617126568</v>
      </c>
      <c r="I564" s="13">
        <f t="shared" si="160"/>
        <v>48981442.408696026</v>
      </c>
      <c r="J564" s="15">
        <f t="shared" si="155"/>
        <v>0.81549869886875603</v>
      </c>
      <c r="K564" s="13">
        <f t="shared" si="161"/>
        <v>9682076.0074412711</v>
      </c>
      <c r="L564" s="13">
        <f t="shared" si="169"/>
        <v>1143558478.2592595</v>
      </c>
      <c r="M564" s="15">
        <f t="shared" si="162"/>
        <v>0.81549869886875603</v>
      </c>
      <c r="N564" s="13">
        <f t="shared" si="171"/>
        <v>188047.16078281088</v>
      </c>
      <c r="O564" s="13">
        <f t="shared" si="163"/>
        <v>39299366.401254714</v>
      </c>
      <c r="P564" s="15">
        <f t="shared" si="156"/>
        <v>0.76798650126571866</v>
      </c>
      <c r="Q564" s="7">
        <f t="shared" si="164"/>
        <v>51171949.424222201</v>
      </c>
      <c r="R564" s="7">
        <f t="shared" si="172"/>
        <v>11872583.022967491</v>
      </c>
      <c r="S564" s="13">
        <f>IF('Calc (3)'!$AD$32="Sim",R564,Q564)</f>
        <v>11872583.022967491</v>
      </c>
      <c r="T564" s="9">
        <f t="shared" si="165"/>
        <v>560</v>
      </c>
      <c r="U564" s="17">
        <f t="shared" ca="1" si="166"/>
        <v>62549</v>
      </c>
    </row>
    <row r="565" spans="2:21" x14ac:dyDescent="0.2">
      <c r="B565" s="17">
        <f t="shared" ca="1" si="157"/>
        <v>62549</v>
      </c>
      <c r="C565" s="9">
        <f t="shared" si="167"/>
        <v>561</v>
      </c>
      <c r="D565" s="9"/>
      <c r="E565" s="13">
        <f t="shared" si="158"/>
        <v>9785.8765215598942</v>
      </c>
      <c r="F565" s="14">
        <f t="shared" si="168"/>
        <v>2200292.8920477792</v>
      </c>
      <c r="G565" s="15">
        <f t="shared" si="159"/>
        <v>0.18402096885330829</v>
      </c>
      <c r="H565" s="13">
        <f t="shared" si="170"/>
        <v>509553.86571194674</v>
      </c>
      <c r="I565" s="13">
        <f t="shared" si="160"/>
        <v>49490996.274407975</v>
      </c>
      <c r="J565" s="15">
        <f t="shared" si="155"/>
        <v>0.81597903114669168</v>
      </c>
      <c r="K565" s="13">
        <f t="shared" si="161"/>
        <v>9756458.0464919228</v>
      </c>
      <c r="L565" s="13">
        <f t="shared" si="169"/>
        <v>1153314936.3057513</v>
      </c>
      <c r="M565" s="15">
        <f t="shared" si="162"/>
        <v>0.81597903114669168</v>
      </c>
      <c r="N565" s="13">
        <f t="shared" si="171"/>
        <v>189955.63534959103</v>
      </c>
      <c r="O565" s="13">
        <f t="shared" si="163"/>
        <v>39734538.227916002</v>
      </c>
      <c r="P565" s="15">
        <f t="shared" si="156"/>
        <v>0.76868924858815746</v>
      </c>
      <c r="Q565" s="7">
        <f t="shared" si="164"/>
        <v>51691289.166455708</v>
      </c>
      <c r="R565" s="7">
        <f t="shared" si="172"/>
        <v>11956750.938539702</v>
      </c>
      <c r="S565" s="13">
        <f>IF('Calc (3)'!$AD$32="Sim",R565,Q565)</f>
        <v>11956750.938539702</v>
      </c>
      <c r="T565" s="9">
        <f t="shared" si="165"/>
        <v>561</v>
      </c>
      <c r="U565" s="17">
        <f t="shared" ca="1" si="166"/>
        <v>62579</v>
      </c>
    </row>
    <row r="566" spans="2:21" x14ac:dyDescent="0.2">
      <c r="B566" s="17">
        <f t="shared" ca="1" si="157"/>
        <v>62579</v>
      </c>
      <c r="C566" s="9">
        <f t="shared" si="167"/>
        <v>562</v>
      </c>
      <c r="D566" s="9"/>
      <c r="E566" s="13">
        <f t="shared" si="158"/>
        <v>9825.7453938402268</v>
      </c>
      <c r="F566" s="14">
        <f t="shared" si="168"/>
        <v>2210118.6374416193</v>
      </c>
      <c r="G566" s="15">
        <f t="shared" si="159"/>
        <v>0.18354202002345593</v>
      </c>
      <c r="H566" s="13">
        <f t="shared" si="170"/>
        <v>514725.28435537382</v>
      </c>
      <c r="I566" s="13">
        <f t="shared" si="160"/>
        <v>50005721.558763348</v>
      </c>
      <c r="J566" s="15">
        <f t="shared" si="155"/>
        <v>0.81645797997654412</v>
      </c>
      <c r="K566" s="13">
        <f t="shared" si="161"/>
        <v>9831367.2150033675</v>
      </c>
      <c r="L566" s="13">
        <f t="shared" si="169"/>
        <v>1163146303.5207546</v>
      </c>
      <c r="M566" s="15">
        <f t="shared" si="162"/>
        <v>0.81645797997654401</v>
      </c>
      <c r="N566" s="13">
        <f t="shared" si="171"/>
        <v>191883.26040472227</v>
      </c>
      <c r="O566" s="13">
        <f t="shared" si="163"/>
        <v>40174354.343759939</v>
      </c>
      <c r="P566" s="15">
        <f t="shared" si="156"/>
        <v>0.76939017341867522</v>
      </c>
      <c r="Q566" s="7">
        <f t="shared" si="164"/>
        <v>52215840.196204923</v>
      </c>
      <c r="R566" s="7">
        <f t="shared" si="172"/>
        <v>12041485.852444988</v>
      </c>
      <c r="S566" s="13">
        <f>IF('Calc (3)'!$AD$32="Sim",R566,Q566)</f>
        <v>12041485.852444988</v>
      </c>
      <c r="T566" s="9">
        <f t="shared" si="165"/>
        <v>562</v>
      </c>
      <c r="U566" s="17">
        <f t="shared" ca="1" si="166"/>
        <v>62610</v>
      </c>
    </row>
    <row r="567" spans="2:21" x14ac:dyDescent="0.2">
      <c r="B567" s="17">
        <f t="shared" ca="1" si="157"/>
        <v>62610</v>
      </c>
      <c r="C567" s="9">
        <f t="shared" si="167"/>
        <v>563</v>
      </c>
      <c r="D567" s="9"/>
      <c r="E567" s="13">
        <f t="shared" si="158"/>
        <v>9865.7766968413453</v>
      </c>
      <c r="F567" s="14">
        <f t="shared" si="168"/>
        <v>2219984.4141384605</v>
      </c>
      <c r="G567" s="15">
        <f t="shared" si="159"/>
        <v>0.1830644501691896</v>
      </c>
      <c r="H567" s="13">
        <f t="shared" si="170"/>
        <v>519948.59532904904</v>
      </c>
      <c r="I567" s="13">
        <f t="shared" si="160"/>
        <v>50525670.154092394</v>
      </c>
      <c r="J567" s="15">
        <f t="shared" si="155"/>
        <v>0.8169355498308104</v>
      </c>
      <c r="K567" s="13">
        <f t="shared" si="161"/>
        <v>9906807.0633260813</v>
      </c>
      <c r="L567" s="13">
        <f t="shared" si="169"/>
        <v>1173053110.5840807</v>
      </c>
      <c r="M567" s="15">
        <f t="shared" si="162"/>
        <v>0.8169355498308104</v>
      </c>
      <c r="N567" s="13">
        <f t="shared" si="171"/>
        <v>193830.22723952951</v>
      </c>
      <c r="O567" s="13">
        <f t="shared" si="163"/>
        <v>40618863.090766266</v>
      </c>
      <c r="P567" s="15">
        <f t="shared" si="156"/>
        <v>0.77008927888500189</v>
      </c>
      <c r="Q567" s="7">
        <f t="shared" si="164"/>
        <v>52745654.568230808</v>
      </c>
      <c r="R567" s="7">
        <f t="shared" si="172"/>
        <v>12126791.477464542</v>
      </c>
      <c r="S567" s="13">
        <f>IF('Calc (3)'!$AD$32="Sim",R567,Q567)</f>
        <v>12126791.477464542</v>
      </c>
      <c r="T567" s="9">
        <f t="shared" si="165"/>
        <v>563</v>
      </c>
      <c r="U567" s="17">
        <f t="shared" ca="1" si="166"/>
        <v>62640</v>
      </c>
    </row>
    <row r="568" spans="2:21" x14ac:dyDescent="0.2">
      <c r="B568" s="17">
        <f t="shared" ca="1" si="157"/>
        <v>62640</v>
      </c>
      <c r="C568" s="9">
        <f t="shared" si="167"/>
        <v>564</v>
      </c>
      <c r="D568" s="9">
        <v>47</v>
      </c>
      <c r="E568" s="13">
        <f t="shared" si="158"/>
        <v>9905.97109232611</v>
      </c>
      <c r="F568" s="14">
        <f t="shared" si="168"/>
        <v>2229890.3852307866</v>
      </c>
      <c r="G568" s="15">
        <f t="shared" si="159"/>
        <v>0.18258825483424934</v>
      </c>
      <c r="H568" s="13">
        <f t="shared" si="170"/>
        <v>525224.31697759242</v>
      </c>
      <c r="I568" s="13">
        <f t="shared" si="160"/>
        <v>51050894.471069984</v>
      </c>
      <c r="J568" s="15">
        <f t="shared" si="155"/>
        <v>0.81741174516575066</v>
      </c>
      <c r="K568" s="13">
        <f t="shared" si="161"/>
        <v>9982781.1650561951</v>
      </c>
      <c r="L568" s="13">
        <f t="shared" si="169"/>
        <v>1183035891.7491369</v>
      </c>
      <c r="M568" s="15">
        <f t="shared" si="162"/>
        <v>0.81741174516575066</v>
      </c>
      <c r="N568" s="13">
        <f t="shared" si="171"/>
        <v>195796.72905258735</v>
      </c>
      <c r="O568" s="13">
        <f t="shared" si="163"/>
        <v>41068113.306013748</v>
      </c>
      <c r="P568" s="15">
        <f t="shared" si="156"/>
        <v>0.77078656811785373</v>
      </c>
      <c r="Q568" s="7">
        <f t="shared" si="164"/>
        <v>53280784.856300727</v>
      </c>
      <c r="R568" s="7">
        <f t="shared" si="172"/>
        <v>12212671.550286982</v>
      </c>
      <c r="S568" s="13">
        <f>IF('Calc (3)'!$AD$32="Sim",R568,Q568)</f>
        <v>12212671.550286982</v>
      </c>
      <c r="T568" s="9">
        <f t="shared" si="165"/>
        <v>564</v>
      </c>
      <c r="U568" s="17">
        <f t="shared" ca="1" si="166"/>
        <v>62671</v>
      </c>
    </row>
    <row r="569" spans="2:21" x14ac:dyDescent="0.2">
      <c r="B569" s="17">
        <f t="shared" ca="1" si="157"/>
        <v>62671</v>
      </c>
      <c r="C569" s="9">
        <f t="shared" si="167"/>
        <v>565</v>
      </c>
      <c r="D569" s="9"/>
      <c r="E569" s="13">
        <f t="shared" si="158"/>
        <v>9946.3292447534895</v>
      </c>
      <c r="F569" s="14">
        <f t="shared" si="168"/>
        <v>2239836.71447554</v>
      </c>
      <c r="G569" s="15">
        <f t="shared" si="159"/>
        <v>0.18211342957854623</v>
      </c>
      <c r="H569" s="13">
        <f t="shared" si="170"/>
        <v>530552.97281372326</v>
      </c>
      <c r="I569" s="13">
        <f t="shared" si="160"/>
        <v>51581447.44388371</v>
      </c>
      <c r="J569" s="15">
        <f t="shared" si="155"/>
        <v>0.81788657042145374</v>
      </c>
      <c r="K569" s="13">
        <f t="shared" si="161"/>
        <v>10059293.11718517</v>
      </c>
      <c r="L569" s="13">
        <f t="shared" si="169"/>
        <v>1193095184.866322</v>
      </c>
      <c r="M569" s="15">
        <f t="shared" si="162"/>
        <v>0.81788657042145374</v>
      </c>
      <c r="N569" s="13">
        <f t="shared" si="171"/>
        <v>197782.9609687214</v>
      </c>
      <c r="O569" s="13">
        <f t="shared" si="163"/>
        <v>41522154.326698497</v>
      </c>
      <c r="P569" s="15">
        <f t="shared" si="156"/>
        <v>0.77148204425088063</v>
      </c>
      <c r="Q569" s="7">
        <f t="shared" si="164"/>
        <v>53821284.158359207</v>
      </c>
      <c r="R569" s="7">
        <f t="shared" si="172"/>
        <v>12299129.83166071</v>
      </c>
      <c r="S569" s="13">
        <f>IF('Calc (3)'!$AD$32="Sim",R569,Q569)</f>
        <v>12299129.83166071</v>
      </c>
      <c r="T569" s="9">
        <f t="shared" si="165"/>
        <v>565</v>
      </c>
      <c r="U569" s="17">
        <f t="shared" ca="1" si="166"/>
        <v>62702</v>
      </c>
    </row>
    <row r="570" spans="2:21" x14ac:dyDescent="0.2">
      <c r="B570" s="17">
        <f t="shared" ca="1" si="157"/>
        <v>62702</v>
      </c>
      <c r="C570" s="9">
        <f t="shared" si="167"/>
        <v>566</v>
      </c>
      <c r="D570" s="9"/>
      <c r="E570" s="13">
        <f t="shared" si="158"/>
        <v>9986.851821289536</v>
      </c>
      <c r="F570" s="14">
        <f t="shared" si="168"/>
        <v>2249823.5662968294</v>
      </c>
      <c r="G570" s="15">
        <f t="shared" si="159"/>
        <v>0.18163996997809562</v>
      </c>
      <c r="H570" s="13">
        <f t="shared" si="170"/>
        <v>535935.09156974906</v>
      </c>
      <c r="I570" s="13">
        <f t="shared" si="160"/>
        <v>52117382.535453461</v>
      </c>
      <c r="J570" s="15">
        <f t="shared" si="155"/>
        <v>0.81836003002190438</v>
      </c>
      <c r="K570" s="13">
        <f t="shared" si="161"/>
        <v>10136346.54025043</v>
      </c>
      <c r="L570" s="13">
        <f t="shared" si="169"/>
        <v>1203231531.4065726</v>
      </c>
      <c r="M570" s="15">
        <f t="shared" si="162"/>
        <v>0.81836003002190438</v>
      </c>
      <c r="N570" s="13">
        <f t="shared" si="171"/>
        <v>199789.12005819957</v>
      </c>
      <c r="O570" s="13">
        <f t="shared" si="163"/>
        <v>41981035.995202988</v>
      </c>
      <c r="P570" s="15">
        <f t="shared" si="156"/>
        <v>0.77217571042061495</v>
      </c>
      <c r="Q570" s="7">
        <f t="shared" si="164"/>
        <v>54367206.101750247</v>
      </c>
      <c r="R570" s="7">
        <f t="shared" si="172"/>
        <v>12386170.106547259</v>
      </c>
      <c r="S570" s="13">
        <f>IF('Calc (3)'!$AD$32="Sim",R570,Q570)</f>
        <v>12386170.106547259</v>
      </c>
      <c r="T570" s="9">
        <f t="shared" si="165"/>
        <v>566</v>
      </c>
      <c r="U570" s="17">
        <f t="shared" ca="1" si="166"/>
        <v>62732</v>
      </c>
    </row>
    <row r="571" spans="2:21" x14ac:dyDescent="0.2">
      <c r="B571" s="17">
        <f t="shared" ca="1" si="157"/>
        <v>62732</v>
      </c>
      <c r="C571" s="9">
        <f t="shared" si="167"/>
        <v>567</v>
      </c>
      <c r="D571" s="9"/>
      <c r="E571" s="13">
        <f t="shared" si="158"/>
        <v>10027.539491818423</v>
      </c>
      <c r="F571" s="14">
        <f t="shared" si="168"/>
        <v>2259851.1057886477</v>
      </c>
      <c r="G571" s="15">
        <f t="shared" si="159"/>
        <v>0.18116787162495138</v>
      </c>
      <c r="H571" s="13">
        <f t="shared" si="170"/>
        <v>541371.20724956738</v>
      </c>
      <c r="I571" s="13">
        <f t="shared" si="160"/>
        <v>52658753.742703028</v>
      </c>
      <c r="J571" s="15">
        <f t="shared" si="155"/>
        <v>0.8188321283750486</v>
      </c>
      <c r="K571" s="13">
        <f t="shared" si="161"/>
        <v>10213945.078486938</v>
      </c>
      <c r="L571" s="13">
        <f t="shared" si="169"/>
        <v>1213445476.4850595</v>
      </c>
      <c r="M571" s="15">
        <f t="shared" si="162"/>
        <v>0.8188321283750486</v>
      </c>
      <c r="N571" s="13">
        <f t="shared" si="171"/>
        <v>201815.40535611389</v>
      </c>
      <c r="O571" s="13">
        <f t="shared" si="163"/>
        <v>42444808.664216042</v>
      </c>
      <c r="P571" s="15">
        <f t="shared" si="156"/>
        <v>0.77286756976641968</v>
      </c>
      <c r="Q571" s="7">
        <f t="shared" si="164"/>
        <v>54918604.848491631</v>
      </c>
      <c r="R571" s="7">
        <f t="shared" si="172"/>
        <v>12473796.184275586</v>
      </c>
      <c r="S571" s="13">
        <f>IF('Calc (3)'!$AD$32="Sim",R571,Q571)</f>
        <v>12473796.184275586</v>
      </c>
      <c r="T571" s="9">
        <f t="shared" si="165"/>
        <v>567</v>
      </c>
      <c r="U571" s="17">
        <f t="shared" ca="1" si="166"/>
        <v>62763</v>
      </c>
    </row>
    <row r="572" spans="2:21" x14ac:dyDescent="0.2">
      <c r="B572" s="17">
        <f t="shared" ca="1" si="157"/>
        <v>62763</v>
      </c>
      <c r="C572" s="9">
        <f t="shared" si="167"/>
        <v>568</v>
      </c>
      <c r="D572" s="9"/>
      <c r="E572" s="13">
        <f t="shared" si="158"/>
        <v>10068.392928953514</v>
      </c>
      <c r="F572" s="14">
        <f t="shared" si="168"/>
        <v>2269919.4987176009</v>
      </c>
      <c r="G572" s="15">
        <f t="shared" si="159"/>
        <v>0.1806971301271402</v>
      </c>
      <c r="H572" s="13">
        <f t="shared" si="170"/>
        <v>546861.85918118595</v>
      </c>
      <c r="I572" s="13">
        <f t="shared" si="160"/>
        <v>53205615.601884216</v>
      </c>
      <c r="J572" s="15">
        <f t="shared" si="155"/>
        <v>0.81930286987285983</v>
      </c>
      <c r="K572" s="13">
        <f t="shared" si="161"/>
        <v>10292092.399979763</v>
      </c>
      <c r="L572" s="13">
        <f t="shared" si="169"/>
        <v>1223737568.8850393</v>
      </c>
      <c r="M572" s="15">
        <f t="shared" si="162"/>
        <v>0.81930286987285983</v>
      </c>
      <c r="N572" s="13">
        <f t="shared" si="171"/>
        <v>203862.01788195589</v>
      </c>
      <c r="O572" s="13">
        <f t="shared" si="163"/>
        <v>42913523.201904409</v>
      </c>
      <c r="P572" s="15">
        <f t="shared" si="156"/>
        <v>0.77355762543043782</v>
      </c>
      <c r="Q572" s="7">
        <f t="shared" si="164"/>
        <v>55475535.10060177</v>
      </c>
      <c r="R572" s="7">
        <f t="shared" si="172"/>
        <v>12562011.898697363</v>
      </c>
      <c r="S572" s="13">
        <f>IF('Calc (3)'!$AD$32="Sim",R572,Q572)</f>
        <v>12562011.898697363</v>
      </c>
      <c r="T572" s="9">
        <f t="shared" si="165"/>
        <v>568</v>
      </c>
      <c r="U572" s="17">
        <f t="shared" ca="1" si="166"/>
        <v>62793</v>
      </c>
    </row>
    <row r="573" spans="2:21" x14ac:dyDescent="0.2">
      <c r="B573" s="17">
        <f t="shared" ca="1" si="157"/>
        <v>62793</v>
      </c>
      <c r="C573" s="9">
        <f t="shared" si="167"/>
        <v>569</v>
      </c>
      <c r="D573" s="9"/>
      <c r="E573" s="13">
        <f t="shared" si="158"/>
        <v>10109.412808048481</v>
      </c>
      <c r="F573" s="14">
        <f t="shared" si="168"/>
        <v>2280028.9115256495</v>
      </c>
      <c r="G573" s="15">
        <f t="shared" si="159"/>
        <v>0.18022774110859621</v>
      </c>
      <c r="H573" s="13">
        <f t="shared" si="170"/>
        <v>552407.59206976579</v>
      </c>
      <c r="I573" s="13">
        <f t="shared" si="160"/>
        <v>53758023.193953983</v>
      </c>
      <c r="J573" s="15">
        <f t="shared" si="155"/>
        <v>0.81977225889140382</v>
      </c>
      <c r="K573" s="13">
        <f t="shared" si="161"/>
        <v>10370792.19681759</v>
      </c>
      <c r="L573" s="13">
        <f t="shared" si="169"/>
        <v>1234108361.081857</v>
      </c>
      <c r="M573" s="15">
        <f t="shared" si="162"/>
        <v>0.81977225889140382</v>
      </c>
      <c r="N573" s="13">
        <f t="shared" si="171"/>
        <v>205929.16065938646</v>
      </c>
      <c r="O573" s="13">
        <f t="shared" si="163"/>
        <v>43387230.99713634</v>
      </c>
      <c r="P573" s="15">
        <f t="shared" si="156"/>
        <v>0.77424588055753985</v>
      </c>
      <c r="Q573" s="7">
        <f t="shared" si="164"/>
        <v>56038052.105479583</v>
      </c>
      <c r="R573" s="7">
        <f t="shared" si="172"/>
        <v>12650821.10834324</v>
      </c>
      <c r="S573" s="13">
        <f>IF('Calc (3)'!$AD$32="Sim",R573,Q573)</f>
        <v>12650821.10834324</v>
      </c>
      <c r="T573" s="9">
        <f t="shared" si="165"/>
        <v>569</v>
      </c>
      <c r="U573" s="17">
        <f t="shared" ca="1" si="166"/>
        <v>62824</v>
      </c>
    </row>
    <row r="574" spans="2:21" x14ac:dyDescent="0.2">
      <c r="B574" s="17">
        <f t="shared" ca="1" si="157"/>
        <v>62824</v>
      </c>
      <c r="C574" s="9">
        <f t="shared" si="167"/>
        <v>570</v>
      </c>
      <c r="D574" s="9"/>
      <c r="E574" s="13">
        <f t="shared" si="158"/>
        <v>10150.599807208469</v>
      </c>
      <c r="F574" s="14">
        <f t="shared" si="168"/>
        <v>2290179.5113328579</v>
      </c>
      <c r="G574" s="15">
        <f t="shared" si="159"/>
        <v>0.17975970020909568</v>
      </c>
      <c r="H574" s="13">
        <f t="shared" si="170"/>
        <v>558008.95605119178</v>
      </c>
      <c r="I574" s="13">
        <f t="shared" si="160"/>
        <v>54316032.150005177</v>
      </c>
      <c r="J574" s="15">
        <f t="shared" si="155"/>
        <v>0.82024029979090429</v>
      </c>
      <c r="K574" s="13">
        <f t="shared" si="161"/>
        <v>10450048.18524725</v>
      </c>
      <c r="L574" s="13">
        <f t="shared" si="169"/>
        <v>1244558409.2671041</v>
      </c>
      <c r="M574" s="15">
        <f t="shared" si="162"/>
        <v>0.82024029979090429</v>
      </c>
      <c r="N574" s="13">
        <f t="shared" si="171"/>
        <v>208017.03873620296</v>
      </c>
      <c r="O574" s="13">
        <f t="shared" si="163"/>
        <v>43865983.964757875</v>
      </c>
      <c r="P574" s="15">
        <f t="shared" si="156"/>
        <v>0.77493233829527441</v>
      </c>
      <c r="Q574" s="7">
        <f t="shared" si="164"/>
        <v>56606211.661337987</v>
      </c>
      <c r="R574" s="7">
        <f t="shared" si="172"/>
        <v>12740227.696580108</v>
      </c>
      <c r="S574" s="13">
        <f>IF('Calc (3)'!$AD$32="Sim",R574,Q574)</f>
        <v>12740227.696580108</v>
      </c>
      <c r="T574" s="9">
        <f t="shared" si="165"/>
        <v>570</v>
      </c>
      <c r="U574" s="17">
        <f t="shared" ca="1" si="166"/>
        <v>62855</v>
      </c>
    </row>
    <row r="575" spans="2:21" x14ac:dyDescent="0.2">
      <c r="B575" s="17">
        <f t="shared" ca="1" si="157"/>
        <v>62855</v>
      </c>
      <c r="C575" s="9">
        <f t="shared" si="167"/>
        <v>571</v>
      </c>
      <c r="D575" s="9"/>
      <c r="E575" s="13">
        <f t="shared" si="158"/>
        <v>10191.954607301313</v>
      </c>
      <c r="F575" s="14">
        <f t="shared" si="168"/>
        <v>2300371.4659401593</v>
      </c>
      <c r="G575" s="15">
        <f t="shared" si="159"/>
        <v>0.17929300308419271</v>
      </c>
      <c r="H575" s="13">
        <f t="shared" si="170"/>
        <v>563666.50674617849</v>
      </c>
      <c r="I575" s="13">
        <f t="shared" si="160"/>
        <v>54879698.656751357</v>
      </c>
      <c r="J575" s="15">
        <f t="shared" si="155"/>
        <v>0.82070699691580729</v>
      </c>
      <c r="K575" s="13">
        <f t="shared" si="161"/>
        <v>10529864.105829181</v>
      </c>
      <c r="L575" s="13">
        <f t="shared" si="169"/>
        <v>1255088273.3729334</v>
      </c>
      <c r="M575" s="15">
        <f t="shared" si="162"/>
        <v>0.82070699691580729</v>
      </c>
      <c r="N575" s="13">
        <f t="shared" si="171"/>
        <v>210125.85920450496</v>
      </c>
      <c r="O575" s="13">
        <f t="shared" si="163"/>
        <v>44349834.550922126</v>
      </c>
      <c r="P575" s="15">
        <f t="shared" si="156"/>
        <v>0.77561700179381621</v>
      </c>
      <c r="Q575" s="7">
        <f t="shared" si="164"/>
        <v>57180070.122691467</v>
      </c>
      <c r="R575" s="7">
        <f t="shared" si="172"/>
        <v>12830235.57176934</v>
      </c>
      <c r="S575" s="13">
        <f>IF('Calc (3)'!$AD$32="Sim",R575,Q575)</f>
        <v>12830235.57176934</v>
      </c>
      <c r="T575" s="9">
        <f t="shared" si="165"/>
        <v>571</v>
      </c>
      <c r="U575" s="17">
        <f t="shared" ca="1" si="166"/>
        <v>62884</v>
      </c>
    </row>
    <row r="576" spans="2:21" x14ac:dyDescent="0.2">
      <c r="B576" s="17">
        <f t="shared" ca="1" si="157"/>
        <v>62884</v>
      </c>
      <c r="C576" s="9">
        <f t="shared" si="167"/>
        <v>572</v>
      </c>
      <c r="D576" s="9"/>
      <c r="E576" s="13">
        <f t="shared" si="158"/>
        <v>10233.477891968783</v>
      </c>
      <c r="F576" s="14">
        <f t="shared" si="168"/>
        <v>2310604.9438321278</v>
      </c>
      <c r="G576" s="15">
        <f t="shared" si="159"/>
        <v>0.17882764540515442</v>
      </c>
      <c r="H576" s="13">
        <f t="shared" si="170"/>
        <v>569380.80531491281</v>
      </c>
      <c r="I576" s="13">
        <f t="shared" si="160"/>
        <v>55449079.46206627</v>
      </c>
      <c r="J576" s="15">
        <f t="shared" si="155"/>
        <v>0.82117235459484561</v>
      </c>
      <c r="K576" s="13">
        <f t="shared" si="161"/>
        <v>10610243.723593924</v>
      </c>
      <c r="L576" s="13">
        <f t="shared" si="169"/>
        <v>1265698517.0965273</v>
      </c>
      <c r="M576" s="15">
        <f t="shared" si="162"/>
        <v>0.82117235459484561</v>
      </c>
      <c r="N576" s="13">
        <f t="shared" si="171"/>
        <v>212255.83122106106</v>
      </c>
      <c r="O576" s="13">
        <f t="shared" si="163"/>
        <v>44838835.738472298</v>
      </c>
      <c r="P576" s="15">
        <f t="shared" si="156"/>
        <v>0.77629987420591606</v>
      </c>
      <c r="Q576" s="7">
        <f t="shared" si="164"/>
        <v>57759684.405898347</v>
      </c>
      <c r="R576" s="7">
        <f t="shared" si="172"/>
        <v>12920848.667426052</v>
      </c>
      <c r="S576" s="13">
        <f>IF('Calc (3)'!$AD$32="Sim",R576,Q576)</f>
        <v>12920848.667426052</v>
      </c>
      <c r="T576" s="9">
        <f t="shared" si="165"/>
        <v>572</v>
      </c>
      <c r="U576" s="17">
        <f t="shared" ca="1" si="166"/>
        <v>62915</v>
      </c>
    </row>
    <row r="577" spans="2:21" x14ac:dyDescent="0.2">
      <c r="B577" s="17">
        <f t="shared" ca="1" si="157"/>
        <v>62915</v>
      </c>
      <c r="C577" s="9">
        <f t="shared" si="167"/>
        <v>573</v>
      </c>
      <c r="D577" s="9"/>
      <c r="E577" s="13">
        <f t="shared" si="158"/>
        <v>10275.170347637893</v>
      </c>
      <c r="F577" s="14">
        <f t="shared" si="168"/>
        <v>2320880.1141797658</v>
      </c>
      <c r="G577" s="15">
        <f t="shared" si="159"/>
        <v>0.17836362285889706</v>
      </c>
      <c r="H577" s="13">
        <f t="shared" si="170"/>
        <v>575152.41851224238</v>
      </c>
      <c r="I577" s="13">
        <f t="shared" si="160"/>
        <v>56024231.88057851</v>
      </c>
      <c r="J577" s="15">
        <f t="shared" si="155"/>
        <v>0.82163637714110294</v>
      </c>
      <c r="K577" s="13">
        <f t="shared" si="161"/>
        <v>10691190.828199595</v>
      </c>
      <c r="L577" s="13">
        <f t="shared" si="169"/>
        <v>1276389707.924727</v>
      </c>
      <c r="M577" s="15">
        <f t="shared" si="162"/>
        <v>0.82163637714110294</v>
      </c>
      <c r="N577" s="13">
        <f t="shared" si="171"/>
        <v>214407.16602787844</v>
      </c>
      <c r="O577" s="13">
        <f t="shared" si="163"/>
        <v>45333041.052378863</v>
      </c>
      <c r="P577" s="15">
        <f t="shared" si="156"/>
        <v>0.7769809586868498</v>
      </c>
      <c r="Q577" s="7">
        <f t="shared" si="164"/>
        <v>58345111.994758226</v>
      </c>
      <c r="R577" s="7">
        <f t="shared" si="172"/>
        <v>13012070.942379361</v>
      </c>
      <c r="S577" s="13">
        <f>IF('Calc (3)'!$AD$32="Sim",R577,Q577)</f>
        <v>13012070.942379361</v>
      </c>
      <c r="T577" s="9">
        <f t="shared" si="165"/>
        <v>573</v>
      </c>
      <c r="U577" s="17">
        <f t="shared" ca="1" si="166"/>
        <v>62945</v>
      </c>
    </row>
    <row r="578" spans="2:21" x14ac:dyDescent="0.2">
      <c r="B578" s="17">
        <f t="shared" ca="1" si="157"/>
        <v>62945</v>
      </c>
      <c r="C578" s="9">
        <f t="shared" si="167"/>
        <v>574</v>
      </c>
      <c r="D578" s="9"/>
      <c r="E578" s="13">
        <f t="shared" si="158"/>
        <v>10317.032663532244</v>
      </c>
      <c r="F578" s="14">
        <f t="shared" si="168"/>
        <v>2331197.1468432979</v>
      </c>
      <c r="G578" s="15">
        <f t="shared" si="159"/>
        <v>0.17790093114792221</v>
      </c>
      <c r="H578" s="13">
        <f t="shared" si="170"/>
        <v>580981.91874341341</v>
      </c>
      <c r="I578" s="13">
        <f t="shared" si="160"/>
        <v>56605213.799321927</v>
      </c>
      <c r="J578" s="15">
        <f t="shared" si="155"/>
        <v>0.82209906885207773</v>
      </c>
      <c r="K578" s="13">
        <f t="shared" si="161"/>
        <v>10772709.234090364</v>
      </c>
      <c r="L578" s="13">
        <f t="shared" si="169"/>
        <v>1287162417.1588173</v>
      </c>
      <c r="M578" s="15">
        <f t="shared" si="162"/>
        <v>0.82209906885207784</v>
      </c>
      <c r="N578" s="13">
        <f t="shared" si="171"/>
        <v>216580.07697297714</v>
      </c>
      <c r="O578" s="13">
        <f t="shared" si="163"/>
        <v>45832504.565231517</v>
      </c>
      <c r="P578" s="15">
        <f t="shared" si="156"/>
        <v>0.77766025839436881</v>
      </c>
      <c r="Q578" s="7">
        <f t="shared" si="164"/>
        <v>58936410.946165174</v>
      </c>
      <c r="R578" s="7">
        <f t="shared" si="172"/>
        <v>13103906.380933661</v>
      </c>
      <c r="S578" s="13">
        <f>IF('Calc (3)'!$AD$32="Sim",R578,Q578)</f>
        <v>13103906.380933661</v>
      </c>
      <c r="T578" s="9">
        <f t="shared" si="165"/>
        <v>574</v>
      </c>
      <c r="U578" s="17">
        <f t="shared" ca="1" si="166"/>
        <v>62976</v>
      </c>
    </row>
    <row r="579" spans="2:21" x14ac:dyDescent="0.2">
      <c r="B579" s="17">
        <f t="shared" ca="1" si="157"/>
        <v>62976</v>
      </c>
      <c r="C579" s="9">
        <f t="shared" si="167"/>
        <v>575</v>
      </c>
      <c r="D579" s="9"/>
      <c r="E579" s="13">
        <f t="shared" si="158"/>
        <v>10359.065531683416</v>
      </c>
      <c r="F579" s="14">
        <f t="shared" si="168"/>
        <v>2341556.2123749815</v>
      </c>
      <c r="G579" s="15">
        <f t="shared" si="159"/>
        <v>0.17743956599025315</v>
      </c>
      <c r="H579" s="13">
        <f t="shared" si="170"/>
        <v>586869.88412036293</v>
      </c>
      <c r="I579" s="13">
        <f t="shared" si="160"/>
        <v>57192083.683442287</v>
      </c>
      <c r="J579" s="15">
        <f t="shared" si="155"/>
        <v>0.82256043400974688</v>
      </c>
      <c r="K579" s="13">
        <f t="shared" si="161"/>
        <v>10854802.780655945</v>
      </c>
      <c r="L579" s="13">
        <f t="shared" si="169"/>
        <v>1298017219.9394732</v>
      </c>
      <c r="M579" s="15">
        <f t="shared" si="162"/>
        <v>0.82256043400974688</v>
      </c>
      <c r="N579" s="13">
        <f t="shared" si="171"/>
        <v>218774.77953137149</v>
      </c>
      <c r="O579" s="13">
        <f t="shared" si="163"/>
        <v>46337280.902786292</v>
      </c>
      <c r="P579" s="15">
        <f t="shared" si="156"/>
        <v>0.77833777648864888</v>
      </c>
      <c r="Q579" s="7">
        <f t="shared" si="164"/>
        <v>59533639.89581722</v>
      </c>
      <c r="R579" s="7">
        <f t="shared" si="172"/>
        <v>13196358.993030926</v>
      </c>
      <c r="S579" s="13">
        <f>IF('Calc (3)'!$AD$32="Sim",R579,Q579)</f>
        <v>13196358.993030926</v>
      </c>
      <c r="T579" s="9">
        <f t="shared" si="165"/>
        <v>575</v>
      </c>
      <c r="U579" s="17">
        <f t="shared" ca="1" si="166"/>
        <v>63006</v>
      </c>
    </row>
    <row r="580" spans="2:21" x14ac:dyDescent="0.2">
      <c r="B580" s="17">
        <f t="shared" ca="1" si="157"/>
        <v>63006</v>
      </c>
      <c r="C580" s="9">
        <f t="shared" si="167"/>
        <v>576</v>
      </c>
      <c r="D580" s="9">
        <v>48</v>
      </c>
      <c r="E580" s="13">
        <f t="shared" si="158"/>
        <v>10401.269646942419</v>
      </c>
      <c r="F580" s="14">
        <f t="shared" si="168"/>
        <v>2351957.4820219241</v>
      </c>
      <c r="G580" s="15">
        <f t="shared" si="159"/>
        <v>0.17697952311937171</v>
      </c>
      <c r="H580" s="13">
        <f t="shared" si="170"/>
        <v>592816.89851857221</v>
      </c>
      <c r="I580" s="13">
        <f t="shared" si="160"/>
        <v>57784900.581960857</v>
      </c>
      <c r="J580" s="15">
        <f t="shared" si="155"/>
        <v>0.82302047688062829</v>
      </c>
      <c r="K580" s="13">
        <f t="shared" si="161"/>
        <v>10937475.332392102</v>
      </c>
      <c r="L580" s="13">
        <f t="shared" si="169"/>
        <v>1308954695.2718654</v>
      </c>
      <c r="M580" s="15">
        <f t="shared" si="162"/>
        <v>0.82302047688062829</v>
      </c>
      <c r="N580" s="13">
        <f t="shared" si="171"/>
        <v>220991.49132626041</v>
      </c>
      <c r="O580" s="13">
        <f t="shared" si="163"/>
        <v>46847425.249568708</v>
      </c>
      <c r="P580" s="15">
        <f t="shared" si="156"/>
        <v>0.77901351613224112</v>
      </c>
      <c r="Q580" s="7">
        <f t="shared" si="164"/>
        <v>60136858.063982733</v>
      </c>
      <c r="R580" s="7">
        <f t="shared" si="172"/>
        <v>13289432.814414026</v>
      </c>
      <c r="S580" s="13">
        <f>IF('Calc (3)'!$AD$32="Sim",R580,Q580)</f>
        <v>13289432.814414026</v>
      </c>
      <c r="T580" s="9">
        <f t="shared" si="165"/>
        <v>576</v>
      </c>
      <c r="U580" s="17">
        <f t="shared" ca="1" si="166"/>
        <v>63037</v>
      </c>
    </row>
    <row r="581" spans="2:21" x14ac:dyDescent="0.2">
      <c r="B581" s="17">
        <f t="shared" ca="1" si="157"/>
        <v>63037</v>
      </c>
      <c r="C581" s="9">
        <f t="shared" si="167"/>
        <v>577</v>
      </c>
      <c r="D581" s="9"/>
      <c r="E581" s="13">
        <f t="shared" si="158"/>
        <v>10443.645706991167</v>
      </c>
      <c r="F581" s="14">
        <f t="shared" si="168"/>
        <v>2362401.1277289153</v>
      </c>
      <c r="G581" s="15">
        <f t="shared" si="159"/>
        <v>0.17652079828415546</v>
      </c>
      <c r="H581" s="13">
        <f t="shared" si="170"/>
        <v>598823.55163448653</v>
      </c>
      <c r="I581" s="13">
        <f t="shared" si="160"/>
        <v>58383724.13359534</v>
      </c>
      <c r="J581" s="15">
        <f t="shared" ref="J581:J604" si="173">1-G581</f>
        <v>0.82347920171584454</v>
      </c>
      <c r="K581" s="13">
        <f t="shared" si="161"/>
        <v>11020730.779062178</v>
      </c>
      <c r="L581" s="13">
        <f t="shared" si="169"/>
        <v>1319975426.0509276</v>
      </c>
      <c r="M581" s="15">
        <f t="shared" si="162"/>
        <v>0.82347920171584454</v>
      </c>
      <c r="N581" s="13">
        <f t="shared" si="171"/>
        <v>223230.43215042868</v>
      </c>
      <c r="O581" s="13">
        <f t="shared" si="163"/>
        <v>47362993.354533114</v>
      </c>
      <c r="P581" s="15">
        <f t="shared" ref="P581:P604" si="174">O581/Q581</f>
        <v>0.77968748049002146</v>
      </c>
      <c r="Q581" s="7">
        <f t="shared" si="164"/>
        <v>60746125.261324205</v>
      </c>
      <c r="R581" s="7">
        <f t="shared" si="172"/>
        <v>13383131.906791093</v>
      </c>
      <c r="S581" s="13">
        <f>IF('Calc (3)'!$AD$32="Sim",R581,Q581)</f>
        <v>13383131.906791093</v>
      </c>
      <c r="T581" s="9">
        <f t="shared" si="165"/>
        <v>577</v>
      </c>
      <c r="U581" s="17">
        <f t="shared" ca="1" si="166"/>
        <v>63068</v>
      </c>
    </row>
    <row r="582" spans="2:21" x14ac:dyDescent="0.2">
      <c r="B582" s="17">
        <f t="shared" ref="B582:B604" ca="1" si="175">DATE(YEAR(B581),MONTH(B581)+1,1)</f>
        <v>63068</v>
      </c>
      <c r="C582" s="9">
        <f t="shared" si="167"/>
        <v>578</v>
      </c>
      <c r="D582" s="9"/>
      <c r="E582" s="13">
        <f t="shared" ref="E582:E604" si="176">IF($AE$33,IF($AE$34,$E581*(1+Inflação_3)*(1+Crescimento_Salário_3),$E581*(1+Inflação_3)),IF($AE$34,$E581*(1+Crescimento_Salário_3),$E581))</f>
        <v>10486.194412354016</v>
      </c>
      <c r="F582" s="14">
        <f t="shared" si="168"/>
        <v>2372887.3221412692</v>
      </c>
      <c r="G582" s="15">
        <f t="shared" ref="G582:G604" si="177">IF(F582&lt;=0,0,F582/S582)</f>
        <v>0.17606338724881507</v>
      </c>
      <c r="H582" s="13">
        <f t="shared" si="170"/>
        <v>604890.43904350675</v>
      </c>
      <c r="I582" s="13">
        <f t="shared" ref="I582:I604" si="178">I581+H582</f>
        <v>58988614.572638847</v>
      </c>
      <c r="J582" s="15">
        <f t="shared" si="173"/>
        <v>0.8239366127511849</v>
      </c>
      <c r="K582" s="13">
        <f t="shared" ref="K582:K604" si="179">R582-F582</f>
        <v>11104573.035859648</v>
      </c>
      <c r="L582" s="13">
        <f t="shared" si="169"/>
        <v>1331079999.0867872</v>
      </c>
      <c r="M582" s="15">
        <f t="shared" ref="M582:M604" si="180">K582/R582</f>
        <v>0.8239366127511849</v>
      </c>
      <c r="N582" s="13">
        <f t="shared" si="171"/>
        <v>225491.82398786145</v>
      </c>
      <c r="O582" s="13">
        <f t="shared" ref="O582:O604" si="181">Q582-R582</f>
        <v>47884041.536779143</v>
      </c>
      <c r="P582" s="15">
        <f t="shared" si="174"/>
        <v>0.78035967272914109</v>
      </c>
      <c r="Q582" s="7">
        <f t="shared" ref="Q582:Q604" si="182">Q581+E582+H582</f>
        <v>61361501.894780062</v>
      </c>
      <c r="R582" s="7">
        <f t="shared" si="172"/>
        <v>13477460.358000917</v>
      </c>
      <c r="S582" s="13">
        <f>IF('Calc (3)'!$AD$32="Sim",R582,Q582)</f>
        <v>13477460.358000917</v>
      </c>
      <c r="T582" s="9">
        <f t="shared" ref="T582:T604" si="183">C582</f>
        <v>578</v>
      </c>
      <c r="U582" s="17">
        <f t="shared" ref="U582:U604" ca="1" si="184">DATE(YEAR(U581),MONTH(U581)+1,1)</f>
        <v>63098</v>
      </c>
    </row>
    <row r="583" spans="2:21" x14ac:dyDescent="0.2">
      <c r="B583" s="17">
        <f t="shared" ca="1" si="175"/>
        <v>63098</v>
      </c>
      <c r="C583" s="9">
        <f t="shared" ref="C583:C604" si="185">C582+1</f>
        <v>579</v>
      </c>
      <c r="D583" s="9"/>
      <c r="E583" s="13">
        <f t="shared" si="176"/>
        <v>10528.916466409348</v>
      </c>
      <c r="F583" s="14">
        <f t="shared" ref="F583:F604" si="186">F582+E583</f>
        <v>2383416.2386076786</v>
      </c>
      <c r="G583" s="15">
        <f t="shared" si="177"/>
        <v>0.17560728579283202</v>
      </c>
      <c r="H583" s="13">
        <f t="shared" si="170"/>
        <v>611018.16225855798</v>
      </c>
      <c r="I583" s="13">
        <f t="shared" si="178"/>
        <v>59599632.734897405</v>
      </c>
      <c r="J583" s="15">
        <f t="shared" si="173"/>
        <v>0.82439271420716798</v>
      </c>
      <c r="K583" s="13">
        <f t="shared" si="179"/>
        <v>11189006.043571718</v>
      </c>
      <c r="L583" s="13">
        <f t="shared" ref="L583:L604" si="187">L582+K583</f>
        <v>1342269005.1303589</v>
      </c>
      <c r="M583" s="15">
        <f t="shared" si="180"/>
        <v>0.82439271420716798</v>
      </c>
      <c r="N583" s="13">
        <f t="shared" si="171"/>
        <v>227775.89103557402</v>
      </c>
      <c r="O583" s="13">
        <f t="shared" si="181"/>
        <v>48410626.691325635</v>
      </c>
      <c r="P583" s="15">
        <f t="shared" si="174"/>
        <v>0.78103009601897777</v>
      </c>
      <c r="Q583" s="7">
        <f t="shared" si="182"/>
        <v>61983048.973505028</v>
      </c>
      <c r="R583" s="7">
        <f t="shared" si="172"/>
        <v>13572422.282179397</v>
      </c>
      <c r="S583" s="13">
        <f>IF('Calc (3)'!$AD$32="Sim",R583,Q583)</f>
        <v>13572422.282179397</v>
      </c>
      <c r="T583" s="9">
        <f t="shared" si="183"/>
        <v>579</v>
      </c>
      <c r="U583" s="17">
        <f t="shared" ca="1" si="184"/>
        <v>63129</v>
      </c>
    </row>
    <row r="584" spans="2:21" x14ac:dyDescent="0.2">
      <c r="B584" s="17">
        <f t="shared" ca="1" si="175"/>
        <v>63129</v>
      </c>
      <c r="C584" s="9">
        <f t="shared" si="185"/>
        <v>580</v>
      </c>
      <c r="D584" s="9"/>
      <c r="E584" s="13">
        <f t="shared" si="176"/>
        <v>10571.812575401193</v>
      </c>
      <c r="F584" s="14">
        <f t="shared" si="186"/>
        <v>2393988.0511830798</v>
      </c>
      <c r="G584" s="15">
        <f t="shared" si="177"/>
        <v>0.17515248971089661</v>
      </c>
      <c r="H584" s="13">
        <f t="shared" si="170"/>
        <v>617207.32878924243</v>
      </c>
      <c r="I584" s="13">
        <f t="shared" si="178"/>
        <v>60216840.063686647</v>
      </c>
      <c r="J584" s="15">
        <f t="shared" si="173"/>
        <v>0.82484751028910341</v>
      </c>
      <c r="K584" s="13">
        <f t="shared" si="179"/>
        <v>11274033.768743951</v>
      </c>
      <c r="L584" s="13">
        <f t="shared" si="187"/>
        <v>1353543038.8991029</v>
      </c>
      <c r="M584" s="15">
        <f t="shared" si="180"/>
        <v>0.8248475102891033</v>
      </c>
      <c r="N584" s="13">
        <f t="shared" si="171"/>
        <v>230082.85972565896</v>
      </c>
      <c r="O584" s="13">
        <f t="shared" si="181"/>
        <v>48942806.29494264</v>
      </c>
      <c r="P584" s="15">
        <f t="shared" si="174"/>
        <v>0.78169875353108509</v>
      </c>
      <c r="Q584" s="7">
        <f t="shared" si="182"/>
        <v>62610828.114869669</v>
      </c>
      <c r="R584" s="7">
        <f t="shared" si="172"/>
        <v>13668021.819927031</v>
      </c>
      <c r="S584" s="13">
        <f>IF('Calc (3)'!$AD$32="Sim",R584,Q584)</f>
        <v>13668021.819927031</v>
      </c>
      <c r="T584" s="9">
        <f t="shared" si="183"/>
        <v>580</v>
      </c>
      <c r="U584" s="17">
        <f t="shared" ca="1" si="184"/>
        <v>63159</v>
      </c>
    </row>
    <row r="585" spans="2:21" x14ac:dyDescent="0.2">
      <c r="B585" s="17">
        <f t="shared" ca="1" si="175"/>
        <v>63159</v>
      </c>
      <c r="C585" s="9">
        <f t="shared" si="185"/>
        <v>581</v>
      </c>
      <c r="D585" s="9"/>
      <c r="E585" s="13">
        <f t="shared" si="176"/>
        <v>10614.883448450908</v>
      </c>
      <c r="F585" s="14">
        <f t="shared" si="186"/>
        <v>2404602.9346315307</v>
      </c>
      <c r="G585" s="15">
        <f t="shared" si="177"/>
        <v>0.17469899481284637</v>
      </c>
      <c r="H585" s="13">
        <f t="shared" si="170"/>
        <v>623458.55220158061</v>
      </c>
      <c r="I585" s="13">
        <f t="shared" si="178"/>
        <v>60840298.615888231</v>
      </c>
      <c r="J585" s="15">
        <f t="shared" si="173"/>
        <v>0.82530100518715366</v>
      </c>
      <c r="K585" s="13">
        <f t="shared" si="179"/>
        <v>11359660.203845955</v>
      </c>
      <c r="L585" s="13">
        <f t="shared" si="187"/>
        <v>1364902699.1029489</v>
      </c>
      <c r="M585" s="15">
        <f t="shared" si="180"/>
        <v>0.82530100518715366</v>
      </c>
      <c r="N585" s="13">
        <f t="shared" si="171"/>
        <v>232412.958747553</v>
      </c>
      <c r="O585" s="13">
        <f t="shared" si="181"/>
        <v>49480638.412042215</v>
      </c>
      <c r="P585" s="15">
        <f t="shared" si="174"/>
        <v>0.78236564843914469</v>
      </c>
      <c r="Q585" s="7">
        <f t="shared" si="182"/>
        <v>63244901.550519705</v>
      </c>
      <c r="R585" s="7">
        <f t="shared" si="172"/>
        <v>13764263.138477486</v>
      </c>
      <c r="S585" s="13">
        <f>IF('Calc (3)'!$AD$32="Sim",R585,Q585)</f>
        <v>13764263.138477486</v>
      </c>
      <c r="T585" s="9">
        <f t="shared" si="183"/>
        <v>581</v>
      </c>
      <c r="U585" s="17">
        <f t="shared" ca="1" si="184"/>
        <v>63190</v>
      </c>
    </row>
    <row r="586" spans="2:21" x14ac:dyDescent="0.2">
      <c r="B586" s="17">
        <f t="shared" ca="1" si="175"/>
        <v>63190</v>
      </c>
      <c r="C586" s="9">
        <f t="shared" si="185"/>
        <v>582</v>
      </c>
      <c r="D586" s="9"/>
      <c r="E586" s="13">
        <f t="shared" si="176"/>
        <v>10658.129797568898</v>
      </c>
      <c r="F586" s="14">
        <f t="shared" si="186"/>
        <v>2415261.0644290997</v>
      </c>
      <c r="G586" s="15">
        <f t="shared" si="177"/>
        <v>0.17424679692360445</v>
      </c>
      <c r="H586" s="13">
        <f t="shared" si="170"/>
        <v>629772.45217834786</v>
      </c>
      <c r="I586" s="13">
        <f t="shared" si="178"/>
        <v>61470071.068066582</v>
      </c>
      <c r="J586" s="15">
        <f t="shared" si="173"/>
        <v>0.82575320307639555</v>
      </c>
      <c r="K586" s="13">
        <f t="shared" si="179"/>
        <v>11445889.367438119</v>
      </c>
      <c r="L586" s="13">
        <f t="shared" si="187"/>
        <v>1376348588.470387</v>
      </c>
      <c r="M586" s="15">
        <f t="shared" si="180"/>
        <v>0.82575320307639544</v>
      </c>
      <c r="N586" s="13">
        <f t="shared" si="171"/>
        <v>234766.41907052539</v>
      </c>
      <c r="O586" s="13">
        <f t="shared" si="181"/>
        <v>50024181.700628407</v>
      </c>
      <c r="P586" s="15">
        <f t="shared" si="174"/>
        <v>0.78303078391891667</v>
      </c>
      <c r="Q586" s="7">
        <f t="shared" si="182"/>
        <v>63885332.132495627</v>
      </c>
      <c r="R586" s="7">
        <f t="shared" si="172"/>
        <v>13861150.43186722</v>
      </c>
      <c r="S586" s="13">
        <f>IF('Calc (3)'!$AD$32="Sim",R586,Q586)</f>
        <v>13861150.43186722</v>
      </c>
      <c r="T586" s="9">
        <f t="shared" si="183"/>
        <v>582</v>
      </c>
      <c r="U586" s="17">
        <f t="shared" ca="1" si="184"/>
        <v>63221</v>
      </c>
    </row>
    <row r="587" spans="2:21" x14ac:dyDescent="0.2">
      <c r="B587" s="17">
        <f t="shared" ca="1" si="175"/>
        <v>63221</v>
      </c>
      <c r="C587" s="9">
        <f t="shared" si="185"/>
        <v>583</v>
      </c>
      <c r="D587" s="9"/>
      <c r="E587" s="13">
        <f t="shared" si="176"/>
        <v>10701.552337666384</v>
      </c>
      <c r="F587" s="14">
        <f t="shared" si="186"/>
        <v>2425962.6167667662</v>
      </c>
      <c r="G587" s="15">
        <f t="shared" si="177"/>
        <v>0.17379589188311875</v>
      </c>
      <c r="H587" s="13">
        <f t="shared" si="170"/>
        <v>636149.65458001185</v>
      </c>
      <c r="I587" s="13">
        <f t="shared" si="178"/>
        <v>62106220.722646594</v>
      </c>
      <c r="J587" s="15">
        <f t="shared" si="173"/>
        <v>0.82620410811688128</v>
      </c>
      <c r="K587" s="13">
        <f t="shared" si="179"/>
        <v>11532725.30433942</v>
      </c>
      <c r="L587" s="13">
        <f t="shared" si="187"/>
        <v>1387881313.7747264</v>
      </c>
      <c r="M587" s="15">
        <f t="shared" si="180"/>
        <v>0.82620410811688128</v>
      </c>
      <c r="N587" s="13">
        <f t="shared" si="171"/>
        <v>237143.47396639039</v>
      </c>
      <c r="O587" s="13">
        <f t="shared" si="181"/>
        <v>50573495.418307126</v>
      </c>
      <c r="P587" s="15">
        <f t="shared" si="174"/>
        <v>0.78369416314819074</v>
      </c>
      <c r="Q587" s="7">
        <f t="shared" si="182"/>
        <v>64532183.339413308</v>
      </c>
      <c r="R587" s="7">
        <f t="shared" si="172"/>
        <v>13958687.921106186</v>
      </c>
      <c r="S587" s="13">
        <f>IF('Calc (3)'!$AD$32="Sim",R587,Q587)</f>
        <v>13958687.921106186</v>
      </c>
      <c r="T587" s="9">
        <f t="shared" si="183"/>
        <v>583</v>
      </c>
      <c r="U587" s="17">
        <f t="shared" ca="1" si="184"/>
        <v>63249</v>
      </c>
    </row>
    <row r="588" spans="2:21" x14ac:dyDescent="0.2">
      <c r="B588" s="17">
        <f t="shared" ca="1" si="175"/>
        <v>63249</v>
      </c>
      <c r="C588" s="9">
        <f t="shared" si="185"/>
        <v>584</v>
      </c>
      <c r="D588" s="9"/>
      <c r="E588" s="13">
        <f t="shared" si="176"/>
        <v>10745.151786567229</v>
      </c>
      <c r="F588" s="14">
        <f t="shared" si="186"/>
        <v>2436707.7685533334</v>
      </c>
      <c r="G588" s="15">
        <f t="shared" si="177"/>
        <v>0.17334627554630086</v>
      </c>
      <c r="H588" s="13">
        <f t="shared" si="170"/>
        <v>642590.79150627728</v>
      </c>
      <c r="I588" s="13">
        <f t="shared" si="178"/>
        <v>62748811.51415287</v>
      </c>
      <c r="J588" s="15">
        <f t="shared" si="173"/>
        <v>0.82665372445369911</v>
      </c>
      <c r="K588" s="13">
        <f t="shared" si="179"/>
        <v>11620172.085796278</v>
      </c>
      <c r="L588" s="13">
        <f t="shared" si="187"/>
        <v>1399501485.8605227</v>
      </c>
      <c r="M588" s="15">
        <f t="shared" si="180"/>
        <v>0.82665372445369911</v>
      </c>
      <c r="N588" s="13">
        <f t="shared" si="171"/>
        <v>239544.3590324462</v>
      </c>
      <c r="O588" s="13">
        <f t="shared" si="181"/>
        <v>51128639.428356536</v>
      </c>
      <c r="P588" s="15">
        <f t="shared" si="174"/>
        <v>0.78435578930673744</v>
      </c>
      <c r="Q588" s="7">
        <f t="shared" si="182"/>
        <v>65185519.282706149</v>
      </c>
      <c r="R588" s="7">
        <f t="shared" si="172"/>
        <v>14056879.854349611</v>
      </c>
      <c r="S588" s="13">
        <f>IF('Calc (3)'!$AD$32="Sim",R588,Q588)</f>
        <v>14056879.854349611</v>
      </c>
      <c r="T588" s="9">
        <f t="shared" si="183"/>
        <v>584</v>
      </c>
      <c r="U588" s="17">
        <f t="shared" ca="1" si="184"/>
        <v>63280</v>
      </c>
    </row>
    <row r="589" spans="2:21" x14ac:dyDescent="0.2">
      <c r="B589" s="17">
        <f t="shared" ca="1" si="175"/>
        <v>63280</v>
      </c>
      <c r="C589" s="9">
        <f t="shared" si="185"/>
        <v>585</v>
      </c>
      <c r="D589" s="9"/>
      <c r="E589" s="13">
        <f t="shared" si="176"/>
        <v>10788.928865019794</v>
      </c>
      <c r="F589" s="14">
        <f t="shared" si="186"/>
        <v>2447496.6974183531</v>
      </c>
      <c r="G589" s="15">
        <f t="shared" si="177"/>
        <v>0.17289794378296583</v>
      </c>
      <c r="H589" s="13">
        <f t="shared" si="170"/>
        <v>649096.50135824247</v>
      </c>
      <c r="I589" s="13">
        <f t="shared" si="178"/>
        <v>63397908.01551111</v>
      </c>
      <c r="J589" s="15">
        <f t="shared" si="173"/>
        <v>0.82710205621703414</v>
      </c>
      <c r="K589" s="13">
        <f t="shared" si="179"/>
        <v>11708233.809652513</v>
      </c>
      <c r="L589" s="13">
        <f t="shared" si="187"/>
        <v>1411209719.6701753</v>
      </c>
      <c r="M589" s="15">
        <f t="shared" si="180"/>
        <v>0.82710205621703414</v>
      </c>
      <c r="N589" s="13">
        <f t="shared" si="171"/>
        <v>241969.31221464198</v>
      </c>
      <c r="O589" s="13">
        <f t="shared" si="181"/>
        <v>51689674.205858544</v>
      </c>
      <c r="P589" s="15">
        <f t="shared" si="174"/>
        <v>0.78501566557626079</v>
      </c>
      <c r="Q589" s="7">
        <f t="shared" si="182"/>
        <v>65845404.712929413</v>
      </c>
      <c r="R589" s="7">
        <f t="shared" si="172"/>
        <v>14155730.507070865</v>
      </c>
      <c r="S589" s="13">
        <f>IF('Calc (3)'!$AD$32="Sim",R589,Q589)</f>
        <v>14155730.507070865</v>
      </c>
      <c r="T589" s="9">
        <f t="shared" si="183"/>
        <v>585</v>
      </c>
      <c r="U589" s="17">
        <f t="shared" ca="1" si="184"/>
        <v>63310</v>
      </c>
    </row>
    <row r="590" spans="2:21" x14ac:dyDescent="0.2">
      <c r="B590" s="17">
        <f t="shared" ca="1" si="175"/>
        <v>63310</v>
      </c>
      <c r="C590" s="9">
        <f t="shared" si="185"/>
        <v>586</v>
      </c>
      <c r="D590" s="9"/>
      <c r="E590" s="13">
        <f t="shared" si="176"/>
        <v>10832.884296708862</v>
      </c>
      <c r="F590" s="14">
        <f t="shared" si="186"/>
        <v>2458329.5817150618</v>
      </c>
      <c r="G590" s="15">
        <f t="shared" si="177"/>
        <v>0.17245089247777168</v>
      </c>
      <c r="H590" s="13">
        <f t="shared" si="170"/>
        <v>655667.42890117667</v>
      </c>
      <c r="I590" s="13">
        <f t="shared" si="178"/>
        <v>64053575.444412284</v>
      </c>
      <c r="J590" s="15">
        <f t="shared" si="173"/>
        <v>0.82754910752222832</v>
      </c>
      <c r="K590" s="13">
        <f t="shared" si="179"/>
        <v>11796914.600520365</v>
      </c>
      <c r="L590" s="13">
        <f t="shared" si="187"/>
        <v>1423006634.2706957</v>
      </c>
      <c r="M590" s="15">
        <f t="shared" si="180"/>
        <v>0.82754910752222832</v>
      </c>
      <c r="N590" s="13">
        <f t="shared" si="171"/>
        <v>244418.57383097566</v>
      </c>
      <c r="O590" s="13">
        <f t="shared" si="181"/>
        <v>52256660.843891867</v>
      </c>
      <c r="P590" s="15">
        <f t="shared" si="174"/>
        <v>0.78567379514034874</v>
      </c>
      <c r="Q590" s="7">
        <f t="shared" si="182"/>
        <v>66511905.026127294</v>
      </c>
      <c r="R590" s="7">
        <f t="shared" si="172"/>
        <v>14255244.182235427</v>
      </c>
      <c r="S590" s="13">
        <f>IF('Calc (3)'!$AD$32="Sim",R590,Q590)</f>
        <v>14255244.182235427</v>
      </c>
      <c r="T590" s="9">
        <f t="shared" si="183"/>
        <v>586</v>
      </c>
      <c r="U590" s="17">
        <f t="shared" ca="1" si="184"/>
        <v>63341</v>
      </c>
    </row>
    <row r="591" spans="2:21" x14ac:dyDescent="0.2">
      <c r="B591" s="17">
        <f t="shared" ca="1" si="175"/>
        <v>63341</v>
      </c>
      <c r="C591" s="9">
        <f t="shared" si="185"/>
        <v>587</v>
      </c>
      <c r="D591" s="9"/>
      <c r="E591" s="13">
        <f t="shared" si="176"/>
        <v>10877.018808267594</v>
      </c>
      <c r="F591" s="14">
        <f t="shared" si="186"/>
        <v>2469206.6005233293</v>
      </c>
      <c r="G591" s="15">
        <f t="shared" si="177"/>
        <v>0.17200511753015954</v>
      </c>
      <c r="H591" s="13">
        <f t="shared" si="170"/>
        <v>662304.22532792063</v>
      </c>
      <c r="I591" s="13">
        <f t="shared" si="178"/>
        <v>64715879.669740207</v>
      </c>
      <c r="J591" s="15">
        <f t="shared" si="173"/>
        <v>0.82799488246984043</v>
      </c>
      <c r="K591" s="13">
        <f t="shared" si="179"/>
        <v>11886218.60995261</v>
      </c>
      <c r="L591" s="13">
        <f t="shared" si="187"/>
        <v>1434892852.8806484</v>
      </c>
      <c r="M591" s="15">
        <f t="shared" si="180"/>
        <v>0.82799488246984043</v>
      </c>
      <c r="N591" s="13">
        <f t="shared" si="171"/>
        <v>246892.38659512508</v>
      </c>
      <c r="O591" s="13">
        <f t="shared" si="181"/>
        <v>52829661.059787542</v>
      </c>
      <c r="P591" s="15">
        <f t="shared" si="174"/>
        <v>0.78633018118442555</v>
      </c>
      <c r="Q591" s="7">
        <f t="shared" si="182"/>
        <v>67185086.270263478</v>
      </c>
      <c r="R591" s="7">
        <f t="shared" si="172"/>
        <v>14355425.21047594</v>
      </c>
      <c r="S591" s="13">
        <f>IF('Calc (3)'!$AD$32="Sim",R591,Q591)</f>
        <v>14355425.21047594</v>
      </c>
      <c r="T591" s="9">
        <f t="shared" si="183"/>
        <v>587</v>
      </c>
      <c r="U591" s="17">
        <f t="shared" ca="1" si="184"/>
        <v>63371</v>
      </c>
    </row>
    <row r="592" spans="2:21" x14ac:dyDescent="0.2">
      <c r="B592" s="17">
        <f t="shared" ca="1" si="175"/>
        <v>63371</v>
      </c>
      <c r="C592" s="9">
        <f t="shared" si="185"/>
        <v>588</v>
      </c>
      <c r="D592" s="9">
        <v>49</v>
      </c>
      <c r="E592" s="13">
        <f t="shared" si="176"/>
        <v>10921.333129289547</v>
      </c>
      <c r="F592" s="14">
        <f t="shared" si="186"/>
        <v>2480127.9336526189</v>
      </c>
      <c r="G592" s="15">
        <f t="shared" si="177"/>
        <v>0.17156061485429408</v>
      </c>
      <c r="H592" s="13">
        <f t="shared" si="170"/>
        <v>669007.5483229208</v>
      </c>
      <c r="I592" s="13">
        <f t="shared" si="178"/>
        <v>65384887.218063131</v>
      </c>
      <c r="J592" s="15">
        <f t="shared" si="173"/>
        <v>0.82843938514570592</v>
      </c>
      <c r="K592" s="13">
        <f t="shared" si="179"/>
        <v>11976150.016615771</v>
      </c>
      <c r="L592" s="13">
        <f t="shared" si="187"/>
        <v>1446869002.8972642</v>
      </c>
      <c r="M592" s="15">
        <f t="shared" si="180"/>
        <v>0.82843938514570592</v>
      </c>
      <c r="N592" s="13">
        <f t="shared" si="171"/>
        <v>249390.99564031416</v>
      </c>
      <c r="O592" s="13">
        <f t="shared" si="181"/>
        <v>53408737.201447293</v>
      </c>
      <c r="P592" s="15">
        <f t="shared" si="174"/>
        <v>0.78698482689570404</v>
      </c>
      <c r="Q592" s="7">
        <f t="shared" si="182"/>
        <v>67865015.151715681</v>
      </c>
      <c r="R592" s="7">
        <f t="shared" si="172"/>
        <v>14456277.95026839</v>
      </c>
      <c r="S592" s="13">
        <f>IF('Calc (3)'!$AD$32="Sim",R592,Q592)</f>
        <v>14456277.95026839</v>
      </c>
      <c r="T592" s="9">
        <f t="shared" si="183"/>
        <v>588</v>
      </c>
      <c r="U592" s="17">
        <f t="shared" ca="1" si="184"/>
        <v>63402</v>
      </c>
    </row>
    <row r="593" spans="2:21" x14ac:dyDescent="0.2">
      <c r="B593" s="17">
        <f t="shared" ca="1" si="175"/>
        <v>63402</v>
      </c>
      <c r="C593" s="9">
        <f t="shared" si="185"/>
        <v>589</v>
      </c>
      <c r="D593" s="9"/>
      <c r="E593" s="13">
        <f t="shared" si="176"/>
        <v>10965.827992340732</v>
      </c>
      <c r="F593" s="14">
        <f t="shared" si="186"/>
        <v>2491093.7616449594</v>
      </c>
      <c r="G593" s="15">
        <f t="shared" si="177"/>
        <v>0.17111738037900384</v>
      </c>
      <c r="H593" s="13">
        <f t="shared" si="170"/>
        <v>675778.06212689902</v>
      </c>
      <c r="I593" s="13">
        <f t="shared" si="178"/>
        <v>66060665.280190028</v>
      </c>
      <c r="J593" s="15">
        <f t="shared" si="173"/>
        <v>0.82888261962099619</v>
      </c>
      <c r="K593" s="13">
        <f t="shared" si="179"/>
        <v>12066713.026464436</v>
      </c>
      <c r="L593" s="13">
        <f t="shared" si="187"/>
        <v>1458935715.9237287</v>
      </c>
      <c r="M593" s="15">
        <f t="shared" si="180"/>
        <v>0.82888261962099619</v>
      </c>
      <c r="N593" s="13">
        <f t="shared" si="171"/>
        <v>251914.6485434169</v>
      </c>
      <c r="O593" s="13">
        <f t="shared" si="181"/>
        <v>53993952.253725529</v>
      </c>
      <c r="P593" s="15">
        <f t="shared" si="174"/>
        <v>0.78763773546313764</v>
      </c>
      <c r="Q593" s="7">
        <f t="shared" si="182"/>
        <v>68551759.041834921</v>
      </c>
      <c r="R593" s="7">
        <f t="shared" si="172"/>
        <v>14557806.788109396</v>
      </c>
      <c r="S593" s="13">
        <f>IF('Calc (3)'!$AD$32="Sim",R593,Q593)</f>
        <v>14557806.788109396</v>
      </c>
      <c r="T593" s="9">
        <f t="shared" si="183"/>
        <v>589</v>
      </c>
      <c r="U593" s="17">
        <f t="shared" ca="1" si="184"/>
        <v>63433</v>
      </c>
    </row>
    <row r="594" spans="2:21" x14ac:dyDescent="0.2">
      <c r="B594" s="17">
        <f t="shared" ca="1" si="175"/>
        <v>63433</v>
      </c>
      <c r="C594" s="9">
        <f t="shared" si="185"/>
        <v>590</v>
      </c>
      <c r="D594" s="9"/>
      <c r="E594" s="13">
        <f t="shared" si="176"/>
        <v>11010.504132971724</v>
      </c>
      <c r="F594" s="14">
        <f t="shared" si="186"/>
        <v>2502104.2657779311</v>
      </c>
      <c r="G594" s="15">
        <f t="shared" si="177"/>
        <v>0.17067541004772246</v>
      </c>
      <c r="H594" s="13">
        <f t="shared" si="170"/>
        <v>682616.43760216818</v>
      </c>
      <c r="I594" s="13">
        <f t="shared" si="178"/>
        <v>66743281.717792198</v>
      </c>
      <c r="J594" s="15">
        <f t="shared" si="173"/>
        <v>0.82932458995227754</v>
      </c>
      <c r="K594" s="13">
        <f t="shared" si="179"/>
        <v>12157911.872916678</v>
      </c>
      <c r="L594" s="13">
        <f t="shared" si="187"/>
        <v>1471093627.7966454</v>
      </c>
      <c r="M594" s="15">
        <f t="shared" si="180"/>
        <v>0.82932458995227754</v>
      </c>
      <c r="N594" s="13">
        <f t="shared" si="171"/>
        <v>254463.59534930144</v>
      </c>
      <c r="O594" s="13">
        <f t="shared" si="181"/>
        <v>54585369.844875447</v>
      </c>
      <c r="P594" s="15">
        <f t="shared" si="174"/>
        <v>0.78828891007737312</v>
      </c>
      <c r="Q594" s="7">
        <f t="shared" si="182"/>
        <v>69245385.983570054</v>
      </c>
      <c r="R594" s="7">
        <f t="shared" si="172"/>
        <v>14660016.138694609</v>
      </c>
      <c r="S594" s="13">
        <f>IF('Calc (3)'!$AD$32="Sim",R594,Q594)</f>
        <v>14660016.138694609</v>
      </c>
      <c r="T594" s="9">
        <f t="shared" si="183"/>
        <v>590</v>
      </c>
      <c r="U594" s="17">
        <f t="shared" ca="1" si="184"/>
        <v>63463</v>
      </c>
    </row>
    <row r="595" spans="2:21" x14ac:dyDescent="0.2">
      <c r="B595" s="17">
        <f t="shared" ca="1" si="175"/>
        <v>63463</v>
      </c>
      <c r="C595" s="9">
        <f t="shared" si="185"/>
        <v>591</v>
      </c>
      <c r="D595" s="9"/>
      <c r="E595" s="13">
        <f t="shared" si="176"/>
        <v>11055.362289729823</v>
      </c>
      <c r="F595" s="14">
        <f t="shared" si="186"/>
        <v>2513159.6280676611</v>
      </c>
      <c r="G595" s="15">
        <f t="shared" si="177"/>
        <v>0.17023469981842962</v>
      </c>
      <c r="H595" s="13">
        <f t="shared" si="170"/>
        <v>689523.35229859746</v>
      </c>
      <c r="I595" s="13">
        <f t="shared" si="178"/>
        <v>67432805.070090801</v>
      </c>
      <c r="J595" s="15">
        <f t="shared" si="173"/>
        <v>0.82976530018157035</v>
      </c>
      <c r="K595" s="13">
        <f t="shared" si="179"/>
        <v>12249750.817030596</v>
      </c>
      <c r="L595" s="13">
        <f t="shared" si="187"/>
        <v>1483343378.6136761</v>
      </c>
      <c r="M595" s="15">
        <f t="shared" si="180"/>
        <v>0.82976530018157035</v>
      </c>
      <c r="N595" s="13">
        <f t="shared" si="171"/>
        <v>257038.08859541657</v>
      </c>
      <c r="O595" s="13">
        <f t="shared" si="181"/>
        <v>55183054.253060125</v>
      </c>
      <c r="P595" s="15">
        <f t="shared" si="174"/>
        <v>0.78893835393070288</v>
      </c>
      <c r="Q595" s="7">
        <f t="shared" si="182"/>
        <v>69945964.698158383</v>
      </c>
      <c r="R595" s="7">
        <f t="shared" si="172"/>
        <v>14762910.445098257</v>
      </c>
      <c r="S595" s="13">
        <f>IF('Calc (3)'!$AD$32="Sim",R595,Q595)</f>
        <v>14762910.445098257</v>
      </c>
      <c r="T595" s="9">
        <f t="shared" si="183"/>
        <v>591</v>
      </c>
      <c r="U595" s="17">
        <f t="shared" ca="1" si="184"/>
        <v>63494</v>
      </c>
    </row>
    <row r="596" spans="2:21" x14ac:dyDescent="0.2">
      <c r="B596" s="17">
        <f t="shared" ca="1" si="175"/>
        <v>63494</v>
      </c>
      <c r="C596" s="9">
        <f t="shared" si="185"/>
        <v>592</v>
      </c>
      <c r="D596" s="9"/>
      <c r="E596" s="13">
        <f t="shared" si="176"/>
        <v>11100.40320417126</v>
      </c>
      <c r="F596" s="14">
        <f t="shared" si="186"/>
        <v>2524260.0312718325</v>
      </c>
      <c r="G596" s="15">
        <f t="shared" si="177"/>
        <v>0.16979524566359264</v>
      </c>
      <c r="H596" s="13">
        <f t="shared" si="170"/>
        <v>696499.49052023434</v>
      </c>
      <c r="I596" s="13">
        <f t="shared" si="178"/>
        <v>68129304.560611039</v>
      </c>
      <c r="J596" s="15">
        <f t="shared" si="173"/>
        <v>0.83020475433640739</v>
      </c>
      <c r="K596" s="13">
        <f t="shared" si="179"/>
        <v>12342234.147681981</v>
      </c>
      <c r="L596" s="13">
        <f t="shared" si="187"/>
        <v>1495685612.761358</v>
      </c>
      <c r="M596" s="15">
        <f t="shared" si="180"/>
        <v>0.83020475433640739</v>
      </c>
      <c r="N596" s="13">
        <f t="shared" si="171"/>
        <v>259638.38333662317</v>
      </c>
      <c r="O596" s="13">
        <f t="shared" si="181"/>
        <v>55787070.412928984</v>
      </c>
      <c r="P596" s="15">
        <f t="shared" si="174"/>
        <v>0.78958607021701799</v>
      </c>
      <c r="Q596" s="7">
        <f t="shared" si="182"/>
        <v>70653564.591882795</v>
      </c>
      <c r="R596" s="7">
        <f t="shared" si="172"/>
        <v>14866494.178953813</v>
      </c>
      <c r="S596" s="13">
        <f>IF('Calc (3)'!$AD$32="Sim",R596,Q596)</f>
        <v>14866494.178953813</v>
      </c>
      <c r="T596" s="9">
        <f t="shared" si="183"/>
        <v>592</v>
      </c>
      <c r="U596" s="17">
        <f t="shared" ca="1" si="184"/>
        <v>63524</v>
      </c>
    </row>
    <row r="597" spans="2:21" x14ac:dyDescent="0.2">
      <c r="B597" s="17">
        <f t="shared" ca="1" si="175"/>
        <v>63524</v>
      </c>
      <c r="C597" s="9">
        <f t="shared" si="185"/>
        <v>593</v>
      </c>
      <c r="D597" s="9"/>
      <c r="E597" s="13">
        <f t="shared" si="176"/>
        <v>11145.62762087346</v>
      </c>
      <c r="F597" s="14">
        <f t="shared" si="186"/>
        <v>2535405.658892706</v>
      </c>
      <c r="G597" s="15">
        <f t="shared" si="177"/>
        <v>0.16935704357010795</v>
      </c>
      <c r="H597" s="13">
        <f t="shared" si="170"/>
        <v>703545.54339259118</v>
      </c>
      <c r="I597" s="13">
        <f t="shared" si="178"/>
        <v>68832850.104003638</v>
      </c>
      <c r="J597" s="15">
        <f t="shared" si="173"/>
        <v>0.83064295642989205</v>
      </c>
      <c r="K597" s="13">
        <f t="shared" si="179"/>
        <v>12435366.181743115</v>
      </c>
      <c r="L597" s="13">
        <f t="shared" si="187"/>
        <v>1508120978.9431012</v>
      </c>
      <c r="M597" s="15">
        <f t="shared" si="180"/>
        <v>0.83064295642989205</v>
      </c>
      <c r="N597" s="13">
        <f t="shared" si="171"/>
        <v>262264.73717027268</v>
      </c>
      <c r="O597" s="13">
        <f t="shared" si="181"/>
        <v>56397483.922260448</v>
      </c>
      <c r="P597" s="15">
        <f t="shared" si="174"/>
        <v>0.79023206213176089</v>
      </c>
      <c r="Q597" s="7">
        <f t="shared" si="182"/>
        <v>71368255.76289627</v>
      </c>
      <c r="R597" s="7">
        <f t="shared" si="172"/>
        <v>14970771.840635821</v>
      </c>
      <c r="S597" s="13">
        <f>IF('Calc (3)'!$AD$32="Sim",R597,Q597)</f>
        <v>14970771.840635821</v>
      </c>
      <c r="T597" s="9">
        <f t="shared" si="183"/>
        <v>593</v>
      </c>
      <c r="U597" s="17">
        <f t="shared" ca="1" si="184"/>
        <v>63555</v>
      </c>
    </row>
    <row r="598" spans="2:21" x14ac:dyDescent="0.2">
      <c r="B598" s="17">
        <f t="shared" ca="1" si="175"/>
        <v>63555</v>
      </c>
      <c r="C598" s="9">
        <f t="shared" si="185"/>
        <v>594</v>
      </c>
      <c r="D598" s="9"/>
      <c r="E598" s="13">
        <f t="shared" si="176"/>
        <v>11191.036287447349</v>
      </c>
      <c r="F598" s="14">
        <f t="shared" si="186"/>
        <v>2546596.6951801535</v>
      </c>
      <c r="G598" s="15">
        <f t="shared" si="177"/>
        <v>0.16892008953924345</v>
      </c>
      <c r="H598" s="13">
        <f t="shared" si="170"/>
        <v>710662.20893060043</v>
      </c>
      <c r="I598" s="13">
        <f t="shared" si="178"/>
        <v>69543512.312934235</v>
      </c>
      <c r="J598" s="15">
        <f t="shared" si="173"/>
        <v>0.83107991046075658</v>
      </c>
      <c r="K598" s="13">
        <f t="shared" si="179"/>
        <v>12529151.2642627</v>
      </c>
      <c r="L598" s="13">
        <f t="shared" si="187"/>
        <v>1520650130.2073638</v>
      </c>
      <c r="M598" s="15">
        <f t="shared" si="180"/>
        <v>0.83107991046075658</v>
      </c>
      <c r="N598" s="13">
        <f t="shared" si="171"/>
        <v>264917.41026153578</v>
      </c>
      <c r="O598" s="13">
        <f t="shared" si="181"/>
        <v>57014361.048671454</v>
      </c>
      <c r="P598" s="15">
        <f t="shared" si="174"/>
        <v>0.79087633287187897</v>
      </c>
      <c r="Q598" s="7">
        <f t="shared" si="182"/>
        <v>72090109.008114308</v>
      </c>
      <c r="R598" s="7">
        <f t="shared" si="172"/>
        <v>15075747.959442854</v>
      </c>
      <c r="S598" s="13">
        <f>IF('Calc (3)'!$AD$32="Sim",R598,Q598)</f>
        <v>15075747.959442854</v>
      </c>
      <c r="T598" s="9">
        <f t="shared" si="183"/>
        <v>594</v>
      </c>
      <c r="U598" s="17">
        <f t="shared" ca="1" si="184"/>
        <v>63586</v>
      </c>
    </row>
    <row r="599" spans="2:21" x14ac:dyDescent="0.2">
      <c r="B599" s="17">
        <f t="shared" ca="1" si="175"/>
        <v>63586</v>
      </c>
      <c r="C599" s="9">
        <f t="shared" si="185"/>
        <v>595</v>
      </c>
      <c r="D599" s="9"/>
      <c r="E599" s="13">
        <f t="shared" si="176"/>
        <v>11236.62995454971</v>
      </c>
      <c r="F599" s="14">
        <f t="shared" si="186"/>
        <v>2557833.325134703</v>
      </c>
      <c r="G599" s="15">
        <f t="shared" si="177"/>
        <v>0.16848437958658041</v>
      </c>
      <c r="H599" s="13">
        <f t="shared" si="170"/>
        <v>717850.19210724789</v>
      </c>
      <c r="I599" s="13">
        <f t="shared" si="178"/>
        <v>70261362.50504148</v>
      </c>
      <c r="J599" s="15">
        <f t="shared" si="173"/>
        <v>0.83151562041341953</v>
      </c>
      <c r="K599" s="13">
        <f t="shared" si="179"/>
        <v>12623593.768646941</v>
      </c>
      <c r="L599" s="13">
        <f t="shared" si="187"/>
        <v>1533273723.9760108</v>
      </c>
      <c r="M599" s="15">
        <f t="shared" si="180"/>
        <v>0.83151562041341953</v>
      </c>
      <c r="N599" s="13">
        <f t="shared" si="171"/>
        <v>267596.66536898311</v>
      </c>
      <c r="O599" s="13">
        <f t="shared" si="181"/>
        <v>57637768.736394458</v>
      </c>
      <c r="P599" s="15">
        <f t="shared" si="174"/>
        <v>0.79151888563577766</v>
      </c>
      <c r="Q599" s="7">
        <f t="shared" si="182"/>
        <v>72819195.8301761</v>
      </c>
      <c r="R599" s="7">
        <f t="shared" si="172"/>
        <v>15181427.093781644</v>
      </c>
      <c r="S599" s="13">
        <f>IF('Calc (3)'!$AD$32="Sim",R599,Q599)</f>
        <v>15181427.093781644</v>
      </c>
      <c r="T599" s="9">
        <f t="shared" si="183"/>
        <v>595</v>
      </c>
      <c r="U599" s="17">
        <f t="shared" ca="1" si="184"/>
        <v>63614</v>
      </c>
    </row>
    <row r="600" spans="2:21" x14ac:dyDescent="0.2">
      <c r="B600" s="17">
        <f t="shared" ca="1" si="175"/>
        <v>63614</v>
      </c>
      <c r="C600" s="9">
        <f t="shared" si="185"/>
        <v>596</v>
      </c>
      <c r="D600" s="9"/>
      <c r="E600" s="13">
        <f t="shared" si="176"/>
        <v>11282.409375895597</v>
      </c>
      <c r="F600" s="14">
        <f t="shared" si="186"/>
        <v>2569115.7345105987</v>
      </c>
      <c r="G600" s="15">
        <f t="shared" si="177"/>
        <v>0.16804990974195641</v>
      </c>
      <c r="H600" s="13">
        <f t="shared" si="170"/>
        <v>725110.20492288959</v>
      </c>
      <c r="I600" s="13">
        <f t="shared" si="178"/>
        <v>70986472.709964365</v>
      </c>
      <c r="J600" s="15">
        <f t="shared" si="173"/>
        <v>0.83195009025804356</v>
      </c>
      <c r="K600" s="13">
        <f t="shared" si="179"/>
        <v>12718698.096841773</v>
      </c>
      <c r="L600" s="13">
        <f t="shared" si="187"/>
        <v>1545992422.0728526</v>
      </c>
      <c r="M600" s="15">
        <f t="shared" si="180"/>
        <v>0.83195009025804356</v>
      </c>
      <c r="N600" s="13">
        <f t="shared" si="171"/>
        <v>270302.76787042053</v>
      </c>
      <c r="O600" s="13">
        <f t="shared" si="181"/>
        <v>58267774.613122508</v>
      </c>
      <c r="P600" s="15">
        <f t="shared" si="174"/>
        <v>0.79215972362327403</v>
      </c>
      <c r="Q600" s="7">
        <f t="shared" si="182"/>
        <v>73555588.444474876</v>
      </c>
      <c r="R600" s="7">
        <f t="shared" si="172"/>
        <v>15287813.831352372</v>
      </c>
      <c r="S600" s="13">
        <f>IF('Calc (3)'!$AD$32="Sim",R600,Q600)</f>
        <v>15287813.831352372</v>
      </c>
      <c r="T600" s="9">
        <f t="shared" si="183"/>
        <v>596</v>
      </c>
      <c r="U600" s="17">
        <f t="shared" ca="1" si="184"/>
        <v>63645</v>
      </c>
    </row>
    <row r="601" spans="2:21" x14ac:dyDescent="0.2">
      <c r="B601" s="17">
        <f t="shared" ca="1" si="175"/>
        <v>63645</v>
      </c>
      <c r="C601" s="9">
        <f t="shared" si="185"/>
        <v>597</v>
      </c>
      <c r="D601" s="9"/>
      <c r="E601" s="13">
        <f t="shared" si="176"/>
        <v>11328.37530827079</v>
      </c>
      <c r="F601" s="14">
        <f t="shared" si="186"/>
        <v>2580444.1098188693</v>
      </c>
      <c r="G601" s="15">
        <f t="shared" si="177"/>
        <v>0.16761667604940761</v>
      </c>
      <c r="H601" s="13">
        <f t="shared" si="170"/>
        <v>732442.96647525788</v>
      </c>
      <c r="I601" s="13">
        <f t="shared" si="178"/>
        <v>71718915.676439628</v>
      </c>
      <c r="J601" s="15">
        <f t="shared" si="173"/>
        <v>0.83238332395059245</v>
      </c>
      <c r="K601" s="13">
        <f t="shared" si="179"/>
        <v>12814468.679516263</v>
      </c>
      <c r="L601" s="13">
        <f t="shared" si="187"/>
        <v>1558806890.7523689</v>
      </c>
      <c r="M601" s="15">
        <f t="shared" si="180"/>
        <v>0.83238332395059234</v>
      </c>
      <c r="N601" s="13">
        <f t="shared" si="171"/>
        <v>273035.98578898219</v>
      </c>
      <c r="O601" s="13">
        <f t="shared" si="181"/>
        <v>58904446.996923283</v>
      </c>
      <c r="P601" s="15">
        <f t="shared" si="174"/>
        <v>0.79279885003555028</v>
      </c>
      <c r="Q601" s="7">
        <f t="shared" si="182"/>
        <v>74299359.786258414</v>
      </c>
      <c r="R601" s="7">
        <f t="shared" si="172"/>
        <v>15394912.789335134</v>
      </c>
      <c r="S601" s="13">
        <f>IF('Calc (3)'!$AD$32="Sim",R601,Q601)</f>
        <v>15394912.789335134</v>
      </c>
      <c r="T601" s="9">
        <f t="shared" si="183"/>
        <v>597</v>
      </c>
      <c r="U601" s="17">
        <f t="shared" ca="1" si="184"/>
        <v>63675</v>
      </c>
    </row>
    <row r="602" spans="2:21" x14ac:dyDescent="0.2">
      <c r="B602" s="17">
        <f t="shared" ca="1" si="175"/>
        <v>63675</v>
      </c>
      <c r="C602" s="9">
        <f t="shared" si="185"/>
        <v>598</v>
      </c>
      <c r="D602" s="9"/>
      <c r="E602" s="13">
        <f t="shared" si="176"/>
        <v>11374.528511544311</v>
      </c>
      <c r="F602" s="14">
        <f t="shared" si="186"/>
        <v>2591818.6383304135</v>
      </c>
      <c r="G602" s="15">
        <f t="shared" si="177"/>
        <v>0.16718467456711239</v>
      </c>
      <c r="H602" s="13">
        <f t="shared" si="170"/>
        <v>739849.20303016552</v>
      </c>
      <c r="I602" s="13">
        <f t="shared" si="178"/>
        <v>72458764.879469797</v>
      </c>
      <c r="J602" s="15">
        <f t="shared" si="173"/>
        <v>0.83281532543288761</v>
      </c>
      <c r="K602" s="13">
        <f t="shared" si="179"/>
        <v>12910909.976247165</v>
      </c>
      <c r="L602" s="13">
        <f t="shared" si="187"/>
        <v>1571717800.728616</v>
      </c>
      <c r="M602" s="15">
        <f t="shared" si="180"/>
        <v>0.83281532543288761</v>
      </c>
      <c r="N602" s="13">
        <f t="shared" si="171"/>
        <v>275796.58981948294</v>
      </c>
      <c r="O602" s="13">
        <f t="shared" si="181"/>
        <v>59547854.903222546</v>
      </c>
      <c r="P602" s="15">
        <f t="shared" si="174"/>
        <v>0.79343626807510803</v>
      </c>
      <c r="Q602" s="7">
        <f t="shared" si="182"/>
        <v>75050583.517800122</v>
      </c>
      <c r="R602" s="7">
        <f t="shared" si="172"/>
        <v>15502728.614577578</v>
      </c>
      <c r="S602" s="13">
        <f>IF('Calc (3)'!$AD$32="Sim",R602,Q602)</f>
        <v>15502728.614577578</v>
      </c>
      <c r="T602" s="9">
        <f t="shared" si="183"/>
        <v>598</v>
      </c>
      <c r="U602" s="17">
        <f t="shared" ca="1" si="184"/>
        <v>63706</v>
      </c>
    </row>
    <row r="603" spans="2:21" x14ac:dyDescent="0.2">
      <c r="B603" s="17">
        <f t="shared" ca="1" si="175"/>
        <v>63706</v>
      </c>
      <c r="C603" s="9">
        <f t="shared" si="185"/>
        <v>599</v>
      </c>
      <c r="D603" s="9"/>
      <c r="E603" s="13">
        <f t="shared" si="176"/>
        <v>11420.86974868098</v>
      </c>
      <c r="F603" s="14">
        <f t="shared" si="186"/>
        <v>2603239.5080790943</v>
      </c>
      <c r="G603" s="15">
        <f t="shared" si="177"/>
        <v>0.16675390136733426</v>
      </c>
      <c r="H603" s="13">
        <f t="shared" si="170"/>
        <v>747329.64809291391</v>
      </c>
      <c r="I603" s="13">
        <f t="shared" si="178"/>
        <v>73206094.527562708</v>
      </c>
      <c r="J603" s="15">
        <f t="shared" si="173"/>
        <v>0.83324609863266574</v>
      </c>
      <c r="K603" s="13">
        <f t="shared" si="179"/>
        <v>13008026.475704646</v>
      </c>
      <c r="L603" s="13">
        <f t="shared" si="187"/>
        <v>1584725827.2043207</v>
      </c>
      <c r="M603" s="15">
        <f t="shared" si="180"/>
        <v>0.83324609863266574</v>
      </c>
      <c r="N603" s="13">
        <f t="shared" si="171"/>
        <v>278584.8533550335</v>
      </c>
      <c r="O603" s="13">
        <f t="shared" si="181"/>
        <v>60198068.051857978</v>
      </c>
      <c r="P603" s="15">
        <f t="shared" si="174"/>
        <v>0.79407198094572218</v>
      </c>
      <c r="Q603" s="7">
        <f t="shared" si="182"/>
        <v>75809334.035641715</v>
      </c>
      <c r="R603" s="7">
        <f t="shared" si="172"/>
        <v>15611265.983783741</v>
      </c>
      <c r="S603" s="13">
        <f>IF('Calc (3)'!$AD$32="Sim",R603,Q603)</f>
        <v>15611265.983783741</v>
      </c>
      <c r="T603" s="9">
        <f t="shared" si="183"/>
        <v>599</v>
      </c>
      <c r="U603" s="17">
        <f t="shared" ca="1" si="184"/>
        <v>63736</v>
      </c>
    </row>
    <row r="604" spans="2:21" x14ac:dyDescent="0.2">
      <c r="B604" s="17">
        <f t="shared" ca="1" si="175"/>
        <v>63736</v>
      </c>
      <c r="C604" s="9">
        <f t="shared" si="185"/>
        <v>600</v>
      </c>
      <c r="D604" s="9">
        <v>50</v>
      </c>
      <c r="E604" s="13">
        <f t="shared" si="176"/>
        <v>11467.399785754031</v>
      </c>
      <c r="F604" s="14">
        <f t="shared" si="186"/>
        <v>2614706.9078648482</v>
      </c>
      <c r="G604" s="15">
        <f t="shared" si="177"/>
        <v>0.16632435253636571</v>
      </c>
      <c r="H604" s="13">
        <f t="shared" si="170"/>
        <v>754885.0424804124</v>
      </c>
      <c r="I604" s="13">
        <f t="shared" si="178"/>
        <v>73960979.570043117</v>
      </c>
      <c r="J604" s="15">
        <f t="shared" si="173"/>
        <v>0.83367564746363432</v>
      </c>
      <c r="K604" s="13">
        <f t="shared" si="179"/>
        <v>13105822.695839215</v>
      </c>
      <c r="L604" s="13">
        <f t="shared" si="187"/>
        <v>1597831649.9001598</v>
      </c>
      <c r="M604" s="15">
        <f t="shared" si="180"/>
        <v>0.83367564746363432</v>
      </c>
      <c r="N604" s="13">
        <f t="shared" si="171"/>
        <v>281401.05251392099</v>
      </c>
      <c r="O604" s="13">
        <f t="shared" si="181"/>
        <v>60855156.874203816</v>
      </c>
      <c r="P604" s="15">
        <f t="shared" si="174"/>
        <v>0.79470599185239499</v>
      </c>
      <c r="Q604" s="7">
        <f t="shared" si="182"/>
        <v>76575686.477907881</v>
      </c>
      <c r="R604" s="7">
        <f t="shared" si="172"/>
        <v>15720529.603704063</v>
      </c>
      <c r="S604" s="13">
        <f>IF('Calc (3)'!$AD$32="Sim",R604,Q604)</f>
        <v>15720529.603704063</v>
      </c>
      <c r="T604" s="9">
        <f t="shared" si="183"/>
        <v>600</v>
      </c>
      <c r="U604" s="17">
        <f t="shared" ca="1" si="184"/>
        <v>63767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23</vt:i4>
      </vt:variant>
    </vt:vector>
  </HeadingPairs>
  <TitlesOfParts>
    <vt:vector size="30" baseType="lpstr">
      <vt:lpstr>Dados de Entrada</vt:lpstr>
      <vt:lpstr>Calc</vt:lpstr>
      <vt:lpstr>Auxiliar</vt:lpstr>
      <vt:lpstr>Resultados</vt:lpstr>
      <vt:lpstr>Calc (2)</vt:lpstr>
      <vt:lpstr>Nova Simulação</vt:lpstr>
      <vt:lpstr>Calc (3)</vt:lpstr>
      <vt:lpstr>Aportes</vt:lpstr>
      <vt:lpstr>'Calc (2)'!Aportes_2</vt:lpstr>
      <vt:lpstr>'Calc (3)'!Aportes_3</vt:lpstr>
      <vt:lpstr>Capital_Inicial</vt:lpstr>
      <vt:lpstr>'Calc (2)'!Capital_Inicial_2</vt:lpstr>
      <vt:lpstr>'Calc (3)'!Capital_Inicial_3</vt:lpstr>
      <vt:lpstr>Crescimento_Salário</vt:lpstr>
      <vt:lpstr>'Calc (2)'!Crescimento_Salário_2</vt:lpstr>
      <vt:lpstr>'Calc (3)'!Crescimento_Salário_3</vt:lpstr>
      <vt:lpstr>Inflação</vt:lpstr>
      <vt:lpstr>'Calc (2)'!Inflação_2</vt:lpstr>
      <vt:lpstr>'Calc (3)'!Inflação_3</vt:lpstr>
      <vt:lpstr>Mês_Atual</vt:lpstr>
      <vt:lpstr>Calc!Mês_Atual_2</vt:lpstr>
      <vt:lpstr>'Calc (2)'!Mês_Atual_2</vt:lpstr>
      <vt:lpstr>'Calc (3)'!Mês_Atual_2</vt:lpstr>
      <vt:lpstr>'Calc (3)'!Mês_Atual_3</vt:lpstr>
      <vt:lpstr>Período</vt:lpstr>
      <vt:lpstr>'Calc (2)'!Período_2</vt:lpstr>
      <vt:lpstr>'Calc (3)'!Período_3</vt:lpstr>
      <vt:lpstr>Taxa</vt:lpstr>
      <vt:lpstr>'Calc (2)'!Taxa_2</vt:lpstr>
      <vt:lpstr>'Calc (3)'!Taxa_3</vt:lpstr>
    </vt:vector>
  </TitlesOfParts>
  <Company>ePlanilhas.com.br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ePlanilhas.com.br</dc:creator>
  <cp:lastModifiedBy>Dell</cp:lastModifiedBy>
  <dcterms:created xsi:type="dcterms:W3CDTF">2010-09-11T20:35:04Z</dcterms:created>
  <dcterms:modified xsi:type="dcterms:W3CDTF">2024-08-07T18:40:31Z</dcterms:modified>
</cp:coreProperties>
</file>