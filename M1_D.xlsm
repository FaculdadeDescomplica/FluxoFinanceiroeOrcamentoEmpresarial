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Descomplica\Módulo I\"/>
    </mc:Choice>
  </mc:AlternateContent>
  <bookViews>
    <workbookView xWindow="0" yWindow="0" windowWidth="20490" windowHeight="8235"/>
  </bookViews>
  <sheets>
    <sheet name="Cenários" sheetId="1" r:id="rId1"/>
    <sheet name="Configuração" sheetId="2" r:id="rId2"/>
  </sheets>
  <definedNames>
    <definedName name="_Toc322707173" localSheetId="0">Cenários!#REF!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 s="1"/>
  <c r="A24" i="1"/>
  <c r="A25" i="1" l="1"/>
  <c r="A26" i="1"/>
  <c r="A27" i="1"/>
  <c r="A28" i="1"/>
  <c r="A29" i="1"/>
  <c r="A30" i="1"/>
  <c r="A31" i="1"/>
  <c r="A32" i="1"/>
  <c r="A33" i="1"/>
  <c r="A34" i="1" s="1"/>
</calcChain>
</file>

<file path=xl/sharedStrings.xml><?xml version="1.0" encoding="utf-8"?>
<sst xmlns="http://schemas.openxmlformats.org/spreadsheetml/2006/main" count="77" uniqueCount="52">
  <si>
    <t>Ref:</t>
  </si>
  <si>
    <t>Critic.</t>
  </si>
  <si>
    <t>Sistema</t>
  </si>
  <si>
    <t>Contabilizador</t>
  </si>
  <si>
    <t>Criticidade</t>
  </si>
  <si>
    <t>WellFO</t>
  </si>
  <si>
    <t>WellBO Fiscal</t>
  </si>
  <si>
    <t>WellBO Logística</t>
  </si>
  <si>
    <t>WellBO Compras</t>
  </si>
  <si>
    <t>Intranet</t>
  </si>
  <si>
    <t>ADM</t>
  </si>
  <si>
    <t>Alto</t>
  </si>
  <si>
    <t>Médio</t>
  </si>
  <si>
    <t>Baixo</t>
  </si>
  <si>
    <t>Etapas do projeto</t>
  </si>
  <si>
    <t>Etapa</t>
  </si>
  <si>
    <t>Marco / Etapa</t>
  </si>
  <si>
    <t>Passos da tarefa</t>
  </si>
  <si>
    <t>Responsável</t>
  </si>
  <si>
    <t>Controle de etapas de projetos</t>
  </si>
  <si>
    <t>Entrega do TCC</t>
  </si>
  <si>
    <t xml:space="preserve">Tabulação da pesquisa </t>
  </si>
  <si>
    <t>Evento</t>
  </si>
  <si>
    <t>Preparo do local</t>
  </si>
  <si>
    <t>Recursos audiovisuais</t>
  </si>
  <si>
    <t>Impressão do material</t>
  </si>
  <si>
    <t>Confirmação</t>
  </si>
  <si>
    <t>Convites - envio</t>
  </si>
  <si>
    <t>Convites - impressão</t>
  </si>
  <si>
    <t>Preparo do material</t>
  </si>
  <si>
    <t>Convites - redação/aprovação/arte</t>
  </si>
  <si>
    <t>Aprovação do orçamento</t>
  </si>
  <si>
    <t>Seleção e convite aos palestrantes</t>
  </si>
  <si>
    <t>Escolha do local e do serviço de buffet</t>
  </si>
  <si>
    <t>Elaboração da pesquisa</t>
  </si>
  <si>
    <t>Seleção da empresa organizadora</t>
  </si>
  <si>
    <t>Reunião de planejamento</t>
  </si>
  <si>
    <t>Elaboração do Projeto</t>
  </si>
  <si>
    <t xml:space="preserve"> Defesa do Projeto</t>
  </si>
  <si>
    <t>Pesquisa Bibliográfica</t>
  </si>
  <si>
    <t xml:space="preserve"> Elaboração do Questionário</t>
  </si>
  <si>
    <t>Pesquisa de Campo</t>
  </si>
  <si>
    <t>Tabulação dos Dados</t>
  </si>
  <si>
    <t xml:space="preserve"> Redação monográfica</t>
  </si>
  <si>
    <t xml:space="preserve"> Entrega da primeira versão</t>
  </si>
  <si>
    <t xml:space="preserve"> Revisão Final</t>
  </si>
  <si>
    <t>Entrega do trabalho concluído</t>
  </si>
  <si>
    <t>Criar perguntas da pesquisa</t>
  </si>
  <si>
    <t>Definir evento</t>
  </si>
  <si>
    <t>1. Definir a sala
2. Preparar o local para a apresentação</t>
  </si>
  <si>
    <t>Previsão</t>
  </si>
  <si>
    <t>Conclusão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</si>
</sst>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2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4" borderId="2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9" fillId="0" borderId="2" xfId="3" applyFill="1" applyBorder="1" applyAlignment="1">
      <alignment horizontal="left" vertical="center" wrapText="1"/>
    </xf>
    <xf numFmtId="0" fontId="10" fillId="0" borderId="2" xfId="3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2" xfId="0" applyFont="1" applyBorder="1" applyAlignment="1">
      <alignment wrapText="1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0" fillId="0" borderId="3" xfId="0" applyBorder="1"/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10" fillId="0" borderId="1" xfId="3" applyFont="1" applyFill="1" applyBorder="1" applyAlignment="1">
      <alignment horizontal="left" vertical="center" wrapText="1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 wrapText="1"/>
    </xf>
    <xf numFmtId="0" fontId="10" fillId="0" borderId="5" xfId="3" applyFont="1" applyFill="1" applyBorder="1" applyAlignment="1">
      <alignment horizontal="left" vertical="center" wrapText="1"/>
    </xf>
    <xf numFmtId="0" fontId="8" fillId="0" borderId="5" xfId="0" applyFont="1" applyBorder="1" applyAlignment="1">
      <alignment horizontal="center"/>
    </xf>
    <xf numFmtId="0" fontId="8" fillId="0" borderId="5" xfId="0" applyFont="1" applyBorder="1" applyAlignment="1">
      <alignment wrapText="1"/>
    </xf>
    <xf numFmtId="0" fontId="7" fillId="3" borderId="0" xfId="0" applyFont="1" applyFill="1" applyAlignment="1">
      <alignment horizontal="center" vertical="center"/>
    </xf>
  </cellXfs>
  <cellStyles count="4">
    <cellStyle name="Hiperlink" xfId="3" builtinId="8"/>
    <cellStyle name="Normal" xfId="0" builtinId="0"/>
    <cellStyle name="Normal 2" xfId="2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3</xdr:row>
      <xdr:rowOff>123825</xdr:rowOff>
    </xdr:from>
    <xdr:to>
      <xdr:col>3</xdr:col>
      <xdr:colOff>885825</xdr:colOff>
      <xdr:row>5</xdr:row>
      <xdr:rowOff>180975</xdr:rowOff>
    </xdr:to>
    <xdr:sp macro="[0]!lsIncluirLinh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800725" y="695325"/>
          <a:ext cx="685800" cy="47625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Incluir</a:t>
          </a:r>
          <a:br>
            <a:rPr lang="pt-BR" sz="1100"/>
          </a:br>
          <a:r>
            <a:rPr lang="pt-BR" sz="1100"/>
            <a:t>Etapa</a:t>
          </a:r>
        </a:p>
      </xdr:txBody>
    </xdr:sp>
    <xdr:clientData/>
  </xdr:twoCellAnchor>
  <xdr:twoCellAnchor>
    <xdr:from>
      <xdr:col>2</xdr:col>
      <xdr:colOff>76200</xdr:colOff>
      <xdr:row>3</xdr:row>
      <xdr:rowOff>123825</xdr:rowOff>
    </xdr:from>
    <xdr:to>
      <xdr:col>3</xdr:col>
      <xdr:colOff>57150</xdr:colOff>
      <xdr:row>5</xdr:row>
      <xdr:rowOff>180975</xdr:rowOff>
    </xdr:to>
    <xdr:sp macro="[0]!lsInsereUC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72025" y="695325"/>
          <a:ext cx="885825" cy="47625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Incluir</a:t>
          </a:r>
          <a:br>
            <a:rPr lang="pt-BR" sz="1100"/>
          </a:br>
          <a:r>
            <a:rPr lang="pt-BR" sz="1100"/>
            <a:t>Marco</a:t>
          </a:r>
        </a:p>
      </xdr:txBody>
    </xdr:sp>
    <xdr:clientData/>
  </xdr:twoCellAnchor>
  <xdr:twoCellAnchor>
    <xdr:from>
      <xdr:col>3</xdr:col>
      <xdr:colOff>1038225</xdr:colOff>
      <xdr:row>3</xdr:row>
      <xdr:rowOff>114300</xdr:rowOff>
    </xdr:from>
    <xdr:to>
      <xdr:col>3</xdr:col>
      <xdr:colOff>1724025</xdr:colOff>
      <xdr:row>5</xdr:row>
      <xdr:rowOff>171450</xdr:rowOff>
    </xdr:to>
    <xdr:sp macro="[0]!lsExcluirLinha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638925" y="685800"/>
          <a:ext cx="685800" cy="47625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Excluir</a:t>
          </a:r>
          <a:br>
            <a:rPr lang="pt-BR" sz="1100"/>
          </a:br>
          <a:r>
            <a:rPr lang="pt-BR" sz="1100"/>
            <a:t>Linha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35"/>
  <sheetViews>
    <sheetView tabSelected="1" workbookViewId="0">
      <pane xSplit="2" ySplit="7" topLeftCell="C8" activePane="bottomRight" state="frozenSplit"/>
      <selection pane="topRight" activeCell="C1" sqref="C1"/>
      <selection pane="bottomLeft" activeCell="A8" sqref="A8"/>
      <selection pane="bottomRight" activeCell="C2" sqref="C2"/>
    </sheetView>
  </sheetViews>
  <sheetFormatPr defaultRowHeight="15" x14ac:dyDescent="0.25"/>
  <cols>
    <col min="1" max="1" width="7.42578125" customWidth="1"/>
    <col min="2" max="2" width="63" bestFit="1" customWidth="1"/>
    <col min="3" max="3" width="13.5703125" customWidth="1"/>
    <col min="4" max="4" width="78.140625" customWidth="1"/>
    <col min="5" max="5" width="47.7109375" customWidth="1"/>
    <col min="6" max="7" width="14.42578125" customWidth="1"/>
  </cols>
  <sheetData>
    <row r="1" spans="1:7" ht="15" customHeight="1" x14ac:dyDescent="0.25">
      <c r="A1" s="36" t="s">
        <v>19</v>
      </c>
      <c r="B1" s="36"/>
      <c r="C1" s="3"/>
      <c r="D1" s="3"/>
      <c r="E1" s="3"/>
      <c r="F1" s="3"/>
      <c r="G1" s="3"/>
    </row>
    <row r="2" spans="1:7" ht="15" customHeight="1" x14ac:dyDescent="0.25">
      <c r="A2" s="36"/>
      <c r="B2" s="36"/>
      <c r="C2" s="23"/>
      <c r="D2" s="6"/>
      <c r="E2" s="6"/>
      <c r="F2" s="3"/>
      <c r="G2" s="3"/>
    </row>
    <row r="3" spans="1:7" ht="15" customHeight="1" x14ac:dyDescent="0.25">
      <c r="A3" s="36"/>
      <c r="B3" s="36"/>
      <c r="C3" s="6"/>
      <c r="D3" s="5"/>
      <c r="E3" s="5"/>
      <c r="F3" s="3"/>
      <c r="G3" s="3"/>
    </row>
    <row r="4" spans="1:7" ht="15" customHeight="1" x14ac:dyDescent="0.25">
      <c r="A4" s="36"/>
      <c r="B4" s="36"/>
      <c r="C4" s="22"/>
      <c r="D4" s="5"/>
      <c r="E4" s="5"/>
      <c r="F4" s="3"/>
      <c r="G4" s="3"/>
    </row>
    <row r="5" spans="1:7" ht="18" customHeight="1" x14ac:dyDescent="0.3">
      <c r="A5" s="36"/>
      <c r="B5" s="36"/>
      <c r="C5" s="4"/>
      <c r="D5" s="7"/>
      <c r="E5" s="7"/>
      <c r="F5" s="3"/>
      <c r="G5" s="3"/>
    </row>
    <row r="6" spans="1:7" ht="21.75" customHeight="1" x14ac:dyDescent="0.25">
      <c r="A6" s="2" t="s">
        <v>0</v>
      </c>
      <c r="B6" s="2" t="s">
        <v>14</v>
      </c>
      <c r="C6" s="3"/>
      <c r="D6" s="3"/>
      <c r="E6" s="3"/>
      <c r="F6" s="3"/>
      <c r="G6" s="3"/>
    </row>
    <row r="7" spans="1:7" x14ac:dyDescent="0.25">
      <c r="A7" s="1" t="s">
        <v>15</v>
      </c>
      <c r="B7" s="1" t="s">
        <v>16</v>
      </c>
      <c r="C7" s="1" t="s">
        <v>1</v>
      </c>
      <c r="D7" s="1" t="s">
        <v>17</v>
      </c>
      <c r="E7" s="1" t="s">
        <v>18</v>
      </c>
      <c r="F7" s="1" t="s">
        <v>50</v>
      </c>
      <c r="G7" s="1" t="s">
        <v>51</v>
      </c>
    </row>
    <row r="8" spans="1:7" x14ac:dyDescent="0.25">
      <c r="A8" s="10">
        <v>1</v>
      </c>
      <c r="B8" s="8" t="s">
        <v>20</v>
      </c>
      <c r="C8" s="11"/>
      <c r="D8" s="11"/>
      <c r="E8" s="11"/>
      <c r="F8" s="11"/>
      <c r="G8" s="11"/>
    </row>
    <row r="9" spans="1:7" x14ac:dyDescent="0.25">
      <c r="A9" s="12" t="str">
        <f ca="1">LARGE($A$7:INDIRECT("A"&amp;ROW()-1),1)&amp;"."&amp;IF(ISNUMBER(INDIRECT("A"&amp;ROW()-1)),"1",MID(INDIRECT("A"&amp;ROW()-1),FIND(".",INDIRECT("A"&amp;ROW()-1))+1,10)+1)</f>
        <v>1.1</v>
      </c>
      <c r="B9" s="13" t="s">
        <v>21</v>
      </c>
      <c r="C9" s="13" t="s">
        <v>11</v>
      </c>
      <c r="D9" s="14" t="s">
        <v>47</v>
      </c>
      <c r="E9" s="13"/>
      <c r="F9" s="13"/>
      <c r="G9" s="13"/>
    </row>
    <row r="10" spans="1:7" x14ac:dyDescent="0.25">
      <c r="A10" s="12" t="str">
        <f ca="1">LARGE($A$7:INDIRECT("A"&amp;ROW()-1),1)&amp;"."&amp;IF(ISNUMBER(INDIRECT("A"&amp;ROW()-1)),"1",MID(INDIRECT("A"&amp;ROW()-1),FIND(".",INDIRECT("A"&amp;ROW()-1))+1,10)+1)</f>
        <v>1.2</v>
      </c>
      <c r="B10" s="13" t="s">
        <v>22</v>
      </c>
      <c r="C10" s="13" t="s">
        <v>11</v>
      </c>
      <c r="D10" s="14" t="s">
        <v>48</v>
      </c>
      <c r="E10" s="14"/>
      <c r="F10" s="13"/>
      <c r="G10" s="13"/>
    </row>
    <row r="11" spans="1:7" ht="30" x14ac:dyDescent="0.25">
      <c r="A11" s="12" t="str">
        <f ca="1">LARGE($A$7:INDIRECT("A"&amp;ROW()-1),1)&amp;"."&amp;IF(ISNUMBER(INDIRECT("A"&amp;ROW()-1)),"1",MID(INDIRECT("A"&amp;ROW()-1),FIND(".",INDIRECT("A"&amp;ROW()-1))+1,10)+1)</f>
        <v>1.3</v>
      </c>
      <c r="B11" s="13" t="s">
        <v>23</v>
      </c>
      <c r="C11" s="13" t="s">
        <v>12</v>
      </c>
      <c r="D11" s="14" t="s">
        <v>49</v>
      </c>
      <c r="E11" s="15"/>
      <c r="F11" s="13"/>
      <c r="G11" s="13"/>
    </row>
    <row r="12" spans="1:7" x14ac:dyDescent="0.25">
      <c r="A12" s="12" t="str">
        <f ca="1">LARGE($A$7:INDIRECT("A"&amp;ROW()-1),1)&amp;"."&amp;IF(ISNUMBER(INDIRECT("A"&amp;ROW()-1)),"1",MID(INDIRECT("A"&amp;ROW()-1),FIND(".",INDIRECT("A"&amp;ROW()-1))+1,10)+1)</f>
        <v>1.4</v>
      </c>
      <c r="B12" s="13" t="s">
        <v>24</v>
      </c>
      <c r="C12" s="13" t="s">
        <v>12</v>
      </c>
      <c r="D12" s="14"/>
      <c r="E12" s="16"/>
      <c r="F12" s="13"/>
      <c r="G12" s="13"/>
    </row>
    <row r="13" spans="1:7" x14ac:dyDescent="0.25">
      <c r="A13" s="12" t="str">
        <f ca="1">LARGE($A$7:INDIRECT("A"&amp;ROW()-1),1)&amp;"."&amp;IF(ISNUMBER(INDIRECT("A"&amp;ROW()-1)),"1",MID(INDIRECT("A"&amp;ROW()-1),FIND(".",INDIRECT("A"&amp;ROW()-1))+1,10)+1)</f>
        <v>1.5</v>
      </c>
      <c r="B13" s="13" t="s">
        <v>25</v>
      </c>
      <c r="C13" s="13" t="s">
        <v>11</v>
      </c>
      <c r="D13" s="14"/>
      <c r="E13" s="16"/>
      <c r="F13" s="13"/>
      <c r="G13" s="13"/>
    </row>
    <row r="14" spans="1:7" x14ac:dyDescent="0.25">
      <c r="A14" s="12" t="str">
        <f ca="1">LARGE($A$7:INDIRECT("A"&amp;ROW()-1),1)&amp;"."&amp;IF(ISNUMBER(INDIRECT("A"&amp;ROW()-1)),"1",MID(INDIRECT("A"&amp;ROW()-1),FIND(".",INDIRECT("A"&amp;ROW()-1))+1,10)+1)</f>
        <v>1.6</v>
      </c>
      <c r="B14" s="13" t="s">
        <v>26</v>
      </c>
      <c r="C14" s="13" t="s">
        <v>13</v>
      </c>
      <c r="D14" s="14"/>
      <c r="E14" s="16"/>
      <c r="F14" s="13"/>
      <c r="G14" s="13"/>
    </row>
    <row r="15" spans="1:7" x14ac:dyDescent="0.25">
      <c r="A15" s="12" t="str">
        <f ca="1">LARGE($A$7:INDIRECT("A"&amp;ROW()-1),1)&amp;"."&amp;IF(ISNUMBER(INDIRECT("A"&amp;ROW()-1)),"1",MID(INDIRECT("A"&amp;ROW()-1),FIND(".",INDIRECT("A"&amp;ROW()-1))+1,10)+1)</f>
        <v>1.7</v>
      </c>
      <c r="B15" s="13" t="s">
        <v>27</v>
      </c>
      <c r="C15" s="13" t="s">
        <v>11</v>
      </c>
      <c r="D15" s="14"/>
      <c r="E15" s="16"/>
      <c r="F15" s="13"/>
      <c r="G15" s="13"/>
    </row>
    <row r="16" spans="1:7" x14ac:dyDescent="0.25">
      <c r="A16" s="12" t="str">
        <f ca="1">LARGE($A$7:INDIRECT("A"&amp;ROW()-1),1)&amp;"."&amp;IF(ISNUMBER(INDIRECT("A"&amp;ROW()-1)),"1",MID(INDIRECT("A"&amp;ROW()-1),FIND(".",INDIRECT("A"&amp;ROW()-1))+1,10)+1)</f>
        <v>1.8</v>
      </c>
      <c r="B16" s="13" t="s">
        <v>28</v>
      </c>
      <c r="C16" s="13" t="s">
        <v>11</v>
      </c>
      <c r="D16" s="14"/>
      <c r="E16" s="16"/>
      <c r="F16" s="13"/>
      <c r="G16" s="13"/>
    </row>
    <row r="17" spans="1:7" x14ac:dyDescent="0.25">
      <c r="A17" s="27" t="str">
        <f ca="1">LARGE($A$7:INDIRECT("A"&amp;ROW()-1),1)&amp;"."&amp;IF(ISNUMBER(INDIRECT("A"&amp;ROW()-1)),"1",MID(INDIRECT("A"&amp;ROW()-1),FIND(".",INDIRECT("A"&amp;ROW()-1))+1,10)+1)</f>
        <v>1.9</v>
      </c>
      <c r="B17" s="13" t="s">
        <v>29</v>
      </c>
      <c r="C17" s="13" t="s">
        <v>12</v>
      </c>
      <c r="D17" s="28"/>
      <c r="E17" s="29"/>
      <c r="F17" s="9"/>
      <c r="G17" s="9"/>
    </row>
    <row r="18" spans="1:7" x14ac:dyDescent="0.25">
      <c r="A18" s="30" t="str">
        <f ca="1">LARGE($A$7:INDIRECT("A"&amp;ROW()-1),1)&amp;"."&amp;IF(ISNUMBER(INDIRECT("A"&amp;ROW()-1)),"1",MID(INDIRECT("A"&amp;ROW()-1),FIND(".",INDIRECT("A"&amp;ROW()-1))+1,10)+1)</f>
        <v>1.10</v>
      </c>
      <c r="B18" s="13" t="s">
        <v>30</v>
      </c>
      <c r="C18" s="13" t="s">
        <v>12</v>
      </c>
      <c r="D18" s="32"/>
      <c r="E18" s="33"/>
      <c r="F18" s="31"/>
      <c r="G18" s="31"/>
    </row>
    <row r="19" spans="1:7" x14ac:dyDescent="0.25">
      <c r="A19" s="30" t="str">
        <f ca="1">LARGE($A$7:INDIRECT("A"&amp;ROW()-1),1)&amp;"."&amp;IF(ISNUMBER(INDIRECT("A"&amp;ROW()-1)),"1",MID(INDIRECT("A"&amp;ROW()-1),FIND(".",INDIRECT("A"&amp;ROW()-1))+1,10)+1)</f>
        <v>1.11</v>
      </c>
      <c r="B19" s="13" t="s">
        <v>31</v>
      </c>
      <c r="C19" s="13" t="s">
        <v>11</v>
      </c>
      <c r="D19" s="32"/>
      <c r="E19" s="33"/>
      <c r="F19" s="31"/>
      <c r="G19" s="31"/>
    </row>
    <row r="20" spans="1:7" x14ac:dyDescent="0.25">
      <c r="A20" s="30" t="str">
        <f ca="1">LARGE($A$7:INDIRECT("A"&amp;ROW()-1),1)&amp;"."&amp;IF(ISNUMBER(INDIRECT("A"&amp;ROW()-1)),"1",MID(INDIRECT("A"&amp;ROW()-1),FIND(".",INDIRECT("A"&amp;ROW()-1))+1,10)+1)</f>
        <v>1.12</v>
      </c>
      <c r="B20" s="13" t="s">
        <v>32</v>
      </c>
      <c r="C20" s="13" t="s">
        <v>13</v>
      </c>
      <c r="D20" s="32"/>
      <c r="E20" s="33"/>
      <c r="F20" s="31"/>
      <c r="G20" s="31"/>
    </row>
    <row r="21" spans="1:7" x14ac:dyDescent="0.25">
      <c r="A21" s="30" t="str">
        <f ca="1">LARGE($A$7:INDIRECT("A"&amp;ROW()-1),1)&amp;"."&amp;IF(ISNUMBER(INDIRECT("A"&amp;ROW()-1)),"1",MID(INDIRECT("A"&amp;ROW()-1),FIND(".",INDIRECT("A"&amp;ROW()-1))+1,10)+1)</f>
        <v>1.13</v>
      </c>
      <c r="B21" s="13" t="s">
        <v>33</v>
      </c>
      <c r="C21" s="13" t="s">
        <v>11</v>
      </c>
      <c r="D21" s="32"/>
      <c r="E21" s="33"/>
      <c r="F21" s="31"/>
      <c r="G21" s="31"/>
    </row>
    <row r="22" spans="1:7" x14ac:dyDescent="0.25">
      <c r="A22" s="30" t="str">
        <f ca="1">LARGE($A$7:INDIRECT("A"&amp;ROW()-1),1)&amp;"."&amp;IF(ISNUMBER(INDIRECT("A"&amp;ROW()-1)),"1",MID(INDIRECT("A"&amp;ROW()-1),FIND(".",INDIRECT("A"&amp;ROW()-1))+1,10)+1)</f>
        <v>1.14</v>
      </c>
      <c r="B22" s="13" t="s">
        <v>34</v>
      </c>
      <c r="C22" s="13" t="s">
        <v>13</v>
      </c>
      <c r="D22" s="32"/>
      <c r="E22" s="33"/>
      <c r="F22" s="31"/>
      <c r="G22" s="31"/>
    </row>
    <row r="23" spans="1:7" x14ac:dyDescent="0.25">
      <c r="A23" s="30" t="str">
        <f ca="1">LARGE($A$7:INDIRECT("A"&amp;ROW()-1),1)&amp;"."&amp;IF(ISNUMBER(INDIRECT("A"&amp;ROW()-1)),"1",MID(INDIRECT("A"&amp;ROW()-1),FIND(".",INDIRECT("A"&amp;ROW()-1))+1,10)+1)</f>
        <v>1.15</v>
      </c>
      <c r="B23" s="13" t="s">
        <v>35</v>
      </c>
      <c r="C23" s="13" t="s">
        <v>11</v>
      </c>
      <c r="D23" s="32"/>
      <c r="E23" s="33"/>
      <c r="F23" s="31"/>
      <c r="G23" s="31"/>
    </row>
    <row r="24" spans="1:7" x14ac:dyDescent="0.25">
      <c r="A24" s="30" t="str">
        <f ca="1">LARGE($A$7:INDIRECT("A"&amp;ROW()-1),1)&amp;"."&amp;IF(ISNUMBER(INDIRECT("A"&amp;ROW()-1)),"1",MID(INDIRECT("A"&amp;ROW()-1),FIND(".",INDIRECT("A"&amp;ROW()-1))+1,10)+1)</f>
        <v>1.16</v>
      </c>
      <c r="B24" s="13" t="s">
        <v>36</v>
      </c>
      <c r="C24" s="13" t="s">
        <v>13</v>
      </c>
      <c r="D24" s="32"/>
      <c r="E24" s="33"/>
      <c r="F24" s="31"/>
      <c r="G24" s="31"/>
    </row>
    <row r="25" spans="1:7" x14ac:dyDescent="0.25">
      <c r="A25" s="25">
        <f ca="1">LARGE($A$1:A14,1)+1</f>
        <v>2</v>
      </c>
      <c r="B25" s="26" t="s">
        <v>37</v>
      </c>
      <c r="C25" s="26"/>
      <c r="D25" s="26"/>
      <c r="E25" s="26"/>
      <c r="F25" s="26"/>
      <c r="G25" s="26"/>
    </row>
    <row r="26" spans="1:7" x14ac:dyDescent="0.25">
      <c r="A26" s="19" t="str">
        <f ca="1">LARGE($A$7:INDIRECT("A"&amp;ROW()-1),1)&amp;"."&amp;IF(ISNUMBER(INDIRECT("A"&amp;ROW()-1)),"1",MID(INDIRECT("A"&amp;ROW()-1),FIND(".",INDIRECT("A"&amp;ROW()-1))+1,10)+1)</f>
        <v>2.1</v>
      </c>
      <c r="B26" s="13" t="s">
        <v>38</v>
      </c>
      <c r="C26" s="13" t="s">
        <v>13</v>
      </c>
      <c r="D26" s="20"/>
      <c r="E26" s="21"/>
      <c r="F26" s="20"/>
      <c r="G26" s="20"/>
    </row>
    <row r="27" spans="1:7" x14ac:dyDescent="0.25">
      <c r="A27" s="19" t="str">
        <f ca="1">LARGE($A$7:INDIRECT("A"&amp;ROW()-1),1)&amp;"."&amp;IF(ISNUMBER(INDIRECT("A"&amp;ROW()-1)),"1",MID(INDIRECT("A"&amp;ROW()-1),FIND(".",INDIRECT("A"&amp;ROW()-1))+1,10)+1)</f>
        <v>2.2</v>
      </c>
      <c r="B27" s="13" t="s">
        <v>39</v>
      </c>
      <c r="C27" s="13" t="s">
        <v>11</v>
      </c>
      <c r="D27" s="20"/>
      <c r="E27" s="15"/>
      <c r="F27" s="20"/>
      <c r="G27" s="20"/>
    </row>
    <row r="28" spans="1:7" x14ac:dyDescent="0.25">
      <c r="A28" s="19" t="str">
        <f ca="1">LARGE($A$7:INDIRECT("A"&amp;ROW()-1),1)&amp;"."&amp;IF(ISNUMBER(INDIRECT("A"&amp;ROW()-1)),"1",MID(INDIRECT("A"&amp;ROW()-1),FIND(".",INDIRECT("A"&amp;ROW()-1))+1,10)+1)</f>
        <v>2.3</v>
      </c>
      <c r="B28" s="13" t="s">
        <v>40</v>
      </c>
      <c r="C28" s="13" t="s">
        <v>12</v>
      </c>
      <c r="D28" s="20"/>
      <c r="E28" s="15"/>
      <c r="F28" s="20"/>
      <c r="G28" s="20"/>
    </row>
    <row r="29" spans="1:7" x14ac:dyDescent="0.25">
      <c r="A29" s="19" t="str">
        <f ca="1">LARGE($A$7:INDIRECT("A"&amp;ROW()-1),1)&amp;"."&amp;IF(ISNUMBER(INDIRECT("A"&amp;ROW()-1)),"1",MID(INDIRECT("A"&amp;ROW()-1),FIND(".",INDIRECT("A"&amp;ROW()-1))+1,10)+1)</f>
        <v>2.4</v>
      </c>
      <c r="B29" s="13" t="s">
        <v>41</v>
      </c>
      <c r="C29" s="13" t="s">
        <v>12</v>
      </c>
      <c r="D29" s="20"/>
      <c r="E29" s="15"/>
      <c r="F29" s="20"/>
      <c r="G29" s="20"/>
    </row>
    <row r="30" spans="1:7" x14ac:dyDescent="0.25">
      <c r="A30" s="19" t="str">
        <f ca="1">LARGE($A$7:INDIRECT("A"&amp;ROW()-1),1)&amp;"."&amp;IF(ISNUMBER(INDIRECT("A"&amp;ROW()-1)),"1",MID(INDIRECT("A"&amp;ROW()-1),FIND(".",INDIRECT("A"&amp;ROW()-1))+1,10)+1)</f>
        <v>2.5</v>
      </c>
      <c r="B30" s="13" t="s">
        <v>42</v>
      </c>
      <c r="C30" s="13" t="s">
        <v>11</v>
      </c>
      <c r="D30" s="21"/>
      <c r="E30" s="15"/>
      <c r="F30" s="13"/>
      <c r="G30" s="13"/>
    </row>
    <row r="31" spans="1:7" x14ac:dyDescent="0.25">
      <c r="A31" s="17" t="str">
        <f ca="1">LARGE($A$7:INDIRECT("A"&amp;ROW()-1),1)&amp;"."&amp;IF(ISNUMBER(INDIRECT("A"&amp;ROW()-1)),"1",MID(INDIRECT("A"&amp;ROW()-1),FIND(".",INDIRECT("A"&amp;ROW()-1))+1,10)+1)</f>
        <v>2.6</v>
      </c>
      <c r="B31" s="13" t="s">
        <v>43</v>
      </c>
      <c r="C31" s="13" t="s">
        <v>13</v>
      </c>
      <c r="D31" s="18"/>
      <c r="E31" s="29"/>
      <c r="F31" s="9"/>
      <c r="G31" s="9"/>
    </row>
    <row r="32" spans="1:7" x14ac:dyDescent="0.25">
      <c r="A32" s="34" t="str">
        <f ca="1">LARGE($A$7:INDIRECT("A"&amp;ROW()-1),1)&amp;"."&amp;IF(ISNUMBER(INDIRECT("A"&amp;ROW()-1)),"1",MID(INDIRECT("A"&amp;ROW()-1),FIND(".",INDIRECT("A"&amp;ROW()-1))+1,10)+1)</f>
        <v>2.7</v>
      </c>
      <c r="B32" s="13" t="s">
        <v>44</v>
      </c>
      <c r="C32" s="13" t="s">
        <v>11</v>
      </c>
      <c r="D32" s="35"/>
      <c r="E32" s="33"/>
      <c r="F32" s="31"/>
      <c r="G32" s="31"/>
    </row>
    <row r="33" spans="1:15" x14ac:dyDescent="0.25">
      <c r="A33" s="34" t="str">
        <f ca="1">LARGE($A$7:INDIRECT("A"&amp;ROW()-1),1)&amp;"."&amp;IF(ISNUMBER(INDIRECT("A"&amp;ROW()-1)),"1",MID(INDIRECT("A"&amp;ROW()-1),FIND(".",INDIRECT("A"&amp;ROW()-1))+1,10)+1)</f>
        <v>2.8</v>
      </c>
      <c r="B33" s="13" t="s">
        <v>45</v>
      </c>
      <c r="C33" s="13" t="s">
        <v>12</v>
      </c>
      <c r="D33" s="35"/>
      <c r="E33" s="33"/>
      <c r="F33" s="31"/>
      <c r="G33" s="31"/>
    </row>
    <row r="34" spans="1:15" x14ac:dyDescent="0.25">
      <c r="A34" s="19" t="str">
        <f ca="1">LARGE($A$7:INDIRECT("A"&amp;ROW()-1),1)&amp;"."&amp;IF(ISNUMBER(INDIRECT("A"&amp;ROW()-1)),"1",MID(INDIRECT("A"&amp;ROW()-1),FIND(".",INDIRECT("A"&amp;ROW()-1))+1,10)+1)</f>
        <v>2.9</v>
      </c>
      <c r="B34" s="13" t="s">
        <v>46</v>
      </c>
      <c r="C34" s="13" t="s">
        <v>12</v>
      </c>
      <c r="D34" s="21"/>
      <c r="E34" s="15"/>
      <c r="F34" s="13"/>
      <c r="G34" s="13"/>
    </row>
    <row r="35" spans="1:15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</row>
  </sheetData>
  <mergeCells count="1">
    <mergeCell ref="A1:B5"/>
  </mergeCells>
  <dataValidations disablePrompts="1" count="1">
    <dataValidation type="list" allowBlank="1" showInputMessage="1" showErrorMessage="1" sqref="C9:C247">
      <formula1>"Alto,Médio,Baixo"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LastActiv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8"/>
  <sheetViews>
    <sheetView workbookViewId="0">
      <selection activeCell="A5" sqref="A5"/>
    </sheetView>
  </sheetViews>
  <sheetFormatPr defaultRowHeight="15" x14ac:dyDescent="0.25"/>
  <cols>
    <col min="1" max="1" width="10.5703125" bestFit="1" customWidth="1"/>
    <col min="2" max="2" width="4" customWidth="1"/>
    <col min="3" max="3" width="16" bestFit="1" customWidth="1"/>
  </cols>
  <sheetData>
    <row r="1" spans="1:3" x14ac:dyDescent="0.25">
      <c r="A1" t="s">
        <v>4</v>
      </c>
      <c r="C1" t="s">
        <v>2</v>
      </c>
    </row>
    <row r="2" spans="1:3" x14ac:dyDescent="0.25">
      <c r="A2" t="s">
        <v>11</v>
      </c>
      <c r="C2" t="s">
        <v>10</v>
      </c>
    </row>
    <row r="3" spans="1:3" x14ac:dyDescent="0.25">
      <c r="A3" t="s">
        <v>12</v>
      </c>
      <c r="C3" t="s">
        <v>3</v>
      </c>
    </row>
    <row r="4" spans="1:3" x14ac:dyDescent="0.25">
      <c r="A4" t="s">
        <v>13</v>
      </c>
      <c r="C4" t="s">
        <v>9</v>
      </c>
    </row>
    <row r="5" spans="1:3" x14ac:dyDescent="0.25">
      <c r="C5" t="s">
        <v>8</v>
      </c>
    </row>
    <row r="6" spans="1:3" x14ac:dyDescent="0.25">
      <c r="C6" t="s">
        <v>6</v>
      </c>
    </row>
    <row r="7" spans="1:3" x14ac:dyDescent="0.25">
      <c r="C7" t="s">
        <v>7</v>
      </c>
    </row>
    <row r="8" spans="1:3" x14ac:dyDescent="0.25">
      <c r="C8" t="s">
        <v>5</v>
      </c>
    </row>
  </sheetData>
  <sortState ref="C2:C8">
    <sortCondition ref="C2:C8"/>
  </sortState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CCDD0B3D3497841B6E94198F0E4BE9A" ma:contentTypeVersion="1" ma:contentTypeDescription="Crie um novo documento." ma:contentTypeScope="" ma:versionID="762a216a615dbd51ccb3da8f8b989653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6e9ffabf97bff18c66c3555ec4d0f0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0020CCD-B459-46C8-84C3-CE93C7532D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1928CE-02CA-4A55-8807-623016C8622B}">
  <ds:schemaRefs>
    <ds:schemaRef ds:uri="http://schemas.microsoft.com/office/infopath/2007/PartnerControls"/>
    <ds:schemaRef ds:uri="http://purl.org/dc/dcmitype/"/>
    <ds:schemaRef ds:uri="http://schemas.microsoft.com/sharepoint/v4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3FD7B23-7CBE-4541-8D84-DFAB8E2520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Cenários</vt:lpstr>
      <vt:lpstr>Configuração</vt:lpstr>
    </vt:vector>
  </TitlesOfParts>
  <Manager>ePlanilhas.com.br</Manager>
  <Company>ePlanilhas.com.br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ePlanilhas.com.br</dc:title>
  <dc:subject>ePlanilhas.com.br</dc:subject>
  <dc:creator>ePlanilhas.com.br</dc:creator>
  <cp:keywords>ePlanilhas.com.br</cp:keywords>
  <cp:lastModifiedBy>Dell</cp:lastModifiedBy>
  <dcterms:created xsi:type="dcterms:W3CDTF">2012-07-11T21:36:13Z</dcterms:created>
  <dcterms:modified xsi:type="dcterms:W3CDTF">2024-08-07T18:35:21Z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0x010100DCCDD0B3D3497841B6E94198F0E4BE9A</vt:lpwstr>
  </property>
</Properties>
</file>